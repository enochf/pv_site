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workbookProtection workbookPassword="DFD3" lockStructure="1"/>
  <bookViews>
    <workbookView xWindow="-15" yWindow="-15" windowWidth="10215" windowHeight="5730" tabRatio="467" firstSheet="1" activeTab="2"/>
  </bookViews>
  <sheets>
    <sheet name="Revision Notes" sheetId="16" state="hidden" r:id="rId1"/>
    <sheet name="About JEDI" sheetId="15" r:id="rId2"/>
    <sheet name="Start" sheetId="1" r:id="rId3"/>
    <sheet name="ProjectData" sheetId="2" r:id="rId4"/>
    <sheet name="SummaryResults" sheetId="11" r:id="rId5"/>
    <sheet name="User Add-in Location" sheetId="13" r:id="rId6"/>
    <sheet name="FAQ" sheetId="14" r:id="rId7"/>
    <sheet name="DefaultData" sheetId="12" r:id="rId8"/>
    <sheet name="Calculations" sheetId="6" r:id="rId9"/>
    <sheet name="Deflators" sheetId="9" r:id="rId10"/>
    <sheet name="Household Exp" sheetId="10" state="hidden" r:id="rId11"/>
    <sheet name="Multipliers" sheetId="8" state="hidden" r:id="rId12"/>
  </sheets>
  <definedNames>
    <definedName name="_ftn1" localSheetId="6">FAQ!#REF!</definedName>
    <definedName name="_ftnref1" localSheetId="6">FAQ!#REF!</definedName>
    <definedName name="Detailed_Project_Data_Costs">Calculations!$AB$3:$AE$82</definedName>
    <definedName name="Detailed_Wind_Plant_Project_Data_Costs">SummaryResults!$A$55:$D$142</definedName>
    <definedName name="Location">ProjectData!$O$756:$O$816</definedName>
    <definedName name="Material">ProjectData!$P$749:$P$750</definedName>
    <definedName name="Other_Parameters">ProjectData!$A$64</definedName>
    <definedName name="_xlnm.Print_Area" localSheetId="8">Calculations!$AB$3:$AE$78</definedName>
    <definedName name="_xlnm.Print_Area" localSheetId="3">ProjectData!$B$14</definedName>
    <definedName name="_xlnm.Print_Area" localSheetId="4">SummaryResults!$BA$1:$BD$53</definedName>
    <definedName name="Print_Results">SummaryResults!$A$1:$D$53</definedName>
    <definedName name="Project_Cost_Data">ProjectData!$A$30</definedName>
    <definedName name="Project_Data">ProjectData!$A$1</definedName>
    <definedName name="ProjectConstCostData">ProjectData!$A$30:$C$50</definedName>
    <definedName name="ProjectData">ProjectData!$A$1</definedName>
    <definedName name="ProjectOandMData">ProjectData!$A$51:$C$76</definedName>
    <definedName name="Summary_Impacts">SummaryResults!$A$1:$D$53</definedName>
    <definedName name="Summary_Results">SummaryResults!$A$1</definedName>
    <definedName name="SysApp">ProjectData!$P$742:$P$746</definedName>
    <definedName name="Tracking">ProjectData!$X$753:$X$754</definedName>
    <definedName name="Wind_Plant_Annual_OandM_Costs">ProjectData!$A$51</definedName>
    <definedName name="Wind_Plant_Annual_Operating_and_Maintenance_Costs">ProjectData!$B$54</definedName>
    <definedName name="Year">ProjectData!$B$14</definedName>
    <definedName name="Years">ProjectData!$N$756:$N$776</definedName>
    <definedName name="YN">ProjectData!$Q$22:$Q$23</definedName>
  </definedNames>
  <calcPr calcId="145621"/>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D77" i="2" l="1"/>
  <c r="D76" i="2"/>
  <c r="B73" i="2"/>
  <c r="B72" i="2"/>
  <c r="B71" i="2"/>
  <c r="D67" i="2"/>
  <c r="B69" i="2"/>
  <c r="B68" i="2"/>
  <c r="B67" i="2"/>
  <c r="F58" i="2"/>
  <c r="F36" i="2"/>
  <c r="F35" i="2"/>
  <c r="F34" i="2"/>
  <c r="F33" i="2"/>
  <c r="N757" i="2" l="1"/>
  <c r="N758" i="2" s="1"/>
  <c r="N759" i="2" s="1"/>
  <c r="N760" i="2" s="1"/>
  <c r="N761" i="2" s="1"/>
  <c r="N762" i="2" s="1"/>
  <c r="N763" i="2" s="1"/>
  <c r="N764" i="2" s="1"/>
  <c r="N765" i="2" s="1"/>
  <c r="N766" i="2" s="1"/>
  <c r="N767" i="2" s="1"/>
  <c r="N768" i="2" s="1"/>
  <c r="N769" i="2" s="1"/>
  <c r="N770" i="2" s="1"/>
  <c r="N771" i="2" s="1"/>
  <c r="N772" i="2" s="1"/>
  <c r="N773" i="2" s="1"/>
  <c r="N774" i="2" s="1"/>
  <c r="N775" i="2" s="1"/>
  <c r="N776" i="2" s="1"/>
  <c r="A43" i="2"/>
  <c r="C23" i="2"/>
  <c r="C22" i="2"/>
  <c r="A87" i="16" l="1"/>
  <c r="A88" i="16" s="1"/>
  <c r="A89" i="16" s="1"/>
  <c r="A90" i="16" s="1"/>
  <c r="A91" i="16" s="1"/>
  <c r="A92" i="16" s="1"/>
  <c r="A93" i="16" s="1"/>
  <c r="BG3" i="11" l="1"/>
  <c r="BH3" i="11"/>
  <c r="K23" i="6" l="1"/>
  <c r="C26" i="2" l="1"/>
  <c r="A77" i="16" l="1"/>
  <c r="A78" i="16" s="1"/>
  <c r="A79" i="16" s="1"/>
  <c r="A80" i="16" s="1"/>
  <c r="A81" i="16" s="1"/>
  <c r="A82" i="16" s="1"/>
  <c r="A83" i="16" s="1"/>
  <c r="E4" i="13"/>
  <c r="E3" i="13"/>
  <c r="A71" i="16"/>
  <c r="A72" i="16" s="1"/>
  <c r="A73" i="16" s="1"/>
  <c r="A74" i="16" s="1"/>
  <c r="H10" i="6"/>
  <c r="H9" i="6"/>
  <c r="H8" i="6"/>
  <c r="H7" i="6"/>
  <c r="A60" i="16"/>
  <c r="A61" i="16" s="1"/>
  <c r="A62" i="16" s="1"/>
  <c r="A63" i="16" s="1"/>
  <c r="A64" i="16" s="1"/>
  <c r="A65" i="16" s="1"/>
  <c r="A66" i="16" s="1"/>
  <c r="A67" i="16" s="1"/>
  <c r="A68" i="16" s="1"/>
  <c r="AD48" i="11"/>
  <c r="F7" i="6"/>
  <c r="A41" i="16" l="1"/>
  <c r="A42" i="16" s="1"/>
  <c r="A43" i="16" s="1"/>
  <c r="A44" i="16" s="1"/>
  <c r="A45" i="16" s="1"/>
  <c r="A46" i="16" s="1"/>
  <c r="A47" i="16" s="1"/>
  <c r="A48" i="16" s="1"/>
  <c r="A49" i="16" s="1"/>
  <c r="A50" i="16" s="1"/>
  <c r="A51" i="16" s="1"/>
  <c r="T61" i="2"/>
  <c r="T48" i="2"/>
  <c r="E48" i="2"/>
  <c r="A31" i="16"/>
  <c r="A32" i="16"/>
  <c r="A33" i="16"/>
  <c r="A34" i="16"/>
  <c r="A35" i="16"/>
  <c r="A36" i="16"/>
  <c r="A37" i="16"/>
  <c r="C7" i="13"/>
  <c r="C6" i="13"/>
  <c r="E1" i="6"/>
  <c r="F1" i="6"/>
  <c r="AC3" i="6"/>
  <c r="AD3" i="6"/>
  <c r="C5" i="6"/>
  <c r="C6" i="6"/>
  <c r="AB6" i="6"/>
  <c r="C7" i="6"/>
  <c r="AB7" i="6"/>
  <c r="C8" i="6"/>
  <c r="AB8" i="6"/>
  <c r="C9" i="6"/>
  <c r="AB9" i="6"/>
  <c r="C10" i="6"/>
  <c r="AB10" i="6"/>
  <c r="C11" i="6"/>
  <c r="AB11" i="6"/>
  <c r="C12" i="6"/>
  <c r="AB12" i="6"/>
  <c r="C13" i="6"/>
  <c r="AB13" i="6"/>
  <c r="C14" i="6"/>
  <c r="AB14" i="6"/>
  <c r="AD14" i="6"/>
  <c r="C15" i="6"/>
  <c r="AB15" i="6"/>
  <c r="AD15" i="6"/>
  <c r="C16" i="6"/>
  <c r="AB16" i="6"/>
  <c r="C17" i="6"/>
  <c r="AB17" i="6"/>
  <c r="C18" i="6"/>
  <c r="AB18" i="6"/>
  <c r="C19" i="6"/>
  <c r="AB19" i="6"/>
  <c r="C20" i="6"/>
  <c r="AB20" i="6"/>
  <c r="AB21" i="6"/>
  <c r="AB22" i="6"/>
  <c r="AB23" i="6"/>
  <c r="K24" i="6"/>
  <c r="AE25" i="6"/>
  <c r="AE26" i="6"/>
  <c r="G27" i="6"/>
  <c r="G29" i="6"/>
  <c r="D35" i="6"/>
  <c r="AB35" i="6"/>
  <c r="AB36" i="6"/>
  <c r="AB37" i="6"/>
  <c r="AB42" i="6"/>
  <c r="AB43" i="6"/>
  <c r="AB44" i="6"/>
  <c r="AB45" i="6"/>
  <c r="AB46" i="6"/>
  <c r="AB47" i="6"/>
  <c r="AB48" i="6"/>
  <c r="AB49" i="6"/>
  <c r="AB50" i="6"/>
  <c r="AB51" i="6"/>
  <c r="AB52" i="6"/>
  <c r="AB53" i="6"/>
  <c r="G63" i="6"/>
  <c r="C66" i="6"/>
  <c r="AB25" i="6"/>
  <c r="C67" i="6"/>
  <c r="AB27" i="6"/>
  <c r="C68" i="6"/>
  <c r="AB28" i="6"/>
  <c r="C69" i="6"/>
  <c r="AB29" i="6"/>
  <c r="C70" i="6"/>
  <c r="AB30" i="6"/>
  <c r="C71" i="6"/>
  <c r="AB31" i="6"/>
  <c r="C72" i="6"/>
  <c r="AB32" i="6"/>
  <c r="C73" i="6"/>
  <c r="AB33" i="6"/>
  <c r="C74" i="6"/>
  <c r="AB34" i="6"/>
  <c r="P85" i="6"/>
  <c r="P113" i="6"/>
  <c r="T113" i="6"/>
  <c r="H114" i="6"/>
  <c r="P144" i="6"/>
  <c r="L163" i="6"/>
  <c r="P163" i="6"/>
  <c r="L164" i="6"/>
  <c r="P164" i="6"/>
  <c r="L165" i="6"/>
  <c r="P165" i="6"/>
  <c r="L166" i="6"/>
  <c r="P166" i="6"/>
  <c r="L167" i="6"/>
  <c r="P167" i="6"/>
  <c r="L168" i="6"/>
  <c r="P168" i="6"/>
  <c r="L169" i="6"/>
  <c r="P169" i="6"/>
  <c r="L170" i="6"/>
  <c r="P170" i="6"/>
  <c r="L171" i="6"/>
  <c r="P171" i="6"/>
  <c r="W172" i="6"/>
  <c r="K174" i="6"/>
  <c r="D190" i="6"/>
  <c r="E190" i="6"/>
  <c r="F190" i="6"/>
  <c r="D191" i="6"/>
  <c r="E191" i="6"/>
  <c r="F191" i="6"/>
  <c r="D192" i="6"/>
  <c r="E192" i="6"/>
  <c r="F192" i="6"/>
  <c r="D193" i="6"/>
  <c r="E193" i="6"/>
  <c r="F193" i="6"/>
  <c r="D194" i="6"/>
  <c r="E194" i="6"/>
  <c r="F194" i="6"/>
  <c r="D195" i="6"/>
  <c r="E195" i="6"/>
  <c r="F195" i="6"/>
  <c r="D196" i="6"/>
  <c r="E196" i="6"/>
  <c r="F196" i="6"/>
  <c r="D197" i="6"/>
  <c r="E197" i="6"/>
  <c r="F197" i="6"/>
  <c r="D198" i="6"/>
  <c r="E198" i="6"/>
  <c r="F198" i="6"/>
  <c r="D199" i="6"/>
  <c r="E199" i="6"/>
  <c r="F199" i="6"/>
  <c r="D200" i="6"/>
  <c r="E200" i="6"/>
  <c r="F200" i="6"/>
  <c r="D201" i="6"/>
  <c r="E201" i="6"/>
  <c r="F201" i="6"/>
  <c r="D202" i="6"/>
  <c r="E202" i="6"/>
  <c r="F202" i="6"/>
  <c r="D203" i="6"/>
  <c r="E203" i="6"/>
  <c r="F203" i="6"/>
  <c r="D204" i="6"/>
  <c r="E204" i="6"/>
  <c r="F204" i="6"/>
  <c r="D205" i="6"/>
  <c r="E205" i="6"/>
  <c r="F205" i="6"/>
  <c r="D206" i="6"/>
  <c r="E206" i="6"/>
  <c r="F206" i="6"/>
  <c r="D207" i="6"/>
  <c r="E207" i="6"/>
  <c r="F207" i="6"/>
  <c r="D208" i="6"/>
  <c r="E208" i="6"/>
  <c r="F208" i="6"/>
  <c r="D209" i="6"/>
  <c r="E209" i="6"/>
  <c r="F209" i="6"/>
  <c r="C2" i="12"/>
  <c r="E2" i="12"/>
  <c r="C5" i="12"/>
  <c r="AI11" i="12"/>
  <c r="AI12" i="12"/>
  <c r="L13" i="12"/>
  <c r="AI13" i="12"/>
  <c r="AI14" i="12"/>
  <c r="AI15" i="12"/>
  <c r="J16" i="12"/>
  <c r="L16" i="12"/>
  <c r="M16" i="12"/>
  <c r="N16" i="12"/>
  <c r="O16" i="12"/>
  <c r="P16" i="12"/>
  <c r="Q16" i="12"/>
  <c r="R16" i="12"/>
  <c r="S16" i="12"/>
  <c r="T16" i="12"/>
  <c r="AI16" i="12"/>
  <c r="J17" i="12"/>
  <c r="L17" i="12"/>
  <c r="M17" i="12"/>
  <c r="N17" i="12"/>
  <c r="O17" i="12"/>
  <c r="P17" i="12"/>
  <c r="Q17" i="12"/>
  <c r="R17" i="12"/>
  <c r="S17" i="12"/>
  <c r="T17" i="12"/>
  <c r="AI17" i="12"/>
  <c r="L18" i="12"/>
  <c r="M18" i="12"/>
  <c r="N18" i="12"/>
  <c r="O18" i="12"/>
  <c r="P18" i="12"/>
  <c r="Q18" i="12"/>
  <c r="R18" i="12"/>
  <c r="S18" i="12"/>
  <c r="T18" i="12"/>
  <c r="AI18" i="12"/>
  <c r="L19" i="12"/>
  <c r="M19" i="12"/>
  <c r="N19" i="12"/>
  <c r="O19" i="12"/>
  <c r="P19" i="12"/>
  <c r="Q19" i="12"/>
  <c r="R19" i="12"/>
  <c r="S19" i="12"/>
  <c r="T19" i="12"/>
  <c r="AI19" i="12"/>
  <c r="AI20" i="12"/>
  <c r="AI21" i="12"/>
  <c r="L22" i="12"/>
  <c r="M22" i="12"/>
  <c r="N22" i="12"/>
  <c r="O22" i="12"/>
  <c r="P22" i="12"/>
  <c r="Q22" i="12"/>
  <c r="R22" i="12"/>
  <c r="S22" i="12"/>
  <c r="T22" i="12"/>
  <c r="AI22" i="12"/>
  <c r="AI23" i="12"/>
  <c r="AI24" i="12"/>
  <c r="AI25" i="12"/>
  <c r="L26" i="12"/>
  <c r="M26" i="12"/>
  <c r="N26" i="12"/>
  <c r="O26" i="12"/>
  <c r="P26" i="12"/>
  <c r="Q26" i="12"/>
  <c r="R26" i="12"/>
  <c r="S26" i="12"/>
  <c r="T26" i="12"/>
  <c r="AI26" i="12"/>
  <c r="L27" i="12"/>
  <c r="M27" i="12"/>
  <c r="N27" i="12"/>
  <c r="O27" i="12"/>
  <c r="P27" i="12"/>
  <c r="Q27" i="12"/>
  <c r="R27" i="12"/>
  <c r="S27" i="12"/>
  <c r="T27" i="12"/>
  <c r="AI27" i="12"/>
  <c r="L28" i="12"/>
  <c r="M28" i="12"/>
  <c r="N28" i="12"/>
  <c r="O28" i="12"/>
  <c r="P28" i="12"/>
  <c r="Q28" i="12"/>
  <c r="R28" i="12"/>
  <c r="S28" i="12"/>
  <c r="T28" i="12"/>
  <c r="AI28" i="12"/>
  <c r="AI29" i="12"/>
  <c r="AI30" i="12"/>
  <c r="AI31" i="12"/>
  <c r="AI32" i="12"/>
  <c r="AI33" i="12"/>
  <c r="AI34" i="12"/>
  <c r="AI35" i="12"/>
  <c r="AG36" i="12"/>
  <c r="AI36" i="12"/>
  <c r="AG37" i="12"/>
  <c r="AI37" i="12"/>
  <c r="AI38" i="12"/>
  <c r="E39" i="12"/>
  <c r="AI39" i="12"/>
  <c r="AI40" i="12"/>
  <c r="AI41" i="12"/>
  <c r="AI42" i="12"/>
  <c r="AI43" i="12"/>
  <c r="H45" i="12"/>
  <c r="AG52" i="12"/>
  <c r="AG53" i="12"/>
  <c r="AG54" i="12"/>
  <c r="AG55" i="12"/>
  <c r="AG56" i="12"/>
  <c r="AG57" i="12"/>
  <c r="AI57" i="12"/>
  <c r="AG58" i="12"/>
  <c r="AG59" i="12"/>
  <c r="AG60" i="12"/>
  <c r="AG61" i="12"/>
  <c r="AG62" i="12"/>
  <c r="AG63" i="12"/>
  <c r="AG64" i="12"/>
  <c r="BJ64" i="12"/>
  <c r="BK64" i="12"/>
  <c r="AG65" i="12"/>
  <c r="BJ65" i="12"/>
  <c r="BK65" i="12"/>
  <c r="AG66" i="12"/>
  <c r="BJ66" i="12"/>
  <c r="BK66" i="12"/>
  <c r="AG67" i="12"/>
  <c r="BJ67" i="12"/>
  <c r="BK67" i="12"/>
  <c r="AG68" i="12"/>
  <c r="BJ68" i="12"/>
  <c r="BK68" i="12"/>
  <c r="AG69" i="12"/>
  <c r="AG70" i="12"/>
  <c r="AG71" i="12"/>
  <c r="AG72" i="12"/>
  <c r="AG73" i="12"/>
  <c r="AG74" i="12"/>
  <c r="BJ74" i="12"/>
  <c r="BK74" i="12"/>
  <c r="AG75" i="12"/>
  <c r="BJ75" i="12"/>
  <c r="BK75" i="12"/>
  <c r="AG76" i="12"/>
  <c r="BJ76" i="12"/>
  <c r="BK76" i="12"/>
  <c r="D4" i="9"/>
  <c r="E4" i="9"/>
  <c r="H4" i="9"/>
  <c r="D5" i="9"/>
  <c r="B45" i="9"/>
  <c r="AD4" i="10"/>
  <c r="AD5" i="10"/>
  <c r="AE5" i="10"/>
  <c r="AD6" i="10"/>
  <c r="AE6" i="10"/>
  <c r="AD7" i="10"/>
  <c r="AE7" i="10"/>
  <c r="AD8" i="10"/>
  <c r="AE8" i="10"/>
  <c r="AD9" i="10"/>
  <c r="AE9" i="10"/>
  <c r="AD10" i="10"/>
  <c r="AE10" i="10"/>
  <c r="AD11" i="10"/>
  <c r="AE11" i="10"/>
  <c r="AD12" i="10"/>
  <c r="AE12" i="10"/>
  <c r="AD13" i="10"/>
  <c r="AE13" i="10"/>
  <c r="AD14" i="10"/>
  <c r="AE14" i="10"/>
  <c r="AD15" i="10"/>
  <c r="AE15" i="10"/>
  <c r="AD16" i="10"/>
  <c r="AE16" i="10"/>
  <c r="AD17" i="10"/>
  <c r="AE17" i="10"/>
  <c r="AD18" i="10"/>
  <c r="AE18" i="10"/>
  <c r="AD19" i="10"/>
  <c r="AE19" i="10"/>
  <c r="AD20" i="10"/>
  <c r="AE20" i="10"/>
  <c r="AD21" i="10"/>
  <c r="AE21" i="10"/>
  <c r="AD22" i="10"/>
  <c r="AE22" i="10"/>
  <c r="AD23" i="10"/>
  <c r="AE23" i="10"/>
  <c r="AD24" i="10"/>
  <c r="AE24" i="10"/>
  <c r="AD25" i="10"/>
  <c r="AE25" i="10"/>
  <c r="C26" i="10"/>
  <c r="D26" i="10"/>
  <c r="E26" i="10"/>
  <c r="F26" i="10"/>
  <c r="G26" i="10"/>
  <c r="H26" i="10"/>
  <c r="I26" i="10"/>
  <c r="J26" i="10"/>
  <c r="K26" i="10"/>
  <c r="L26" i="10"/>
  <c r="M26" i="10"/>
  <c r="N26" i="10"/>
  <c r="O26" i="10"/>
  <c r="P26" i="10"/>
  <c r="Q26" i="10"/>
  <c r="R26" i="10"/>
  <c r="S26" i="10"/>
  <c r="T26" i="10"/>
  <c r="U26" i="10"/>
  <c r="V26" i="10"/>
  <c r="W26" i="10"/>
  <c r="X26" i="10"/>
  <c r="Y26" i="10"/>
  <c r="Z26" i="10"/>
  <c r="AA26" i="10"/>
  <c r="AB26" i="10"/>
  <c r="AC26" i="10"/>
  <c r="AD26" i="10"/>
  <c r="AE26" i="10"/>
  <c r="AF26" i="10"/>
  <c r="AG26" i="10"/>
  <c r="AH26" i="10"/>
  <c r="AI26" i="10"/>
  <c r="AJ26" i="10"/>
  <c r="AK26" i="10"/>
  <c r="AL26" i="10"/>
  <c r="AM26" i="10"/>
  <c r="AN26" i="10"/>
  <c r="AO26" i="10"/>
  <c r="AP26" i="10"/>
  <c r="AQ26" i="10"/>
  <c r="AR26" i="10"/>
  <c r="AS26" i="10"/>
  <c r="AT26" i="10"/>
  <c r="AU26" i="10"/>
  <c r="AV26" i="10"/>
  <c r="AW26" i="10"/>
  <c r="AX26" i="10"/>
  <c r="AY26" i="10"/>
  <c r="AZ26" i="10"/>
  <c r="BA26" i="10"/>
  <c r="BB26" i="10"/>
  <c r="BC26" i="10"/>
  <c r="BD26" i="10"/>
  <c r="BE26" i="10"/>
  <c r="BF26" i="10"/>
  <c r="BG26" i="10"/>
  <c r="BH26" i="10"/>
  <c r="BI26" i="10"/>
  <c r="BJ26" i="10"/>
  <c r="BK26" i="10"/>
  <c r="B28" i="10"/>
  <c r="AE5" i="8"/>
  <c r="AF5" i="8"/>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19" i="8"/>
  <c r="AF19" i="8"/>
  <c r="AE20" i="8"/>
  <c r="AF20" i="8"/>
  <c r="AE21" i="8"/>
  <c r="AF21" i="8"/>
  <c r="AE22" i="8"/>
  <c r="AF22" i="8"/>
  <c r="AE23" i="8"/>
  <c r="AF23" i="8"/>
  <c r="AE24" i="8"/>
  <c r="AF24" i="8"/>
  <c r="AE25" i="8"/>
  <c r="AF25" i="8"/>
  <c r="AE26" i="8"/>
  <c r="AF26" i="8"/>
  <c r="AE30" i="8"/>
  <c r="AF30" i="8"/>
  <c r="AE31" i="8"/>
  <c r="AF31" i="8"/>
  <c r="AE32" i="8"/>
  <c r="AF32" i="8"/>
  <c r="AE33" i="8"/>
  <c r="AF33" i="8"/>
  <c r="AE34" i="8"/>
  <c r="AF34" i="8"/>
  <c r="AE35" i="8"/>
  <c r="AF35" i="8"/>
  <c r="AE36" i="8"/>
  <c r="AF36" i="8"/>
  <c r="AE37" i="8"/>
  <c r="AF37" i="8"/>
  <c r="AE38" i="8"/>
  <c r="AF38"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5" i="8"/>
  <c r="AF55"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0" i="8"/>
  <c r="AF70" i="8"/>
  <c r="AE71" i="8"/>
  <c r="AF71" i="8"/>
  <c r="AE72" i="8"/>
  <c r="AF72" i="8"/>
  <c r="AE73" i="8"/>
  <c r="AF73" i="8"/>
  <c r="AE74" i="8"/>
  <c r="AF74" i="8"/>
  <c r="AE75" i="8"/>
  <c r="AF75" i="8"/>
  <c r="AE76" i="8"/>
  <c r="AF76" i="8"/>
  <c r="AE80" i="8"/>
  <c r="AF80" i="8"/>
  <c r="AE81" i="8"/>
  <c r="AF81" i="8"/>
  <c r="AE82" i="8"/>
  <c r="AF82" i="8"/>
  <c r="AE83" i="8"/>
  <c r="AF83" i="8"/>
  <c r="AE84" i="8"/>
  <c r="AF84" i="8"/>
  <c r="AE85" i="8"/>
  <c r="AF85" i="8"/>
  <c r="AE86" i="8"/>
  <c r="AF86" i="8"/>
  <c r="AE87" i="8"/>
  <c r="AF87" i="8"/>
  <c r="AE88" i="8"/>
  <c r="AF88" i="8"/>
  <c r="AE89" i="8"/>
  <c r="AF89" i="8"/>
  <c r="AE90" i="8"/>
  <c r="AF90" i="8"/>
  <c r="AE91" i="8"/>
  <c r="AF91" i="8"/>
  <c r="AE92" i="8"/>
  <c r="AF92" i="8"/>
  <c r="AE93" i="8"/>
  <c r="AF93" i="8"/>
  <c r="AE94" i="8"/>
  <c r="AF94" i="8"/>
  <c r="AE95" i="8"/>
  <c r="AF95" i="8"/>
  <c r="AE96" i="8"/>
  <c r="AF96" i="8"/>
  <c r="AE97" i="8"/>
  <c r="AF97" i="8"/>
  <c r="AE98" i="8"/>
  <c r="AF98" i="8"/>
  <c r="AE99" i="8"/>
  <c r="AF99" i="8"/>
  <c r="AE100" i="8"/>
  <c r="AF100" i="8"/>
  <c r="AE101" i="8"/>
  <c r="AF101" i="8"/>
  <c r="AE105" i="8"/>
  <c r="AF105" i="8"/>
  <c r="AE106" i="8"/>
  <c r="AF106"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1" i="8"/>
  <c r="AF121" i="8"/>
  <c r="AE122" i="8"/>
  <c r="AF122" i="8"/>
  <c r="AE123" i="8"/>
  <c r="AF123" i="8"/>
  <c r="AE124" i="8"/>
  <c r="AF124" i="8"/>
  <c r="AE125" i="8"/>
  <c r="AF125" i="8"/>
  <c r="AE126" i="8"/>
  <c r="AF126" i="8"/>
  <c r="AE130" i="8"/>
  <c r="AF130" i="8"/>
  <c r="AE131" i="8"/>
  <c r="AF131" i="8"/>
  <c r="AE132" i="8"/>
  <c r="AF132" i="8"/>
  <c r="AE133" i="8"/>
  <c r="AF133" i="8"/>
  <c r="AE134" i="8"/>
  <c r="AF134" i="8"/>
  <c r="AE135" i="8"/>
  <c r="AF135" i="8"/>
  <c r="AE136" i="8"/>
  <c r="AF136" i="8"/>
  <c r="AE137" i="8"/>
  <c r="AF137" i="8"/>
  <c r="AE138" i="8"/>
  <c r="AF138" i="8"/>
  <c r="AE139" i="8"/>
  <c r="AF139" i="8"/>
  <c r="AE140" i="8"/>
  <c r="AF140" i="8"/>
  <c r="AE141" i="8"/>
  <c r="AF141" i="8"/>
  <c r="AE142" i="8"/>
  <c r="AF142" i="8"/>
  <c r="AE143" i="8"/>
  <c r="AF143" i="8"/>
  <c r="AE144" i="8"/>
  <c r="AF144" i="8"/>
  <c r="AE145" i="8"/>
  <c r="AF145" i="8"/>
  <c r="AE146" i="8"/>
  <c r="AF146" i="8"/>
  <c r="AE147" i="8"/>
  <c r="AF147" i="8"/>
  <c r="AE148" i="8"/>
  <c r="AF148" i="8"/>
  <c r="AE149" i="8"/>
  <c r="AF149" i="8"/>
  <c r="AE150" i="8"/>
  <c r="AF150" i="8"/>
  <c r="AE151" i="8"/>
  <c r="AF151" i="8"/>
  <c r="AE155" i="8"/>
  <c r="AF155" i="8"/>
  <c r="AE156" i="8"/>
  <c r="AF156" i="8"/>
  <c r="AE157" i="8"/>
  <c r="AF157" i="8"/>
  <c r="AE158" i="8"/>
  <c r="AF158" i="8"/>
  <c r="AE159" i="8"/>
  <c r="AF159" i="8"/>
  <c r="AE160" i="8"/>
  <c r="AF160" i="8"/>
  <c r="AE161" i="8"/>
  <c r="AF161" i="8"/>
  <c r="AE162" i="8"/>
  <c r="AF162" i="8"/>
  <c r="AE163" i="8"/>
  <c r="AF163" i="8"/>
  <c r="AE164" i="8"/>
  <c r="AF164" i="8"/>
  <c r="AE165" i="8"/>
  <c r="AF165" i="8"/>
  <c r="AE166" i="8"/>
  <c r="AF166" i="8"/>
  <c r="AE167" i="8"/>
  <c r="AF167" i="8"/>
  <c r="AE168" i="8"/>
  <c r="AF168" i="8"/>
  <c r="AE169" i="8"/>
  <c r="AF169" i="8"/>
  <c r="AE170" i="8"/>
  <c r="AF170" i="8"/>
  <c r="AE171" i="8"/>
  <c r="AF171" i="8"/>
  <c r="AE172" i="8"/>
  <c r="AF172" i="8"/>
  <c r="AE173" i="8"/>
  <c r="AF173" i="8"/>
  <c r="AE174" i="8"/>
  <c r="AF174" i="8"/>
  <c r="AE175" i="8"/>
  <c r="AF175" i="8"/>
  <c r="AE176" i="8"/>
  <c r="AF176" i="8"/>
  <c r="AE180" i="8"/>
  <c r="AF180" i="8"/>
  <c r="AE181" i="8"/>
  <c r="AF181" i="8"/>
  <c r="AE182" i="8"/>
  <c r="AF182" i="8"/>
  <c r="AE183" i="8"/>
  <c r="AF183" i="8"/>
  <c r="AE184" i="8"/>
  <c r="AF184" i="8"/>
  <c r="AE185" i="8"/>
  <c r="AF185" i="8"/>
  <c r="AE186" i="8"/>
  <c r="AF186" i="8"/>
  <c r="AE187" i="8"/>
  <c r="AF187" i="8"/>
  <c r="AE188" i="8"/>
  <c r="AF188" i="8"/>
  <c r="AE189" i="8"/>
  <c r="AF189" i="8"/>
  <c r="AE190" i="8"/>
  <c r="AF190" i="8"/>
  <c r="AE191" i="8"/>
  <c r="AF191" i="8"/>
  <c r="AE192" i="8"/>
  <c r="AF192" i="8"/>
  <c r="AE193" i="8"/>
  <c r="AF193" i="8"/>
  <c r="AE194" i="8"/>
  <c r="AF194" i="8"/>
  <c r="AE195" i="8"/>
  <c r="AF195" i="8"/>
  <c r="AE196" i="8"/>
  <c r="AF196" i="8"/>
  <c r="AE197" i="8"/>
  <c r="AF197" i="8"/>
  <c r="AE198" i="8"/>
  <c r="AF198" i="8"/>
  <c r="AE199" i="8"/>
  <c r="AF199" i="8"/>
  <c r="AE200" i="8"/>
  <c r="AF200" i="8"/>
  <c r="AE201" i="8"/>
  <c r="AF201" i="8"/>
  <c r="AE205" i="8"/>
  <c r="AF205" i="8"/>
  <c r="AE206" i="8"/>
  <c r="AF206" i="8"/>
  <c r="AE207" i="8"/>
  <c r="AF207" i="8"/>
  <c r="AE208" i="8"/>
  <c r="AF208" i="8"/>
  <c r="AE209" i="8"/>
  <c r="AF209" i="8"/>
  <c r="AE210" i="8"/>
  <c r="AF210" i="8"/>
  <c r="AE211" i="8"/>
  <c r="AF211" i="8"/>
  <c r="AE212" i="8"/>
  <c r="AF212" i="8"/>
  <c r="AE213" i="8"/>
  <c r="AF213" i="8"/>
  <c r="AE214" i="8"/>
  <c r="AF214" i="8"/>
  <c r="AE215" i="8"/>
  <c r="AF215" i="8"/>
  <c r="AE216" i="8"/>
  <c r="AF216" i="8"/>
  <c r="AE217" i="8"/>
  <c r="AF217" i="8"/>
  <c r="AE218" i="8"/>
  <c r="AF218" i="8"/>
  <c r="AE219" i="8"/>
  <c r="AF219" i="8"/>
  <c r="AE220" i="8"/>
  <c r="AF220" i="8"/>
  <c r="AE221" i="8"/>
  <c r="AF221" i="8"/>
  <c r="AE222" i="8"/>
  <c r="AF222" i="8"/>
  <c r="AE223" i="8"/>
  <c r="AF223" i="8"/>
  <c r="AE224" i="8"/>
  <c r="AF224" i="8"/>
  <c r="AE225" i="8"/>
  <c r="AF225" i="8"/>
  <c r="AE226" i="8"/>
  <c r="AF226" i="8"/>
  <c r="C228" i="8"/>
  <c r="D234" i="8"/>
  <c r="E234" i="8"/>
  <c r="F234" i="8"/>
  <c r="G234" i="8"/>
  <c r="H234" i="8"/>
  <c r="I234" i="8"/>
  <c r="J234" i="8"/>
  <c r="K234" i="8"/>
  <c r="L234" i="8"/>
  <c r="M234" i="8"/>
  <c r="N234" i="8"/>
  <c r="O234" i="8"/>
  <c r="Q234" i="8"/>
  <c r="D235" i="8"/>
  <c r="E235" i="8"/>
  <c r="F235" i="8"/>
  <c r="G235" i="8"/>
  <c r="H235" i="8"/>
  <c r="I235" i="8"/>
  <c r="J235" i="8"/>
  <c r="K235" i="8"/>
  <c r="L235" i="8"/>
  <c r="M235" i="8"/>
  <c r="N235" i="8"/>
  <c r="O235" i="8"/>
  <c r="Q235" i="8"/>
  <c r="D236" i="8"/>
  <c r="E236" i="8"/>
  <c r="F236" i="8"/>
  <c r="G236" i="8"/>
  <c r="H236" i="8"/>
  <c r="I236" i="8"/>
  <c r="J236" i="8"/>
  <c r="K236" i="8"/>
  <c r="L236" i="8"/>
  <c r="M236" i="8"/>
  <c r="N236" i="8"/>
  <c r="O236" i="8"/>
  <c r="Q236" i="8"/>
  <c r="D237" i="8"/>
  <c r="E237" i="8"/>
  <c r="F237" i="8"/>
  <c r="G237" i="8"/>
  <c r="H237" i="8"/>
  <c r="I237" i="8"/>
  <c r="J237" i="8"/>
  <c r="K237" i="8"/>
  <c r="L237" i="8"/>
  <c r="M237" i="8"/>
  <c r="N237" i="8"/>
  <c r="O237" i="8"/>
  <c r="Q237" i="8"/>
  <c r="D238" i="8"/>
  <c r="E238" i="8"/>
  <c r="F238" i="8"/>
  <c r="G238" i="8"/>
  <c r="H238" i="8"/>
  <c r="I238" i="8"/>
  <c r="J238" i="8"/>
  <c r="K238" i="8"/>
  <c r="L238" i="8"/>
  <c r="M238" i="8"/>
  <c r="N238" i="8"/>
  <c r="O238" i="8"/>
  <c r="Q238" i="8"/>
  <c r="D239" i="8"/>
  <c r="E239" i="8"/>
  <c r="F239" i="8"/>
  <c r="G239" i="8"/>
  <c r="H239" i="8"/>
  <c r="I239" i="8"/>
  <c r="J239" i="8"/>
  <c r="K239" i="8"/>
  <c r="L239" i="8"/>
  <c r="M239" i="8"/>
  <c r="N239" i="8"/>
  <c r="O239" i="8"/>
  <c r="Q239" i="8"/>
  <c r="D240" i="8"/>
  <c r="E240" i="8"/>
  <c r="F240" i="8"/>
  <c r="G240" i="8"/>
  <c r="H240" i="8"/>
  <c r="I240" i="8"/>
  <c r="J240" i="8"/>
  <c r="K240" i="8"/>
  <c r="L240" i="8"/>
  <c r="M240" i="8"/>
  <c r="N240" i="8"/>
  <c r="O240" i="8"/>
  <c r="Q240" i="8"/>
  <c r="D241" i="8"/>
  <c r="E241" i="8"/>
  <c r="F241" i="8"/>
  <c r="G241" i="8"/>
  <c r="H241" i="8"/>
  <c r="I241" i="8"/>
  <c r="J241" i="8"/>
  <c r="K241" i="8"/>
  <c r="L241" i="8"/>
  <c r="M241" i="8"/>
  <c r="N241" i="8"/>
  <c r="O241" i="8"/>
  <c r="Q241" i="8"/>
  <c r="D242" i="8"/>
  <c r="E242" i="8"/>
  <c r="F242" i="8"/>
  <c r="G242" i="8"/>
  <c r="H242" i="8"/>
  <c r="I242" i="8"/>
  <c r="J242" i="8"/>
  <c r="K242" i="8"/>
  <c r="L242" i="8"/>
  <c r="M242" i="8"/>
  <c r="N242" i="8"/>
  <c r="O242" i="8"/>
  <c r="Q242" i="8"/>
  <c r="D243" i="8"/>
  <c r="E243" i="8"/>
  <c r="F243" i="8"/>
  <c r="G243" i="8"/>
  <c r="H243" i="8"/>
  <c r="I243" i="8"/>
  <c r="J243" i="8"/>
  <c r="K243" i="8"/>
  <c r="L243" i="8"/>
  <c r="M243" i="8"/>
  <c r="N243" i="8"/>
  <c r="O243" i="8"/>
  <c r="Q243" i="8"/>
  <c r="D244" i="8"/>
  <c r="E244" i="8"/>
  <c r="F244" i="8"/>
  <c r="G244" i="8"/>
  <c r="H244" i="8"/>
  <c r="I244" i="8"/>
  <c r="J244" i="8"/>
  <c r="K244" i="8"/>
  <c r="L244" i="8"/>
  <c r="M244" i="8"/>
  <c r="N244" i="8"/>
  <c r="O244" i="8"/>
  <c r="Q244" i="8"/>
  <c r="D245" i="8"/>
  <c r="E245" i="8"/>
  <c r="F245" i="8"/>
  <c r="G245" i="8"/>
  <c r="H245" i="8"/>
  <c r="I245" i="8"/>
  <c r="J245" i="8"/>
  <c r="K245" i="8"/>
  <c r="L245" i="8"/>
  <c r="M245" i="8"/>
  <c r="N245" i="8"/>
  <c r="O245" i="8"/>
  <c r="Q245" i="8"/>
  <c r="D246" i="8"/>
  <c r="E246" i="8"/>
  <c r="F246" i="8"/>
  <c r="G246" i="8"/>
  <c r="H246" i="8"/>
  <c r="I246" i="8"/>
  <c r="J246" i="8"/>
  <c r="K246" i="8"/>
  <c r="L246" i="8"/>
  <c r="M246" i="8"/>
  <c r="N246" i="8"/>
  <c r="O246" i="8"/>
  <c r="Q246" i="8"/>
  <c r="D247" i="8"/>
  <c r="E247" i="8"/>
  <c r="F247" i="8"/>
  <c r="G247" i="8"/>
  <c r="H247" i="8"/>
  <c r="I247" i="8"/>
  <c r="J247" i="8"/>
  <c r="K247" i="8"/>
  <c r="L247" i="8"/>
  <c r="M247" i="8"/>
  <c r="N247" i="8"/>
  <c r="O247" i="8"/>
  <c r="Q247" i="8"/>
  <c r="D248" i="8"/>
  <c r="E248" i="8"/>
  <c r="F248" i="8"/>
  <c r="G248" i="8"/>
  <c r="H248" i="8"/>
  <c r="I248" i="8"/>
  <c r="J248" i="8"/>
  <c r="K248" i="8"/>
  <c r="L248" i="8"/>
  <c r="M248" i="8"/>
  <c r="N248" i="8"/>
  <c r="O248" i="8"/>
  <c r="Q248" i="8"/>
  <c r="D249" i="8"/>
  <c r="E249" i="8"/>
  <c r="F249" i="8"/>
  <c r="G249" i="8"/>
  <c r="H249" i="8"/>
  <c r="I249" i="8"/>
  <c r="J249" i="8"/>
  <c r="K249" i="8"/>
  <c r="L249" i="8"/>
  <c r="M249" i="8"/>
  <c r="N249" i="8"/>
  <c r="O249" i="8"/>
  <c r="Q249" i="8"/>
  <c r="D250" i="8"/>
  <c r="E250" i="8"/>
  <c r="F250" i="8"/>
  <c r="G250" i="8"/>
  <c r="H250" i="8"/>
  <c r="I250" i="8"/>
  <c r="J250" i="8"/>
  <c r="K250" i="8"/>
  <c r="L250" i="8"/>
  <c r="M250" i="8"/>
  <c r="N250" i="8"/>
  <c r="O250" i="8"/>
  <c r="Q250" i="8"/>
  <c r="D251" i="8"/>
  <c r="E251" i="8"/>
  <c r="F251" i="8"/>
  <c r="G251" i="8"/>
  <c r="H251" i="8"/>
  <c r="I251" i="8"/>
  <c r="J251" i="8"/>
  <c r="K251" i="8"/>
  <c r="L251" i="8"/>
  <c r="M251" i="8"/>
  <c r="N251" i="8"/>
  <c r="O251" i="8"/>
  <c r="Q251" i="8"/>
  <c r="D252" i="8"/>
  <c r="E252" i="8"/>
  <c r="F252" i="8"/>
  <c r="G252" i="8"/>
  <c r="H252" i="8"/>
  <c r="I252" i="8"/>
  <c r="J252" i="8"/>
  <c r="K252" i="8"/>
  <c r="L252" i="8"/>
  <c r="M252" i="8"/>
  <c r="N252" i="8"/>
  <c r="O252" i="8"/>
  <c r="Q252" i="8"/>
  <c r="D253" i="8"/>
  <c r="E253" i="8"/>
  <c r="F253" i="8"/>
  <c r="G253" i="8"/>
  <c r="H253" i="8"/>
  <c r="I253" i="8"/>
  <c r="J253" i="8"/>
  <c r="K253" i="8"/>
  <c r="L253" i="8"/>
  <c r="M253" i="8"/>
  <c r="N253" i="8"/>
  <c r="O253" i="8"/>
  <c r="Q253" i="8"/>
  <c r="D254" i="8"/>
  <c r="E254" i="8"/>
  <c r="F254" i="8"/>
  <c r="G254" i="8"/>
  <c r="H254" i="8"/>
  <c r="I254" i="8"/>
  <c r="J254" i="8"/>
  <c r="K254" i="8"/>
  <c r="L254" i="8"/>
  <c r="M254" i="8"/>
  <c r="N254" i="8"/>
  <c r="O254" i="8"/>
  <c r="Q254" i="8"/>
  <c r="D255" i="8"/>
  <c r="E255" i="8"/>
  <c r="F255" i="8"/>
  <c r="G255" i="8"/>
  <c r="H255" i="8"/>
  <c r="I255" i="8"/>
  <c r="J255" i="8"/>
  <c r="K255" i="8"/>
  <c r="L255" i="8"/>
  <c r="M255" i="8"/>
  <c r="N255" i="8"/>
  <c r="O255" i="8"/>
  <c r="Q255" i="8"/>
  <c r="T11" i="2"/>
  <c r="D12" i="2"/>
  <c r="D13" i="2"/>
  <c r="C14" i="2"/>
  <c r="A31" i="2"/>
  <c r="A32" i="2"/>
  <c r="A33" i="2"/>
  <c r="T33" i="2"/>
  <c r="E33" i="2" s="1"/>
  <c r="E7" i="6"/>
  <c r="AD7" i="6"/>
  <c r="C59" i="11"/>
  <c r="BC59" i="11"/>
  <c r="BK18" i="11"/>
  <c r="AB33" i="2"/>
  <c r="AC33" i="2"/>
  <c r="A34" i="2"/>
  <c r="F8" i="6"/>
  <c r="T34" i="2"/>
  <c r="E34" i="2" s="1"/>
  <c r="E8" i="6"/>
  <c r="AB34" i="2"/>
  <c r="AC34" i="2"/>
  <c r="A35" i="2"/>
  <c r="F9" i="6"/>
  <c r="T35" i="2"/>
  <c r="E35" i="2" s="1"/>
  <c r="E9" i="6"/>
  <c r="AD9" i="6"/>
  <c r="C61" i="11"/>
  <c r="BC61" i="11"/>
  <c r="BK20" i="11"/>
  <c r="AB35" i="2"/>
  <c r="AC35" i="2"/>
  <c r="A36" i="2"/>
  <c r="F10" i="6"/>
  <c r="T36" i="2"/>
  <c r="E36" i="2" s="1"/>
  <c r="E10" i="6"/>
  <c r="AD10" i="6"/>
  <c r="C62" i="11"/>
  <c r="BC62" i="11"/>
  <c r="BK21" i="11"/>
  <c r="AB36" i="2"/>
  <c r="AC36" i="2"/>
  <c r="A37" i="2"/>
  <c r="A38" i="2"/>
  <c r="A39" i="2"/>
  <c r="T39" i="2"/>
  <c r="E39" i="2" s="1"/>
  <c r="E13" i="6"/>
  <c r="AB39" i="2"/>
  <c r="A40" i="2"/>
  <c r="A41" i="2"/>
  <c r="A42" i="2"/>
  <c r="T43" i="2"/>
  <c r="E43" i="2" s="1"/>
  <c r="E17" i="6"/>
  <c r="AB43" i="2"/>
  <c r="A44" i="2"/>
  <c r="T44" i="2"/>
  <c r="E44" i="2" s="1"/>
  <c r="E18" i="6"/>
  <c r="AB44" i="2"/>
  <c r="A45" i="2"/>
  <c r="T45" i="2"/>
  <c r="E45" i="2" s="1"/>
  <c r="E19" i="6"/>
  <c r="AB45" i="2"/>
  <c r="A46" i="2"/>
  <c r="A51" i="2"/>
  <c r="A53" i="2"/>
  <c r="A54" i="2"/>
  <c r="T54" i="2"/>
  <c r="E54" i="2" s="1"/>
  <c r="E68" i="6"/>
  <c r="AB54" i="2"/>
  <c r="A55" i="2"/>
  <c r="A57" i="2"/>
  <c r="A58" i="2"/>
  <c r="F71" i="6"/>
  <c r="T58" i="2"/>
  <c r="E58" i="2" s="1"/>
  <c r="E71" i="6"/>
  <c r="AD31" i="6"/>
  <c r="C83" i="11"/>
  <c r="BC82" i="11"/>
  <c r="AB58" i="2"/>
  <c r="AC58" i="2"/>
  <c r="A59" i="2"/>
  <c r="T59" i="2"/>
  <c r="AB59" i="2"/>
  <c r="A60" i="2"/>
  <c r="A64" i="2"/>
  <c r="A65" i="2"/>
  <c r="A66" i="2"/>
  <c r="A67" i="2"/>
  <c r="AC43" i="6"/>
  <c r="B94" i="11"/>
  <c r="BB93" i="11"/>
  <c r="BH51" i="11"/>
  <c r="AD43" i="6"/>
  <c r="C94" i="11"/>
  <c r="BC93" i="11"/>
  <c r="BJ51" i="11"/>
  <c r="Y67" i="2"/>
  <c r="AA67" i="2"/>
  <c r="A68" i="2"/>
  <c r="AC44" i="6"/>
  <c r="B95" i="11"/>
  <c r="BB94" i="11"/>
  <c r="BH52" i="11"/>
  <c r="Y68" i="2"/>
  <c r="A69" i="2"/>
  <c r="AC45" i="6"/>
  <c r="B96" i="11"/>
  <c r="BB95" i="11"/>
  <c r="BH53" i="11"/>
  <c r="Y69" i="2"/>
  <c r="A70" i="2"/>
  <c r="A71" i="2"/>
  <c r="AC47" i="6"/>
  <c r="B98" i="11"/>
  <c r="BB97" i="11"/>
  <c r="BH55" i="11"/>
  <c r="Y71" i="2"/>
  <c r="A72" i="2"/>
  <c r="AC48" i="6"/>
  <c r="B99" i="11"/>
  <c r="BB98" i="11"/>
  <c r="BH56" i="11"/>
  <c r="Y72" i="2"/>
  <c r="A73" i="2"/>
  <c r="AC49" i="6"/>
  <c r="B100" i="11"/>
  <c r="BB99" i="11"/>
  <c r="BH57" i="11"/>
  <c r="Y73" i="2"/>
  <c r="A74" i="2"/>
  <c r="AD52" i="6"/>
  <c r="C103" i="11"/>
  <c r="BC102" i="11"/>
  <c r="BJ60" i="11"/>
  <c r="AA76" i="2"/>
  <c r="AA77" i="2"/>
  <c r="AA81" i="2"/>
  <c r="AA83" i="2"/>
  <c r="X743" i="2"/>
  <c r="X749" i="2"/>
  <c r="X750" i="2"/>
  <c r="W752" i="2"/>
  <c r="W753" i="2"/>
  <c r="X753" i="2" s="1"/>
  <c r="W754" i="2"/>
  <c r="X754" i="2"/>
  <c r="W755" i="2"/>
  <c r="X755" i="2"/>
  <c r="O756" i="2"/>
  <c r="O757" i="2"/>
  <c r="X757" i="2"/>
  <c r="X759" i="2"/>
  <c r="AH9" i="12"/>
  <c r="Q805" i="2"/>
  <c r="Q806" i="2"/>
  <c r="Q807" i="2"/>
  <c r="Q808" i="2"/>
  <c r="Q809" i="2"/>
  <c r="Q810" i="2"/>
  <c r="Q811" i="2"/>
  <c r="A4" i="16"/>
  <c r="A5" i="16"/>
  <c r="A6" i="16"/>
  <c r="A7" i="16"/>
  <c r="A8" i="16"/>
  <c r="A9" i="16"/>
  <c r="A10" i="16"/>
  <c r="A11" i="16"/>
  <c r="A12" i="16"/>
  <c r="A13" i="16"/>
  <c r="A17" i="16"/>
  <c r="A18" i="16"/>
  <c r="A19" i="16"/>
  <c r="A20" i="16"/>
  <c r="A21" i="16"/>
  <c r="A22" i="16"/>
  <c r="A23" i="16"/>
  <c r="A24" i="16"/>
  <c r="A25" i="16"/>
  <c r="A26" i="16"/>
  <c r="A27" i="16"/>
  <c r="C2" i="11"/>
  <c r="D2" i="11"/>
  <c r="BC2" i="11"/>
  <c r="BH2" i="11"/>
  <c r="BJ2" i="11"/>
  <c r="C3" i="11"/>
  <c r="BC3" i="11"/>
  <c r="D4" i="11"/>
  <c r="BH4" i="11"/>
  <c r="BI4" i="11"/>
  <c r="C5" i="11"/>
  <c r="BC5" i="11"/>
  <c r="BH5" i="11"/>
  <c r="BH6" i="11"/>
  <c r="C7" i="11"/>
  <c r="BC7" i="11"/>
  <c r="BH7" i="11"/>
  <c r="C8" i="11"/>
  <c r="BC8" i="11"/>
  <c r="C9" i="11"/>
  <c r="BC9" i="11"/>
  <c r="BH9" i="11"/>
  <c r="C12" i="11"/>
  <c r="BC12" i="11"/>
  <c r="BH13" i="11"/>
  <c r="BG16" i="11"/>
  <c r="BH16" i="11"/>
  <c r="BI16" i="11"/>
  <c r="BJ16" i="11"/>
  <c r="BK16" i="11"/>
  <c r="BL16" i="11"/>
  <c r="BG17" i="11"/>
  <c r="BI17" i="11"/>
  <c r="BJ17" i="11"/>
  <c r="BK17" i="11"/>
  <c r="BL17" i="11"/>
  <c r="BG18" i="11"/>
  <c r="BG19" i="11"/>
  <c r="BG20" i="11"/>
  <c r="BG21" i="11"/>
  <c r="BG22" i="11"/>
  <c r="BG23" i="11"/>
  <c r="BG24" i="11"/>
  <c r="BG25" i="11"/>
  <c r="C26" i="11"/>
  <c r="D26" i="11"/>
  <c r="BC26" i="11"/>
  <c r="BD26" i="11"/>
  <c r="BG26" i="11"/>
  <c r="BG27" i="11"/>
  <c r="BG28" i="11"/>
  <c r="BG29" i="11"/>
  <c r="BG30" i="11"/>
  <c r="BG31" i="11"/>
  <c r="BG32" i="11"/>
  <c r="BG33" i="11"/>
  <c r="BG34" i="11"/>
  <c r="BC42" i="11"/>
  <c r="BD42" i="11"/>
  <c r="BG36" i="11"/>
  <c r="BB43" i="11"/>
  <c r="BC43" i="11"/>
  <c r="BD43" i="11"/>
  <c r="BH37" i="11"/>
  <c r="BI37" i="11"/>
  <c r="BJ37" i="11"/>
  <c r="BK37" i="11"/>
  <c r="BL37" i="11"/>
  <c r="C44" i="11"/>
  <c r="D44" i="11"/>
  <c r="BB44" i="11"/>
  <c r="BC44" i="11"/>
  <c r="BD44" i="11"/>
  <c r="BG38" i="11"/>
  <c r="BI38" i="11"/>
  <c r="BJ38" i="11"/>
  <c r="BK38" i="11"/>
  <c r="BL38" i="11"/>
  <c r="BG39" i="11"/>
  <c r="BK39" i="11"/>
  <c r="BG40" i="11"/>
  <c r="BG41" i="11"/>
  <c r="BG42" i="11"/>
  <c r="BL42" i="11"/>
  <c r="BG43" i="11"/>
  <c r="BK43" i="11"/>
  <c r="A50" i="11"/>
  <c r="BA50" i="11"/>
  <c r="BG44" i="11"/>
  <c r="BG45" i="11"/>
  <c r="BG46" i="11"/>
  <c r="BG48" i="11"/>
  <c r="B55" i="11"/>
  <c r="BG49" i="11"/>
  <c r="BJ49" i="11"/>
  <c r="BG50" i="11"/>
  <c r="B57" i="11"/>
  <c r="BG51" i="11"/>
  <c r="BG52" i="11"/>
  <c r="BG53" i="11"/>
  <c r="BG54" i="11"/>
  <c r="BG55" i="11"/>
  <c r="BG56" i="11"/>
  <c r="BG57" i="11"/>
  <c r="BG58" i="11"/>
  <c r="BG60" i="11"/>
  <c r="BG61" i="11"/>
  <c r="BG63" i="11"/>
  <c r="BG64" i="11"/>
  <c r="BH64" i="11"/>
  <c r="BJ64" i="11"/>
  <c r="BG65" i="11"/>
  <c r="BG66" i="11"/>
  <c r="BG67" i="11"/>
  <c r="D77" i="11"/>
  <c r="B78" i="11"/>
  <c r="C78" i="11"/>
  <c r="D78" i="11"/>
  <c r="C108" i="11"/>
  <c r="BC107" i="11"/>
  <c r="BJ65" i="11"/>
  <c r="C110" i="11"/>
  <c r="BC109" i="11"/>
  <c r="BJ67" i="11"/>
  <c r="C5" i="13"/>
  <c r="E10" i="13"/>
  <c r="AD3" i="10"/>
  <c r="F10" i="13"/>
  <c r="AE3" i="10"/>
  <c r="E33" i="13"/>
  <c r="F33" i="13"/>
  <c r="B35" i="13"/>
  <c r="C35" i="13"/>
  <c r="B60" i="13"/>
  <c r="C60" i="13"/>
  <c r="B85" i="13"/>
  <c r="C85" i="13"/>
  <c r="B110" i="13"/>
  <c r="C110" i="13"/>
  <c r="B135" i="13"/>
  <c r="C135" i="13"/>
  <c r="B160" i="13"/>
  <c r="C160" i="13"/>
  <c r="B185" i="13"/>
  <c r="C185" i="13"/>
  <c r="B210" i="13"/>
  <c r="C210" i="13"/>
  <c r="AH14" i="12"/>
  <c r="D18" i="2"/>
  <c r="AH15" i="12"/>
  <c r="B18" i="2" s="1"/>
  <c r="AH17" i="12"/>
  <c r="E16" i="12"/>
  <c r="AH18" i="12"/>
  <c r="E17" i="12"/>
  <c r="AH19" i="12"/>
  <c r="E18" i="12"/>
  <c r="AH20" i="12"/>
  <c r="E19" i="12"/>
  <c r="AH21" i="12"/>
  <c r="AH23" i="12"/>
  <c r="E22" i="12"/>
  <c r="E23" i="12"/>
  <c r="AH24" i="12"/>
  <c r="AH25" i="12"/>
  <c r="AH27" i="12"/>
  <c r="E26" i="12"/>
  <c r="AH28" i="12"/>
  <c r="E27" i="12"/>
  <c r="AH29" i="12"/>
  <c r="E28" i="12"/>
  <c r="AH30" i="12"/>
  <c r="AH31" i="12"/>
  <c r="AH32" i="12"/>
  <c r="AH35" i="12"/>
  <c r="E35" i="12"/>
  <c r="AH36" i="12"/>
  <c r="AH38" i="12"/>
  <c r="E38" i="12"/>
  <c r="AH40" i="12"/>
  <c r="AH42" i="12"/>
  <c r="AH43" i="12"/>
  <c r="B23" i="2"/>
  <c r="E9" i="12"/>
  <c r="D41" i="12"/>
  <c r="D226" i="6"/>
  <c r="E226" i="6"/>
  <c r="F226" i="6"/>
  <c r="D227" i="6"/>
  <c r="E227" i="6"/>
  <c r="F227" i="6"/>
  <c r="D228" i="6"/>
  <c r="E228" i="6"/>
  <c r="F228" i="6"/>
  <c r="D229" i="6"/>
  <c r="E229" i="6"/>
  <c r="F229" i="6"/>
  <c r="D230" i="6"/>
  <c r="E230" i="6"/>
  <c r="F230" i="6"/>
  <c r="D231" i="6"/>
  <c r="E231" i="6"/>
  <c r="F231" i="6"/>
  <c r="D232" i="6"/>
  <c r="E232" i="6"/>
  <c r="F232" i="6"/>
  <c r="D233" i="6"/>
  <c r="E233" i="6"/>
  <c r="F233" i="6"/>
  <c r="D234" i="6"/>
  <c r="E234" i="6"/>
  <c r="F234" i="6"/>
  <c r="D235" i="6"/>
  <c r="E235" i="6"/>
  <c r="F235" i="6"/>
  <c r="D236" i="6"/>
  <c r="E236" i="6"/>
  <c r="F236" i="6"/>
  <c r="D237" i="6"/>
  <c r="E237" i="6"/>
  <c r="F237" i="6"/>
  <c r="D238" i="6"/>
  <c r="E238" i="6"/>
  <c r="F238" i="6"/>
  <c r="D239" i="6"/>
  <c r="E239" i="6"/>
  <c r="F239" i="6"/>
  <c r="D240" i="6"/>
  <c r="E240" i="6"/>
  <c r="F240" i="6"/>
  <c r="D241" i="6"/>
  <c r="E241" i="6"/>
  <c r="F241" i="6"/>
  <c r="D242" i="6"/>
  <c r="E242" i="6"/>
  <c r="F242" i="6"/>
  <c r="D243" i="6"/>
  <c r="E243" i="6"/>
  <c r="F243" i="6"/>
  <c r="D244" i="6"/>
  <c r="E244" i="6"/>
  <c r="F244" i="6"/>
  <c r="D245" i="6"/>
  <c r="E245" i="6"/>
  <c r="F245" i="6"/>
  <c r="E61" i="2"/>
  <c r="E59" i="2"/>
  <c r="E72" i="6"/>
  <c r="D39" i="12"/>
  <c r="C59" i="2" s="1"/>
  <c r="F35" i="6"/>
  <c r="M36" i="6"/>
  <c r="B2" i="9"/>
  <c r="O85" i="6"/>
  <c r="H87" i="6"/>
  <c r="H120" i="6"/>
  <c r="Z59" i="2"/>
  <c r="D38" i="12"/>
  <c r="C58" i="2" s="1"/>
  <c r="E40" i="12"/>
  <c r="D35" i="12"/>
  <c r="C54" i="2" s="1"/>
  <c r="E36" i="12"/>
  <c r="D5" i="12"/>
  <c r="E5" i="12"/>
  <c r="AI58" i="12"/>
  <c r="AI59" i="12" s="1"/>
  <c r="B20" i="2"/>
  <c r="C4" i="11"/>
  <c r="BC4" i="11"/>
  <c r="BH8" i="11"/>
  <c r="E29" i="12"/>
  <c r="E20" i="12"/>
  <c r="E24" i="12"/>
  <c r="C6" i="11"/>
  <c r="BC6" i="11"/>
  <c r="BH10" i="11"/>
  <c r="AI70" i="12"/>
  <c r="AI78" i="12"/>
  <c r="C35" i="12"/>
  <c r="D36" i="12"/>
  <c r="Z54" i="2"/>
  <c r="C38" i="12"/>
  <c r="D40" i="12"/>
  <c r="D42" i="12"/>
  <c r="Z58" i="2"/>
  <c r="Y58" i="2"/>
  <c r="Y59" i="2"/>
  <c r="Z60" i="2"/>
  <c r="E30" i="12"/>
  <c r="E42" i="12"/>
  <c r="C39" i="12"/>
  <c r="Y60" i="2"/>
  <c r="C40" i="12"/>
  <c r="Y54" i="2"/>
  <c r="Z55" i="2"/>
  <c r="C36" i="12"/>
  <c r="Z62" i="2"/>
  <c r="Y55" i="2"/>
  <c r="Y62" i="2"/>
  <c r="AA58" i="2"/>
  <c r="AA59" i="2"/>
  <c r="AA54" i="2"/>
  <c r="AA55" i="2"/>
  <c r="AA60" i="2"/>
  <c r="AA62" i="2"/>
  <c r="AD13" i="6"/>
  <c r="C65" i="11"/>
  <c r="BC65" i="11"/>
  <c r="BK24" i="11"/>
  <c r="AD17" i="6"/>
  <c r="C69" i="11"/>
  <c r="BC69" i="11"/>
  <c r="BK28" i="11"/>
  <c r="AD18" i="6"/>
  <c r="C70" i="11"/>
  <c r="BC70" i="11"/>
  <c r="BK29" i="11"/>
  <c r="AD19" i="6"/>
  <c r="C71" i="11"/>
  <c r="BC71" i="11"/>
  <c r="BK30" i="11"/>
  <c r="AD28" i="6"/>
  <c r="C80" i="11"/>
  <c r="BC79" i="11"/>
  <c r="AD32" i="6"/>
  <c r="C84" i="11"/>
  <c r="BC83" i="11"/>
  <c r="BK42" i="11"/>
  <c r="AB48" i="2"/>
  <c r="AE31" i="6"/>
  <c r="D83" i="11"/>
  <c r="J71" i="6"/>
  <c r="D155" i="6"/>
  <c r="J10" i="6"/>
  <c r="E155" i="6"/>
  <c r="AE10" i="6"/>
  <c r="D62" i="11"/>
  <c r="BD62" i="11"/>
  <c r="BL21" i="11"/>
  <c r="J9" i="6"/>
  <c r="AE9" i="6"/>
  <c r="D61" i="11"/>
  <c r="BD61" i="11"/>
  <c r="BL20" i="11"/>
  <c r="AE8" i="6"/>
  <c r="D60" i="11"/>
  <c r="BD60" i="11"/>
  <c r="BL19" i="11"/>
  <c r="J7" i="6"/>
  <c r="AE7" i="6"/>
  <c r="D59" i="11"/>
  <c r="BD59" i="11"/>
  <c r="BL18" i="11"/>
  <c r="E74" i="6"/>
  <c r="AD34" i="6"/>
  <c r="C86" i="11"/>
  <c r="BC85" i="11"/>
  <c r="E76" i="6"/>
  <c r="AD36" i="6"/>
  <c r="C88" i="11"/>
  <c r="BC87" i="11"/>
  <c r="E75" i="6"/>
  <c r="AD35" i="6"/>
  <c r="C87" i="11"/>
  <c r="BC86" i="11"/>
  <c r="AD53" i="6"/>
  <c r="C104" i="11"/>
  <c r="BC103" i="11"/>
  <c r="BJ61" i="11"/>
  <c r="E22" i="6"/>
  <c r="AD22" i="6"/>
  <c r="C74" i="11"/>
  <c r="BC74" i="11"/>
  <c r="BK33" i="11"/>
  <c r="E153" i="6"/>
  <c r="E157" i="6"/>
  <c r="B58" i="2"/>
  <c r="B54" i="2"/>
  <c r="C55" i="2"/>
  <c r="D71" i="6"/>
  <c r="B59" i="2"/>
  <c r="C60" i="2"/>
  <c r="AD8" i="6"/>
  <c r="C60" i="11"/>
  <c r="BC60" i="11"/>
  <c r="BK19" i="11"/>
  <c r="C42" i="9"/>
  <c r="E8" i="9"/>
  <c r="G64" i="6"/>
  <c r="C41" i="9"/>
  <c r="E7" i="9"/>
  <c r="G35" i="6"/>
  <c r="D72" i="6"/>
  <c r="AC31" i="6"/>
  <c r="B83" i="11"/>
  <c r="BB82" i="11"/>
  <c r="BH42" i="11"/>
  <c r="D73" i="6"/>
  <c r="I71" i="6"/>
  <c r="D68" i="6"/>
  <c r="B55" i="2"/>
  <c r="B60" i="2"/>
  <c r="AC28" i="6"/>
  <c r="B80" i="11"/>
  <c r="BB79" i="11"/>
  <c r="BH39" i="11"/>
  <c r="D69" i="6"/>
  <c r="G68" i="6"/>
  <c r="D158" i="6"/>
  <c r="G71" i="6"/>
  <c r="AC33" i="6"/>
  <c r="B85" i="11"/>
  <c r="BB84" i="11"/>
  <c r="BH44" i="11"/>
  <c r="D78" i="6"/>
  <c r="BI42" i="11"/>
  <c r="AC32" i="6"/>
  <c r="B84" i="11"/>
  <c r="BB83" i="11"/>
  <c r="BH43" i="11"/>
  <c r="G72" i="6"/>
  <c r="D164" i="6"/>
  <c r="BI43" i="11"/>
  <c r="D79" i="6"/>
  <c r="C16" i="11"/>
  <c r="BI44" i="11"/>
  <c r="G69" i="6"/>
  <c r="G112" i="6"/>
  <c r="AC29" i="6"/>
  <c r="B81" i="11"/>
  <c r="BB80" i="11"/>
  <c r="BH40" i="11"/>
  <c r="BI39" i="11"/>
  <c r="G73" i="6"/>
  <c r="G78" i="6"/>
  <c r="C17" i="11"/>
  <c r="BC17" i="11"/>
  <c r="BI40" i="11"/>
  <c r="H112" i="6"/>
  <c r="C11" i="11"/>
  <c r="BC16" i="11"/>
  <c r="BC11" i="11"/>
  <c r="BH12" i="11"/>
  <c r="D83" i="2" l="1"/>
  <c r="D81" i="2"/>
  <c r="AI73" i="12"/>
  <c r="AI77" i="12"/>
  <c r="AI69" i="12"/>
  <c r="Q29" i="6"/>
  <c r="AI61" i="12"/>
  <c r="AI62" i="12"/>
  <c r="B22" i="2" s="1"/>
  <c r="C9" i="12" s="1"/>
  <c r="D9" i="12" s="1"/>
  <c r="E27" i="6" l="1"/>
  <c r="B81" i="2" s="1"/>
  <c r="C56" i="12"/>
  <c r="B75" i="2" s="1"/>
  <c r="AK69" i="12"/>
  <c r="C59" i="12"/>
  <c r="B78" i="2" s="1"/>
  <c r="AK77" i="12"/>
  <c r="AI72" i="12"/>
  <c r="C58" i="12" s="1"/>
  <c r="B77" i="2" s="1"/>
  <c r="B61" i="2" s="1"/>
  <c r="Q27" i="6"/>
  <c r="L22" i="6"/>
  <c r="F113" i="6" s="1"/>
  <c r="G113" i="6" s="1"/>
  <c r="L23" i="6"/>
  <c r="C16" i="12"/>
  <c r="C17" i="12"/>
  <c r="D17" i="12" s="1"/>
  <c r="C34" i="2" s="1"/>
  <c r="C18" i="12"/>
  <c r="D18" i="12" s="1"/>
  <c r="C35" i="2" s="1"/>
  <c r="C19" i="12"/>
  <c r="D19" i="12" s="1"/>
  <c r="C36" i="2" s="1"/>
  <c r="C22" i="12"/>
  <c r="C26" i="12"/>
  <c r="C27" i="12"/>
  <c r="D27" i="12" s="1"/>
  <c r="C44" i="2" s="1"/>
  <c r="C28" i="12"/>
  <c r="D28" i="12" s="1"/>
  <c r="C45" i="2" s="1"/>
  <c r="F27" i="6"/>
  <c r="D27" i="6"/>
  <c r="K27" i="6" s="1"/>
  <c r="Y81" i="2"/>
  <c r="B108" i="11"/>
  <c r="BB107" i="11" s="1"/>
  <c r="BH65" i="11" s="1"/>
  <c r="E29" i="6" l="1"/>
  <c r="B83" i="2" s="1"/>
  <c r="O27" i="6"/>
  <c r="Y77" i="2"/>
  <c r="C41" i="12"/>
  <c r="C42" i="12" s="1"/>
  <c r="AC54" i="6"/>
  <c r="B105" i="11" s="1"/>
  <c r="BB104" i="11" s="1"/>
  <c r="Y78" i="2"/>
  <c r="AC51" i="6"/>
  <c r="B102" i="11" s="1"/>
  <c r="BB101" i="11" s="1"/>
  <c r="BH59" i="11" s="1"/>
  <c r="Y75" i="2"/>
  <c r="F114" i="6"/>
  <c r="G114" i="6" s="1"/>
  <c r="L24" i="6"/>
  <c r="G115" i="6"/>
  <c r="AC53" i="6"/>
  <c r="B104" i="11" s="1"/>
  <c r="BB103" i="11" s="1"/>
  <c r="BH61" i="11" s="1"/>
  <c r="P27" i="6"/>
  <c r="N27" i="6"/>
  <c r="R27" i="6" s="1"/>
  <c r="B45" i="2"/>
  <c r="Z45" i="2"/>
  <c r="Y45" i="2" s="1"/>
  <c r="B44" i="2"/>
  <c r="Z44" i="2"/>
  <c r="Y44" i="2" s="1"/>
  <c r="D26" i="12"/>
  <c r="C43" i="2" s="1"/>
  <c r="C29" i="12"/>
  <c r="D22" i="12"/>
  <c r="C39" i="2" s="1"/>
  <c r="C23" i="12"/>
  <c r="B36" i="2"/>
  <c r="Z36" i="2"/>
  <c r="Y36" i="2" s="1"/>
  <c r="B35" i="2"/>
  <c r="Z35" i="2"/>
  <c r="Y35" i="2" s="1"/>
  <c r="B34" i="2"/>
  <c r="Z34" i="2"/>
  <c r="Y34" i="2" s="1"/>
  <c r="D16" i="12"/>
  <c r="C33" i="2" s="1"/>
  <c r="C20" i="12"/>
  <c r="C31" i="12" s="1"/>
  <c r="O29" i="6" l="1"/>
  <c r="P29" i="6" s="1"/>
  <c r="N29" i="6" s="1"/>
  <c r="F29" i="6"/>
  <c r="D29" i="6"/>
  <c r="Y83" i="2"/>
  <c r="B110" i="11"/>
  <c r="BB109" i="11" s="1"/>
  <c r="BH67" i="11" s="1"/>
  <c r="Y61" i="2"/>
  <c r="F121" i="6"/>
  <c r="F122" i="6"/>
  <c r="H122" i="6" s="1"/>
  <c r="F123" i="6"/>
  <c r="H123" i="6" s="1"/>
  <c r="F124" i="6"/>
  <c r="H124" i="6" s="1"/>
  <c r="F125" i="6"/>
  <c r="H125" i="6" s="1"/>
  <c r="F126" i="6"/>
  <c r="H126" i="6" s="1"/>
  <c r="F127" i="6"/>
  <c r="H127" i="6" s="1"/>
  <c r="F128" i="6"/>
  <c r="H128" i="6" s="1"/>
  <c r="F129" i="6"/>
  <c r="H129" i="6" s="1"/>
  <c r="F130" i="6"/>
  <c r="H130" i="6" s="1"/>
  <c r="F131" i="6"/>
  <c r="H131" i="6" s="1"/>
  <c r="F132" i="6"/>
  <c r="H132" i="6" s="1"/>
  <c r="F133" i="6"/>
  <c r="H133" i="6" s="1"/>
  <c r="F134" i="6"/>
  <c r="H134" i="6" s="1"/>
  <c r="F135" i="6"/>
  <c r="H135" i="6" s="1"/>
  <c r="F136" i="6"/>
  <c r="H136" i="6" s="1"/>
  <c r="F137" i="6"/>
  <c r="H137" i="6" s="1"/>
  <c r="F138" i="6"/>
  <c r="H138" i="6" s="1"/>
  <c r="F139" i="6"/>
  <c r="H139" i="6" s="1"/>
  <c r="F140" i="6"/>
  <c r="H140" i="6" s="1"/>
  <c r="F141" i="6"/>
  <c r="H141" i="6" s="1"/>
  <c r="F142" i="6"/>
  <c r="H142" i="6" s="1"/>
  <c r="D74" i="6"/>
  <c r="C61" i="2"/>
  <c r="C62" i="2" s="1"/>
  <c r="F23" i="2" s="1"/>
  <c r="B62" i="2"/>
  <c r="D61" i="2"/>
  <c r="D31" i="12"/>
  <c r="D20" i="12"/>
  <c r="Z33" i="2"/>
  <c r="D8" i="6"/>
  <c r="I8" i="6" s="1"/>
  <c r="D9" i="6"/>
  <c r="I9" i="6" s="1"/>
  <c r="D10" i="6"/>
  <c r="I10" i="6" s="1"/>
  <c r="D23" i="12"/>
  <c r="D24" i="12" s="1"/>
  <c r="Z39" i="2"/>
  <c r="D29" i="12"/>
  <c r="D30" i="12" s="1"/>
  <c r="Z43" i="2"/>
  <c r="D18" i="6"/>
  <c r="D19" i="6"/>
  <c r="C24" i="12"/>
  <c r="C30" i="12"/>
  <c r="K29" i="6" l="1"/>
  <c r="H29" i="6"/>
  <c r="R29" i="6"/>
  <c r="I29" i="6"/>
  <c r="M142" i="6"/>
  <c r="N142" i="6"/>
  <c r="O142" i="6" s="1"/>
  <c r="Q142" i="6"/>
  <c r="R142" i="6"/>
  <c r="S142" i="6" s="1"/>
  <c r="T142" i="6"/>
  <c r="T171" i="6" s="1"/>
  <c r="U142" i="6"/>
  <c r="V142" i="6"/>
  <c r="W142" i="6" s="1"/>
  <c r="M141" i="6"/>
  <c r="N141" i="6"/>
  <c r="O141" i="6" s="1"/>
  <c r="Q141" i="6"/>
  <c r="R141" i="6"/>
  <c r="S141" i="6" s="1"/>
  <c r="T141" i="6"/>
  <c r="T170" i="6" s="1"/>
  <c r="U141" i="6"/>
  <c r="V141" i="6"/>
  <c r="W141" i="6" s="1"/>
  <c r="M140" i="6"/>
  <c r="N140" i="6"/>
  <c r="O140" i="6" s="1"/>
  <c r="Q140" i="6"/>
  <c r="R140" i="6"/>
  <c r="S140" i="6" s="1"/>
  <c r="T140" i="6"/>
  <c r="T169" i="6" s="1"/>
  <c r="U140" i="6"/>
  <c r="V140" i="6"/>
  <c r="W140" i="6" s="1"/>
  <c r="M139" i="6"/>
  <c r="N139" i="6"/>
  <c r="O139" i="6" s="1"/>
  <c r="Q139" i="6"/>
  <c r="R139" i="6"/>
  <c r="S139" i="6" s="1"/>
  <c r="T139" i="6"/>
  <c r="T168" i="6" s="1"/>
  <c r="U139" i="6"/>
  <c r="V139" i="6"/>
  <c r="W139" i="6" s="1"/>
  <c r="M138" i="6"/>
  <c r="N138" i="6"/>
  <c r="O138" i="6" s="1"/>
  <c r="Q138" i="6"/>
  <c r="R138" i="6"/>
  <c r="S138" i="6" s="1"/>
  <c r="T138" i="6"/>
  <c r="T167" i="6" s="1"/>
  <c r="U138" i="6"/>
  <c r="V138" i="6"/>
  <c r="W138" i="6" s="1"/>
  <c r="M137" i="6"/>
  <c r="N137" i="6"/>
  <c r="O137" i="6" s="1"/>
  <c r="Q137" i="6"/>
  <c r="R137" i="6"/>
  <c r="S137" i="6" s="1"/>
  <c r="T137" i="6"/>
  <c r="T166" i="6" s="1"/>
  <c r="U137" i="6"/>
  <c r="V137" i="6"/>
  <c r="W137" i="6" s="1"/>
  <c r="M136" i="6"/>
  <c r="N136" i="6"/>
  <c r="O136" i="6" s="1"/>
  <c r="Q136" i="6"/>
  <c r="R136" i="6"/>
  <c r="S136" i="6" s="1"/>
  <c r="T136" i="6"/>
  <c r="T165" i="6" s="1"/>
  <c r="U136" i="6"/>
  <c r="V136" i="6"/>
  <c r="W136" i="6" s="1"/>
  <c r="M135" i="6"/>
  <c r="N135" i="6"/>
  <c r="O135" i="6" s="1"/>
  <c r="Q135" i="6"/>
  <c r="R135" i="6"/>
  <c r="S135" i="6" s="1"/>
  <c r="T135" i="6"/>
  <c r="T164" i="6" s="1"/>
  <c r="U135" i="6"/>
  <c r="V135" i="6"/>
  <c r="W135" i="6" s="1"/>
  <c r="M134" i="6"/>
  <c r="N134" i="6"/>
  <c r="O134" i="6" s="1"/>
  <c r="Q134" i="6"/>
  <c r="R134" i="6"/>
  <c r="S134" i="6" s="1"/>
  <c r="T134" i="6"/>
  <c r="T163" i="6" s="1"/>
  <c r="U134" i="6"/>
  <c r="V134" i="6"/>
  <c r="W134" i="6" s="1"/>
  <c r="M133" i="6"/>
  <c r="N133" i="6"/>
  <c r="O133" i="6" s="1"/>
  <c r="Q133" i="6"/>
  <c r="R133" i="6"/>
  <c r="S133" i="6" s="1"/>
  <c r="T133" i="6"/>
  <c r="U133" i="6"/>
  <c r="V133" i="6"/>
  <c r="W133" i="6" s="1"/>
  <c r="M132" i="6"/>
  <c r="N132" i="6"/>
  <c r="O132" i="6" s="1"/>
  <c r="Q132" i="6"/>
  <c r="R132" i="6"/>
  <c r="S132" i="6" s="1"/>
  <c r="T132" i="6"/>
  <c r="U132" i="6"/>
  <c r="V132" i="6"/>
  <c r="W132" i="6" s="1"/>
  <c r="M131" i="6"/>
  <c r="N131" i="6"/>
  <c r="O131" i="6" s="1"/>
  <c r="Q131" i="6"/>
  <c r="R131" i="6"/>
  <c r="S131" i="6" s="1"/>
  <c r="T131" i="6"/>
  <c r="U131" i="6"/>
  <c r="V131" i="6"/>
  <c r="W131" i="6" s="1"/>
  <c r="M130" i="6"/>
  <c r="N130" i="6"/>
  <c r="O130" i="6" s="1"/>
  <c r="Q130" i="6"/>
  <c r="R130" i="6"/>
  <c r="S130" i="6" s="1"/>
  <c r="T130" i="6"/>
  <c r="U130" i="6"/>
  <c r="V130" i="6"/>
  <c r="W130" i="6" s="1"/>
  <c r="M129" i="6"/>
  <c r="N129" i="6"/>
  <c r="O129" i="6" s="1"/>
  <c r="Q129" i="6"/>
  <c r="R129" i="6"/>
  <c r="S129" i="6" s="1"/>
  <c r="T129" i="6"/>
  <c r="U129" i="6"/>
  <c r="V129" i="6"/>
  <c r="W129" i="6" s="1"/>
  <c r="M128" i="6"/>
  <c r="N128" i="6"/>
  <c r="O128" i="6" s="1"/>
  <c r="Q128" i="6"/>
  <c r="R128" i="6"/>
  <c r="S128" i="6" s="1"/>
  <c r="T128" i="6"/>
  <c r="U128" i="6"/>
  <c r="V128" i="6"/>
  <c r="W128" i="6" s="1"/>
  <c r="M127" i="6"/>
  <c r="N127" i="6"/>
  <c r="O127" i="6" s="1"/>
  <c r="Q127" i="6"/>
  <c r="R127" i="6"/>
  <c r="S127" i="6" s="1"/>
  <c r="T127" i="6"/>
  <c r="U127" i="6"/>
  <c r="V127" i="6"/>
  <c r="W127" i="6" s="1"/>
  <c r="M126" i="6"/>
  <c r="N126" i="6"/>
  <c r="O126" i="6" s="1"/>
  <c r="Q126" i="6"/>
  <c r="R126" i="6"/>
  <c r="S126" i="6" s="1"/>
  <c r="T126" i="6"/>
  <c r="U126" i="6"/>
  <c r="V126" i="6"/>
  <c r="W126" i="6" s="1"/>
  <c r="M125" i="6"/>
  <c r="N125" i="6"/>
  <c r="O125" i="6" s="1"/>
  <c r="Q125" i="6"/>
  <c r="R125" i="6"/>
  <c r="S125" i="6" s="1"/>
  <c r="T125" i="6"/>
  <c r="U125" i="6"/>
  <c r="V125" i="6"/>
  <c r="W125" i="6" s="1"/>
  <c r="M124" i="6"/>
  <c r="N124" i="6"/>
  <c r="O124" i="6" s="1"/>
  <c r="Q124" i="6"/>
  <c r="R124" i="6"/>
  <c r="S124" i="6" s="1"/>
  <c r="T124" i="6"/>
  <c r="U124" i="6"/>
  <c r="V124" i="6"/>
  <c r="W124" i="6" s="1"/>
  <c r="M123" i="6"/>
  <c r="N123" i="6"/>
  <c r="O123" i="6" s="1"/>
  <c r="Q123" i="6"/>
  <c r="R123" i="6"/>
  <c r="S123" i="6" s="1"/>
  <c r="T123" i="6"/>
  <c r="U123" i="6"/>
  <c r="V123" i="6"/>
  <c r="W123" i="6" s="1"/>
  <c r="M122" i="6"/>
  <c r="N122" i="6"/>
  <c r="O122" i="6" s="1"/>
  <c r="Q122" i="6"/>
  <c r="R122" i="6"/>
  <c r="S122" i="6" s="1"/>
  <c r="T122" i="6"/>
  <c r="U122" i="6"/>
  <c r="V122" i="6"/>
  <c r="W122" i="6" s="1"/>
  <c r="H121" i="6"/>
  <c r="F143" i="6"/>
  <c r="D58" i="2"/>
  <c r="D59" i="2"/>
  <c r="D54" i="2"/>
  <c r="D55" i="2" s="1"/>
  <c r="AC34" i="6"/>
  <c r="B86" i="11" s="1"/>
  <c r="BB85" i="11" s="1"/>
  <c r="BH45" i="11" s="1"/>
  <c r="G74" i="6"/>
  <c r="D180" i="6"/>
  <c r="E180" i="6"/>
  <c r="D181" i="6"/>
  <c r="E181" i="6"/>
  <c r="F181" i="6" s="1"/>
  <c r="D182" i="6"/>
  <c r="E182" i="6"/>
  <c r="F182" i="6" s="1"/>
  <c r="D183" i="6"/>
  <c r="E183" i="6"/>
  <c r="F183" i="6" s="1"/>
  <c r="D184" i="6"/>
  <c r="E184" i="6"/>
  <c r="F184" i="6" s="1"/>
  <c r="D185" i="6"/>
  <c r="E185" i="6"/>
  <c r="F185" i="6" s="1"/>
  <c r="D186" i="6"/>
  <c r="E186" i="6"/>
  <c r="F186" i="6" s="1"/>
  <c r="D187" i="6"/>
  <c r="E187" i="6"/>
  <c r="F187" i="6" s="1"/>
  <c r="D188" i="6"/>
  <c r="E188" i="6"/>
  <c r="F188" i="6" s="1"/>
  <c r="D189" i="6"/>
  <c r="E189" i="6"/>
  <c r="F189" i="6" s="1"/>
  <c r="C55" i="12"/>
  <c r="C57" i="12" s="1"/>
  <c r="AC19" i="6"/>
  <c r="B71" i="11" s="1"/>
  <c r="BB71" i="11" s="1"/>
  <c r="BH30" i="11" s="1"/>
  <c r="G19" i="6"/>
  <c r="AC18" i="6"/>
  <c r="B70" i="11" s="1"/>
  <c r="BB70" i="11" s="1"/>
  <c r="BH29" i="11" s="1"/>
  <c r="G18" i="6"/>
  <c r="Y43" i="2"/>
  <c r="Z46" i="2"/>
  <c r="B43" i="2"/>
  <c r="C46" i="2"/>
  <c r="Y39" i="2"/>
  <c r="Z40" i="2"/>
  <c r="B39" i="2"/>
  <c r="C40" i="2"/>
  <c r="AC10" i="6"/>
  <c r="B62" i="11" s="1"/>
  <c r="BB62" i="11" s="1"/>
  <c r="BH21" i="11" s="1"/>
  <c r="G10" i="6"/>
  <c r="AC9" i="6"/>
  <c r="B61" i="11" s="1"/>
  <c r="BB61" i="11" s="1"/>
  <c r="BH20" i="11" s="1"/>
  <c r="G9" i="6"/>
  <c r="AC8" i="6"/>
  <c r="B60" i="11" s="1"/>
  <c r="BB60" i="11" s="1"/>
  <c r="BH19" i="11" s="1"/>
  <c r="J8" i="6"/>
  <c r="Y33" i="2"/>
  <c r="Z37" i="2"/>
  <c r="B33" i="2"/>
  <c r="C37" i="2"/>
  <c r="D32" i="12"/>
  <c r="Z48" i="2"/>
  <c r="C32" i="12"/>
  <c r="L29" i="6" l="1"/>
  <c r="D114" i="6"/>
  <c r="D117" i="6" s="1"/>
  <c r="M121" i="6"/>
  <c r="M143" i="6" s="1"/>
  <c r="N121" i="6"/>
  <c r="Q121" i="6"/>
  <c r="Q143" i="6" s="1"/>
  <c r="Q145" i="6" s="1"/>
  <c r="R121" i="6"/>
  <c r="T121" i="6"/>
  <c r="T143" i="6" s="1"/>
  <c r="T145" i="6" s="1"/>
  <c r="AJ54" i="6" s="1"/>
  <c r="D46" i="11" s="1"/>
  <c r="BD46" i="11" s="1"/>
  <c r="U121" i="6"/>
  <c r="U143" i="6" s="1"/>
  <c r="U145" i="6" s="1"/>
  <c r="V121" i="6"/>
  <c r="H143" i="6"/>
  <c r="P143" i="6" s="1"/>
  <c r="BI45" i="11"/>
  <c r="BI46" i="11" s="1"/>
  <c r="BH46" i="11"/>
  <c r="BJ45" i="11"/>
  <c r="D60" i="2"/>
  <c r="D62" i="2" s="1"/>
  <c r="D7" i="6"/>
  <c r="I7" i="6" s="1"/>
  <c r="B37" i="2"/>
  <c r="B48" i="2" s="1"/>
  <c r="Y37" i="2"/>
  <c r="Y48" i="2" s="1"/>
  <c r="E168" i="6"/>
  <c r="J11" i="6"/>
  <c r="G8" i="6"/>
  <c r="BI19" i="11"/>
  <c r="BI20" i="11"/>
  <c r="BI21" i="11"/>
  <c r="D13" i="6"/>
  <c r="I27" i="6"/>
  <c r="B40" i="2"/>
  <c r="Y40" i="2"/>
  <c r="Y41" i="2" s="1"/>
  <c r="D17" i="6"/>
  <c r="B46" i="2"/>
  <c r="Y46" i="2"/>
  <c r="E164" i="6"/>
  <c r="E166" i="6"/>
  <c r="BI29" i="11"/>
  <c r="BI30" i="11"/>
  <c r="F180" i="6"/>
  <c r="E210" i="6"/>
  <c r="C41" i="2"/>
  <c r="Z41" i="2"/>
  <c r="C47" i="2"/>
  <c r="F22" i="2" s="1"/>
  <c r="Z47" i="2"/>
  <c r="D210" i="6"/>
  <c r="D211" i="6" s="1"/>
  <c r="P145" i="6" l="1"/>
  <c r="AI54" i="6" s="1"/>
  <c r="C46" i="11" s="1"/>
  <c r="BC46" i="11" s="1"/>
  <c r="P172" i="6"/>
  <c r="S172" i="6" s="1"/>
  <c r="W121" i="6"/>
  <c r="W143" i="6" s="1"/>
  <c r="W145" i="6" s="1"/>
  <c r="V143" i="6"/>
  <c r="V145" i="6" s="1"/>
  <c r="S121" i="6"/>
  <c r="S143" i="6" s="1"/>
  <c r="S145" i="6" s="1"/>
  <c r="R143" i="6"/>
  <c r="R145" i="6" s="1"/>
  <c r="O121" i="6"/>
  <c r="O143" i="6" s="1"/>
  <c r="N143" i="6"/>
  <c r="BJ42" i="11"/>
  <c r="BJ43" i="11"/>
  <c r="BJ44" i="11"/>
  <c r="BJ39" i="11"/>
  <c r="BJ40" i="11"/>
  <c r="BJ46" i="11"/>
  <c r="F210" i="6"/>
  <c r="E211" i="6"/>
  <c r="F211" i="6" s="1"/>
  <c r="C50" i="12" s="1"/>
  <c r="Y47" i="2"/>
  <c r="AA46" i="2"/>
  <c r="D20" i="6"/>
  <c r="AC20" i="6" s="1"/>
  <c r="AC17" i="6"/>
  <c r="B69" i="11" s="1"/>
  <c r="BB69" i="11" s="1"/>
  <c r="BH28" i="11" s="1"/>
  <c r="G17" i="6"/>
  <c r="D14" i="6"/>
  <c r="AC14" i="6" s="1"/>
  <c r="B66" i="11" s="1"/>
  <c r="BB66" i="11" s="1"/>
  <c r="BH25" i="11" s="1"/>
  <c r="B41" i="2"/>
  <c r="D15" i="6" s="1"/>
  <c r="AC15" i="6" s="1"/>
  <c r="B67" i="11" s="1"/>
  <c r="BB67" i="11" s="1"/>
  <c r="BH26" i="11" s="1"/>
  <c r="AC13" i="6"/>
  <c r="B65" i="11" s="1"/>
  <c r="BB65" i="11" s="1"/>
  <c r="BH24" i="11" s="1"/>
  <c r="G13" i="6"/>
  <c r="E150" i="6" s="1"/>
  <c r="D22" i="6"/>
  <c r="C48" i="2"/>
  <c r="AC7" i="6"/>
  <c r="B59" i="11" s="1"/>
  <c r="BB59" i="11" s="1"/>
  <c r="BH18" i="11" s="1"/>
  <c r="D11" i="6"/>
  <c r="AC11" i="6" s="1"/>
  <c r="B63" i="11" s="1"/>
  <c r="BB63" i="11" s="1"/>
  <c r="BH22" i="11" s="1"/>
  <c r="AA48" i="2"/>
  <c r="G7" i="6" l="1"/>
  <c r="G11" i="6" s="1"/>
  <c r="I11" i="6"/>
  <c r="E158" i="6"/>
  <c r="BI22" i="11"/>
  <c r="BI18" i="11"/>
  <c r="AC22" i="6"/>
  <c r="G22" i="6"/>
  <c r="E151" i="6"/>
  <c r="G14" i="6"/>
  <c r="G15" i="6" s="1"/>
  <c r="H27" i="6"/>
  <c r="L27" i="6" s="1"/>
  <c r="H41" i="6"/>
  <c r="BI24" i="11"/>
  <c r="BI26" i="11"/>
  <c r="BI25" i="11"/>
  <c r="G20" i="6"/>
  <c r="G21" i="6" s="1"/>
  <c r="E165" i="6"/>
  <c r="E167" i="6"/>
  <c r="BI28" i="11"/>
  <c r="AC21" i="6"/>
  <c r="B73" i="11" s="1"/>
  <c r="BB73" i="11" s="1"/>
  <c r="BH32" i="11" s="1"/>
  <c r="B72" i="11"/>
  <c r="BB72" i="11" s="1"/>
  <c r="BH31" i="11" s="1"/>
  <c r="AA47" i="2"/>
  <c r="Y74" i="2"/>
  <c r="Y76" i="2" s="1"/>
  <c r="AA34" i="2"/>
  <c r="AA35" i="2"/>
  <c r="AA36" i="2"/>
  <c r="AA44" i="2"/>
  <c r="AA45" i="2"/>
  <c r="AA33" i="2"/>
  <c r="AA37" i="2" s="1"/>
  <c r="AA39" i="2"/>
  <c r="AA40" i="2" s="1"/>
  <c r="AA41" i="2" s="1"/>
  <c r="AA43" i="2"/>
  <c r="B47" i="2"/>
  <c r="B74" i="2" s="1"/>
  <c r="B76" i="2" s="1"/>
  <c r="D21" i="6" l="1"/>
  <c r="D216" i="6"/>
  <c r="E216" i="6"/>
  <c r="D217" i="6"/>
  <c r="E217" i="6"/>
  <c r="F217" i="6" s="1"/>
  <c r="D218" i="6"/>
  <c r="E218" i="6"/>
  <c r="F218" i="6" s="1"/>
  <c r="D219" i="6"/>
  <c r="E219" i="6"/>
  <c r="F219" i="6" s="1"/>
  <c r="D220" i="6"/>
  <c r="E220" i="6"/>
  <c r="F220" i="6" s="1"/>
  <c r="D221" i="6"/>
  <c r="E221" i="6"/>
  <c r="F221" i="6" s="1"/>
  <c r="D222" i="6"/>
  <c r="E222" i="6"/>
  <c r="F222" i="6" s="1"/>
  <c r="D223" i="6"/>
  <c r="E223" i="6"/>
  <c r="F223" i="6" s="1"/>
  <c r="D224" i="6"/>
  <c r="E224" i="6"/>
  <c r="F224" i="6" s="1"/>
  <c r="D225" i="6"/>
  <c r="E225" i="6"/>
  <c r="F225" i="6" s="1"/>
  <c r="B49" i="2"/>
  <c r="BI31" i="11"/>
  <c r="BI32" i="11"/>
  <c r="D39" i="6"/>
  <c r="E169" i="6"/>
  <c r="D60" i="6"/>
  <c r="F60" i="6" s="1"/>
  <c r="G60" i="6" s="1"/>
  <c r="D59" i="6"/>
  <c r="F59" i="6" s="1"/>
  <c r="G59" i="6" s="1"/>
  <c r="D58" i="6"/>
  <c r="F58" i="6" s="1"/>
  <c r="G58" i="6" s="1"/>
  <c r="D57" i="6"/>
  <c r="F57" i="6" s="1"/>
  <c r="G57" i="6" s="1"/>
  <c r="D56" i="6"/>
  <c r="F56" i="6" s="1"/>
  <c r="G56" i="6" s="1"/>
  <c r="D55" i="6"/>
  <c r="F55" i="6" s="1"/>
  <c r="G55" i="6" s="1"/>
  <c r="D54" i="6"/>
  <c r="F54" i="6" s="1"/>
  <c r="G54" i="6" s="1"/>
  <c r="D53" i="6"/>
  <c r="F53" i="6" s="1"/>
  <c r="G53" i="6" s="1"/>
  <c r="D52" i="6"/>
  <c r="F52" i="6" s="1"/>
  <c r="G52" i="6" s="1"/>
  <c r="D51" i="6"/>
  <c r="F51" i="6" s="1"/>
  <c r="G51" i="6" s="1"/>
  <c r="D50" i="6"/>
  <c r="F50" i="6" s="1"/>
  <c r="G50" i="6" s="1"/>
  <c r="D49" i="6"/>
  <c r="F49" i="6" s="1"/>
  <c r="G49" i="6" s="1"/>
  <c r="D48" i="6"/>
  <c r="F48" i="6" s="1"/>
  <c r="G48" i="6" s="1"/>
  <c r="D47" i="6"/>
  <c r="F47" i="6" s="1"/>
  <c r="G47" i="6" s="1"/>
  <c r="D46" i="6"/>
  <c r="F46" i="6" s="1"/>
  <c r="G46" i="6" s="1"/>
  <c r="D45" i="6"/>
  <c r="F45" i="6" s="1"/>
  <c r="G45" i="6" s="1"/>
  <c r="D44" i="6"/>
  <c r="F44" i="6" s="1"/>
  <c r="G44" i="6" s="1"/>
  <c r="D43" i="6"/>
  <c r="F43" i="6" s="1"/>
  <c r="D42" i="6"/>
  <c r="F42" i="6" s="1"/>
  <c r="D41" i="6"/>
  <c r="F41" i="6" s="1"/>
  <c r="G41" i="6" s="1"/>
  <c r="D40" i="6"/>
  <c r="F40" i="6" s="1"/>
  <c r="G40" i="6" s="1"/>
  <c r="B74" i="11"/>
  <c r="BB74" i="11" s="1"/>
  <c r="BH33" i="11" s="1"/>
  <c r="AC23" i="6"/>
  <c r="B75" i="11" s="1"/>
  <c r="BB75" i="11" s="1"/>
  <c r="BH34" i="11" s="1"/>
  <c r="G23" i="6"/>
  <c r="BI34" i="11" l="1"/>
  <c r="BJ34" i="11"/>
  <c r="BJ19" i="11"/>
  <c r="BJ20" i="11"/>
  <c r="BJ21" i="11"/>
  <c r="BJ29" i="11"/>
  <c r="BJ30" i="11"/>
  <c r="BJ22" i="11"/>
  <c r="BJ18" i="11"/>
  <c r="BJ24" i="11"/>
  <c r="BJ26" i="11"/>
  <c r="BJ25" i="11"/>
  <c r="BJ28" i="11"/>
  <c r="BI33" i="11"/>
  <c r="BJ33" i="11"/>
  <c r="I40" i="6"/>
  <c r="J40" i="6"/>
  <c r="K40" i="6"/>
  <c r="L40" i="6" s="1"/>
  <c r="M40" i="6"/>
  <c r="N40" i="6"/>
  <c r="O40" i="6"/>
  <c r="P40" i="6" s="1"/>
  <c r="Q40" i="6"/>
  <c r="R40" i="6"/>
  <c r="S40" i="6"/>
  <c r="T40" i="6" s="1"/>
  <c r="I41" i="6"/>
  <c r="J41" i="6"/>
  <c r="K41" i="6"/>
  <c r="L41" i="6" s="1"/>
  <c r="M41" i="6"/>
  <c r="N41" i="6"/>
  <c r="O41" i="6"/>
  <c r="P41" i="6" s="1"/>
  <c r="Q41" i="6"/>
  <c r="R41" i="6"/>
  <c r="S41" i="6"/>
  <c r="T41" i="6" s="1"/>
  <c r="G42" i="6"/>
  <c r="G43" i="6"/>
  <c r="I44" i="6"/>
  <c r="J44" i="6"/>
  <c r="K44" i="6"/>
  <c r="L44" i="6" s="1"/>
  <c r="M44" i="6"/>
  <c r="N44" i="6"/>
  <c r="O44" i="6"/>
  <c r="P44" i="6" s="1"/>
  <c r="Q44" i="6"/>
  <c r="R44" i="6"/>
  <c r="S44" i="6"/>
  <c r="T44" i="6" s="1"/>
  <c r="I45" i="6"/>
  <c r="J45" i="6"/>
  <c r="K45" i="6"/>
  <c r="L45" i="6" s="1"/>
  <c r="M45" i="6"/>
  <c r="N45" i="6"/>
  <c r="O45" i="6"/>
  <c r="P45" i="6" s="1"/>
  <c r="Q45" i="6"/>
  <c r="R45" i="6"/>
  <c r="S45" i="6"/>
  <c r="T45" i="6" s="1"/>
  <c r="I46" i="6"/>
  <c r="J46" i="6"/>
  <c r="K46" i="6"/>
  <c r="L46" i="6" s="1"/>
  <c r="M46" i="6"/>
  <c r="N46" i="6"/>
  <c r="O46" i="6"/>
  <c r="P46" i="6" s="1"/>
  <c r="Q46" i="6"/>
  <c r="R46" i="6"/>
  <c r="S46" i="6"/>
  <c r="T46" i="6" s="1"/>
  <c r="I47" i="6"/>
  <c r="J47" i="6"/>
  <c r="K47" i="6"/>
  <c r="L47" i="6" s="1"/>
  <c r="M47" i="6"/>
  <c r="N47" i="6"/>
  <c r="O47" i="6"/>
  <c r="P47" i="6" s="1"/>
  <c r="Q47" i="6"/>
  <c r="R47" i="6"/>
  <c r="S47" i="6"/>
  <c r="T47" i="6" s="1"/>
  <c r="I48" i="6"/>
  <c r="J48" i="6"/>
  <c r="K48" i="6"/>
  <c r="L48" i="6" s="1"/>
  <c r="M48" i="6"/>
  <c r="N48" i="6"/>
  <c r="O48" i="6"/>
  <c r="P48" i="6" s="1"/>
  <c r="Q48" i="6"/>
  <c r="R48" i="6"/>
  <c r="S48" i="6"/>
  <c r="T48" i="6" s="1"/>
  <c r="I49" i="6"/>
  <c r="J49" i="6"/>
  <c r="K49" i="6"/>
  <c r="L49" i="6" s="1"/>
  <c r="M49" i="6"/>
  <c r="N49" i="6"/>
  <c r="O49" i="6"/>
  <c r="P49" i="6" s="1"/>
  <c r="Q49" i="6"/>
  <c r="R49" i="6"/>
  <c r="S49" i="6"/>
  <c r="T49" i="6" s="1"/>
  <c r="I50" i="6"/>
  <c r="J50" i="6"/>
  <c r="K50" i="6"/>
  <c r="L50" i="6" s="1"/>
  <c r="M50" i="6"/>
  <c r="N50" i="6"/>
  <c r="O50" i="6"/>
  <c r="P50" i="6" s="1"/>
  <c r="Q50" i="6"/>
  <c r="R50" i="6"/>
  <c r="S50" i="6"/>
  <c r="T50" i="6" s="1"/>
  <c r="I51" i="6"/>
  <c r="J51" i="6"/>
  <c r="K51" i="6"/>
  <c r="L51" i="6" s="1"/>
  <c r="M51" i="6"/>
  <c r="N51" i="6"/>
  <c r="O51" i="6"/>
  <c r="P51" i="6" s="1"/>
  <c r="Q51" i="6"/>
  <c r="R51" i="6"/>
  <c r="S51" i="6"/>
  <c r="T51" i="6" s="1"/>
  <c r="I52" i="6"/>
  <c r="J52" i="6"/>
  <c r="K52" i="6"/>
  <c r="L52" i="6" s="1"/>
  <c r="M52" i="6"/>
  <c r="N52" i="6"/>
  <c r="O52" i="6"/>
  <c r="P52" i="6" s="1"/>
  <c r="Q52" i="6"/>
  <c r="R52" i="6"/>
  <c r="S52" i="6"/>
  <c r="T52" i="6" s="1"/>
  <c r="I53" i="6"/>
  <c r="J53" i="6"/>
  <c r="K53" i="6"/>
  <c r="L53" i="6" s="1"/>
  <c r="M53" i="6"/>
  <c r="N53" i="6"/>
  <c r="O53" i="6"/>
  <c r="P53" i="6" s="1"/>
  <c r="Q53" i="6"/>
  <c r="R53" i="6"/>
  <c r="S53" i="6"/>
  <c r="T53" i="6" s="1"/>
  <c r="I54" i="6"/>
  <c r="J54" i="6"/>
  <c r="K54" i="6"/>
  <c r="L54" i="6" s="1"/>
  <c r="M54" i="6"/>
  <c r="N54" i="6"/>
  <c r="O54" i="6"/>
  <c r="P54" i="6" s="1"/>
  <c r="Q54" i="6"/>
  <c r="R54" i="6"/>
  <c r="S54" i="6"/>
  <c r="T54" i="6" s="1"/>
  <c r="I55" i="6"/>
  <c r="J55" i="6"/>
  <c r="K55" i="6"/>
  <c r="L55" i="6" s="1"/>
  <c r="M55" i="6"/>
  <c r="N55" i="6"/>
  <c r="O55" i="6"/>
  <c r="P55" i="6" s="1"/>
  <c r="Q55" i="6"/>
  <c r="R55" i="6"/>
  <c r="S55" i="6"/>
  <c r="T55" i="6" s="1"/>
  <c r="I56" i="6"/>
  <c r="J56" i="6"/>
  <c r="K56" i="6"/>
  <c r="L56" i="6" s="1"/>
  <c r="M56" i="6"/>
  <c r="N56" i="6"/>
  <c r="O56" i="6"/>
  <c r="P56" i="6" s="1"/>
  <c r="Q56" i="6"/>
  <c r="R56" i="6"/>
  <c r="S56" i="6"/>
  <c r="T56" i="6" s="1"/>
  <c r="I57" i="6"/>
  <c r="J57" i="6"/>
  <c r="K57" i="6"/>
  <c r="L57" i="6" s="1"/>
  <c r="M57" i="6"/>
  <c r="N57" i="6"/>
  <c r="O57" i="6"/>
  <c r="P57" i="6" s="1"/>
  <c r="Q57" i="6"/>
  <c r="R57" i="6"/>
  <c r="S57" i="6"/>
  <c r="T57" i="6" s="1"/>
  <c r="I58" i="6"/>
  <c r="J58" i="6"/>
  <c r="K58" i="6"/>
  <c r="L58" i="6" s="1"/>
  <c r="M58" i="6"/>
  <c r="N58" i="6"/>
  <c r="O58" i="6"/>
  <c r="P58" i="6" s="1"/>
  <c r="Q58" i="6"/>
  <c r="R58" i="6"/>
  <c r="S58" i="6"/>
  <c r="T58" i="6" s="1"/>
  <c r="I59" i="6"/>
  <c r="J59" i="6"/>
  <c r="K59" i="6"/>
  <c r="L59" i="6" s="1"/>
  <c r="M59" i="6"/>
  <c r="N59" i="6"/>
  <c r="O59" i="6"/>
  <c r="P59" i="6" s="1"/>
  <c r="Q59" i="6"/>
  <c r="R59" i="6"/>
  <c r="S59" i="6"/>
  <c r="T59" i="6" s="1"/>
  <c r="I60" i="6"/>
  <c r="J60" i="6"/>
  <c r="K60" i="6"/>
  <c r="L60" i="6" s="1"/>
  <c r="M60" i="6"/>
  <c r="N60" i="6"/>
  <c r="O60" i="6"/>
  <c r="P60" i="6" s="1"/>
  <c r="Q60" i="6"/>
  <c r="R60" i="6"/>
  <c r="S60" i="6"/>
  <c r="T60" i="6" s="1"/>
  <c r="F39" i="6"/>
  <c r="D61" i="6"/>
  <c r="C49" i="2"/>
  <c r="D34" i="2"/>
  <c r="D35" i="2"/>
  <c r="D36" i="2"/>
  <c r="D44" i="2"/>
  <c r="D45" i="2"/>
  <c r="D33" i="2"/>
  <c r="D37" i="2" s="1"/>
  <c r="D39" i="2"/>
  <c r="D40" i="2" s="1"/>
  <c r="D41" i="2" s="1"/>
  <c r="D43" i="2"/>
  <c r="D46" i="2"/>
  <c r="D47" i="2" s="1"/>
  <c r="D48" i="2"/>
  <c r="D49" i="2" s="1"/>
  <c r="F216" i="6"/>
  <c r="E246" i="6"/>
  <c r="D24" i="6"/>
  <c r="D23" i="6"/>
  <c r="C13" i="11" s="1"/>
  <c r="AC50" i="6"/>
  <c r="B101" i="11" s="1"/>
  <c r="BB100" i="11" s="1"/>
  <c r="BH58" i="11" s="1"/>
  <c r="BJ32" i="11"/>
  <c r="BJ31" i="11"/>
  <c r="D246" i="6"/>
  <c r="D247" i="6" s="1"/>
  <c r="H75" i="6" s="1"/>
  <c r="D162" i="6" s="1"/>
  <c r="AJ44" i="6" l="1"/>
  <c r="AJ43" i="6"/>
  <c r="AJ46" i="6"/>
  <c r="D36" i="11" s="1"/>
  <c r="BD36" i="11" s="1"/>
  <c r="AI46" i="6"/>
  <c r="C36" i="11" s="1"/>
  <c r="BC36" i="11" s="1"/>
  <c r="AH46" i="6"/>
  <c r="B36" i="11" s="1"/>
  <c r="BB36" i="11" s="1"/>
  <c r="AJ45" i="6"/>
  <c r="D35" i="11" s="1"/>
  <c r="BD35" i="11" s="1"/>
  <c r="AI45" i="6"/>
  <c r="C35" i="11" s="1"/>
  <c r="BC35" i="11" s="1"/>
  <c r="AH45" i="6"/>
  <c r="B35" i="11" s="1"/>
  <c r="BB35" i="11" s="1"/>
  <c r="D34" i="11"/>
  <c r="BD34" i="11" s="1"/>
  <c r="AI44" i="6"/>
  <c r="C34" i="11" s="1"/>
  <c r="BC34" i="11" s="1"/>
  <c r="AH44" i="6"/>
  <c r="B34" i="11" s="1"/>
  <c r="BB34" i="11" s="1"/>
  <c r="D33" i="11"/>
  <c r="BD33" i="11" s="1"/>
  <c r="AI43" i="6"/>
  <c r="C33" i="11" s="1"/>
  <c r="BC33" i="11" s="1"/>
  <c r="AH43" i="6"/>
  <c r="B33" i="11" s="1"/>
  <c r="BB33" i="11" s="1"/>
  <c r="AC52" i="6"/>
  <c r="B103" i="11" s="1"/>
  <c r="BB102" i="11" s="1"/>
  <c r="BH60" i="11" s="1"/>
  <c r="D76" i="6"/>
  <c r="C10" i="11"/>
  <c r="BC13" i="11"/>
  <c r="F246" i="6"/>
  <c r="E247" i="6"/>
  <c r="F247" i="6" s="1"/>
  <c r="D75" i="6" s="1"/>
  <c r="G39" i="6"/>
  <c r="F61" i="6"/>
  <c r="C14" i="11" s="1"/>
  <c r="BC14" i="11" s="1"/>
  <c r="H43" i="6"/>
  <c r="J43" i="6"/>
  <c r="K43" i="6"/>
  <c r="N43" i="6"/>
  <c r="O43" i="6"/>
  <c r="Q43" i="6"/>
  <c r="R43" i="6"/>
  <c r="S43" i="6"/>
  <c r="T43" i="6" s="1"/>
  <c r="H42" i="6"/>
  <c r="J42" i="6"/>
  <c r="K42" i="6"/>
  <c r="N42" i="6"/>
  <c r="O42" i="6"/>
  <c r="Q42" i="6"/>
  <c r="R42" i="6"/>
  <c r="S42" i="6"/>
  <c r="T42" i="6" s="1"/>
  <c r="Q31" i="6"/>
  <c r="AJ39" i="6" s="1"/>
  <c r="M31" i="6"/>
  <c r="AI39" i="6" s="1"/>
  <c r="C29" i="11" s="1"/>
  <c r="BC29" i="11" s="1"/>
  <c r="I31" i="6"/>
  <c r="AH39" i="6" s="1"/>
  <c r="B29" i="11" s="1"/>
  <c r="BB29" i="11" s="1"/>
  <c r="R33" i="6"/>
  <c r="Q33" i="6"/>
  <c r="AJ42" i="6" s="1"/>
  <c r="N33" i="6"/>
  <c r="M33" i="6"/>
  <c r="J33" i="6"/>
  <c r="I33" i="6"/>
  <c r="AH42" i="6" s="1"/>
  <c r="Q34" i="6"/>
  <c r="AJ38" i="6" s="1"/>
  <c r="AJ40" i="6" s="1"/>
  <c r="D30" i="11" s="1"/>
  <c r="BD30" i="11" s="1"/>
  <c r="B32" i="11" l="1"/>
  <c r="BB32" i="11" s="1"/>
  <c r="AI42" i="6"/>
  <c r="D32" i="11"/>
  <c r="BD32" i="11" s="1"/>
  <c r="I42" i="6"/>
  <c r="M42" i="6"/>
  <c r="P42" i="6"/>
  <c r="L42" i="6"/>
  <c r="I43" i="6"/>
  <c r="I34" i="6" s="1"/>
  <c r="AH38" i="6" s="1"/>
  <c r="M43" i="6"/>
  <c r="M34" i="6" s="1"/>
  <c r="AI38" i="6" s="1"/>
  <c r="I39" i="6"/>
  <c r="I61" i="6" s="1"/>
  <c r="J39" i="6"/>
  <c r="J61" i="6" s="1"/>
  <c r="K39" i="6"/>
  <c r="M39" i="6"/>
  <c r="M61" i="6" s="1"/>
  <c r="N39" i="6"/>
  <c r="N61" i="6" s="1"/>
  <c r="N64" i="6" s="1"/>
  <c r="O39" i="6"/>
  <c r="Q39" i="6"/>
  <c r="Q61" i="6" s="1"/>
  <c r="R39" i="6"/>
  <c r="R61" i="6" s="1"/>
  <c r="R64" i="6" s="1"/>
  <c r="S39" i="6"/>
  <c r="G61" i="6"/>
  <c r="AC35" i="6"/>
  <c r="B87" i="11" s="1"/>
  <c r="BB86" i="11" s="1"/>
  <c r="G75" i="6"/>
  <c r="D77" i="6"/>
  <c r="BC10" i="11"/>
  <c r="BH11" i="11" s="1"/>
  <c r="A1" i="11"/>
  <c r="AC36" i="6"/>
  <c r="B88" i="11" s="1"/>
  <c r="BB87" i="11" s="1"/>
  <c r="G76" i="6"/>
  <c r="P43" i="6"/>
  <c r="L43" i="6"/>
  <c r="I32" i="6" l="1"/>
  <c r="AJ47" i="6"/>
  <c r="C32" i="11"/>
  <c r="BC32" i="11" s="1"/>
  <c r="C21" i="11"/>
  <c r="BC21" i="11" s="1"/>
  <c r="D167" i="6"/>
  <c r="BA1" i="11"/>
  <c r="BG1" i="11"/>
  <c r="AC37" i="6"/>
  <c r="B89" i="11" s="1"/>
  <c r="BB88" i="11" s="1"/>
  <c r="E78" i="6"/>
  <c r="C18" i="11" s="1"/>
  <c r="C20" i="11"/>
  <c r="BC20" i="11" s="1"/>
  <c r="G77" i="6"/>
  <c r="H78" i="6" s="1"/>
  <c r="C19" i="11" s="1"/>
  <c r="BC19" i="11" s="1"/>
  <c r="T39" i="6"/>
  <c r="T61" i="6" s="1"/>
  <c r="T64" i="6" s="1"/>
  <c r="S61" i="6"/>
  <c r="S64" i="6" s="1"/>
  <c r="AJ49" i="6" s="1"/>
  <c r="Q32" i="6"/>
  <c r="Q64" i="6"/>
  <c r="P39" i="6"/>
  <c r="P61" i="6" s="1"/>
  <c r="P64" i="6" s="1"/>
  <c r="O61" i="6"/>
  <c r="O64" i="6" s="1"/>
  <c r="AI49" i="6" s="1"/>
  <c r="M64" i="6"/>
  <c r="M32" i="6"/>
  <c r="L39" i="6"/>
  <c r="L61" i="6" s="1"/>
  <c r="K61" i="6"/>
  <c r="AH49" i="6" s="1"/>
  <c r="AI40" i="6"/>
  <c r="C30" i="11" s="1"/>
  <c r="BC30" i="11" s="1"/>
  <c r="C28" i="11"/>
  <c r="AH40" i="6"/>
  <c r="B30" i="11" s="1"/>
  <c r="BB30" i="11" s="1"/>
  <c r="B28" i="11"/>
  <c r="BB28" i="11" l="1"/>
  <c r="BC28" i="11"/>
  <c r="D37" i="11"/>
  <c r="BD37" i="11" s="1"/>
  <c r="AJ48" i="6"/>
  <c r="D38" i="11" s="1"/>
  <c r="BD38" i="11" s="1"/>
  <c r="AI47" i="6"/>
  <c r="AH47" i="6"/>
  <c r="B39" i="11"/>
  <c r="BB39" i="11" s="1"/>
  <c r="C39" i="11"/>
  <c r="BC39" i="11" s="1"/>
  <c r="D39" i="11"/>
  <c r="BD39" i="11" s="1"/>
  <c r="AJ50" i="6"/>
  <c r="D40" i="11" s="1"/>
  <c r="BD40" i="11" s="1"/>
  <c r="BC18" i="11"/>
  <c r="C15" i="11"/>
  <c r="BC15" i="11" s="1"/>
  <c r="D169" i="6"/>
  <c r="D88" i="6"/>
  <c r="D89" i="6"/>
  <c r="G89" i="6" s="1"/>
  <c r="H89" i="6" s="1"/>
  <c r="D90" i="6"/>
  <c r="G90" i="6" s="1"/>
  <c r="H90" i="6" s="1"/>
  <c r="D91" i="6"/>
  <c r="G91" i="6" s="1"/>
  <c r="H91" i="6" s="1"/>
  <c r="D92" i="6"/>
  <c r="G92" i="6" s="1"/>
  <c r="H92" i="6" s="1"/>
  <c r="D93" i="6"/>
  <c r="G93" i="6" s="1"/>
  <c r="H93" i="6" s="1"/>
  <c r="D94" i="6"/>
  <c r="G94" i="6" s="1"/>
  <c r="H94" i="6" s="1"/>
  <c r="D95" i="6"/>
  <c r="G95" i="6" s="1"/>
  <c r="H95" i="6" s="1"/>
  <c r="D96" i="6"/>
  <c r="G96" i="6" s="1"/>
  <c r="H96" i="6" s="1"/>
  <c r="D97" i="6"/>
  <c r="G97" i="6" s="1"/>
  <c r="H97" i="6" s="1"/>
  <c r="D98" i="6"/>
  <c r="G98" i="6" s="1"/>
  <c r="H98" i="6" s="1"/>
  <c r="D99" i="6"/>
  <c r="G99" i="6" s="1"/>
  <c r="H99" i="6" s="1"/>
  <c r="D100" i="6"/>
  <c r="G100" i="6" s="1"/>
  <c r="H100" i="6" s="1"/>
  <c r="D101" i="6"/>
  <c r="G101" i="6" s="1"/>
  <c r="H101" i="6" s="1"/>
  <c r="D109" i="6"/>
  <c r="G109" i="6" s="1"/>
  <c r="H109" i="6" s="1"/>
  <c r="D108" i="6"/>
  <c r="G108" i="6" s="1"/>
  <c r="H108" i="6" s="1"/>
  <c r="D107" i="6"/>
  <c r="G107" i="6" s="1"/>
  <c r="H107" i="6" s="1"/>
  <c r="D106" i="6"/>
  <c r="G106" i="6" s="1"/>
  <c r="H106" i="6" s="1"/>
  <c r="D105" i="6"/>
  <c r="G105" i="6" s="1"/>
  <c r="H105" i="6" s="1"/>
  <c r="D104" i="6"/>
  <c r="G104" i="6" s="1"/>
  <c r="H104" i="6" s="1"/>
  <c r="D103" i="6"/>
  <c r="G103" i="6" s="1"/>
  <c r="H103" i="6" s="1"/>
  <c r="D102" i="6"/>
  <c r="G102" i="6" s="1"/>
  <c r="H102" i="6" s="1"/>
  <c r="B37" i="11" l="1"/>
  <c r="BB37" i="11" s="1"/>
  <c r="AH48" i="6"/>
  <c r="B38" i="11" s="1"/>
  <c r="BB38" i="11" s="1"/>
  <c r="C37" i="11"/>
  <c r="BC37" i="11" s="1"/>
  <c r="AI48" i="6"/>
  <c r="C38" i="11" s="1"/>
  <c r="BC38" i="11" s="1"/>
  <c r="M102" i="6"/>
  <c r="M164" i="6" s="1"/>
  <c r="N102" i="6"/>
  <c r="Q102" i="6"/>
  <c r="Q164" i="6" s="1"/>
  <c r="R102" i="6"/>
  <c r="U102" i="6"/>
  <c r="U164" i="6" s="1"/>
  <c r="V102" i="6"/>
  <c r="M103" i="6"/>
  <c r="M165" i="6" s="1"/>
  <c r="N103" i="6"/>
  <c r="Q103" i="6"/>
  <c r="Q165" i="6" s="1"/>
  <c r="R103" i="6"/>
  <c r="U103" i="6"/>
  <c r="U165" i="6" s="1"/>
  <c r="V103" i="6"/>
  <c r="M104" i="6"/>
  <c r="M166" i="6" s="1"/>
  <c r="N104" i="6"/>
  <c r="Q104" i="6"/>
  <c r="Q166" i="6" s="1"/>
  <c r="R104" i="6"/>
  <c r="U104" i="6"/>
  <c r="U166" i="6" s="1"/>
  <c r="V104" i="6"/>
  <c r="M105" i="6"/>
  <c r="M167" i="6" s="1"/>
  <c r="N105" i="6"/>
  <c r="Q105" i="6"/>
  <c r="Q167" i="6" s="1"/>
  <c r="R105" i="6"/>
  <c r="U105" i="6"/>
  <c r="U167" i="6" s="1"/>
  <c r="V105" i="6"/>
  <c r="M106" i="6"/>
  <c r="M168" i="6" s="1"/>
  <c r="N106" i="6"/>
  <c r="Q106" i="6"/>
  <c r="Q168" i="6" s="1"/>
  <c r="R106" i="6"/>
  <c r="U106" i="6"/>
  <c r="U168" i="6" s="1"/>
  <c r="V106" i="6"/>
  <c r="M107" i="6"/>
  <c r="M169" i="6" s="1"/>
  <c r="N107" i="6"/>
  <c r="Q107" i="6"/>
  <c r="Q169" i="6" s="1"/>
  <c r="R107" i="6"/>
  <c r="U107" i="6"/>
  <c r="U169" i="6" s="1"/>
  <c r="V107" i="6"/>
  <c r="M108" i="6"/>
  <c r="M170" i="6" s="1"/>
  <c r="N108" i="6"/>
  <c r="Q108" i="6"/>
  <c r="Q170" i="6" s="1"/>
  <c r="R108" i="6"/>
  <c r="U108" i="6"/>
  <c r="U170" i="6" s="1"/>
  <c r="V108" i="6"/>
  <c r="M109" i="6"/>
  <c r="M171" i="6" s="1"/>
  <c r="N109" i="6"/>
  <c r="Q109" i="6"/>
  <c r="Q171" i="6" s="1"/>
  <c r="R109" i="6"/>
  <c r="U109" i="6"/>
  <c r="U171" i="6" s="1"/>
  <c r="V109" i="6"/>
  <c r="M101" i="6"/>
  <c r="M163" i="6" s="1"/>
  <c r="N101" i="6"/>
  <c r="Q101" i="6"/>
  <c r="Q163" i="6" s="1"/>
  <c r="R101" i="6"/>
  <c r="U101" i="6"/>
  <c r="U163" i="6" s="1"/>
  <c r="V101" i="6"/>
  <c r="L100" i="6"/>
  <c r="L162" i="6" s="1"/>
  <c r="M100" i="6"/>
  <c r="M162" i="6" s="1"/>
  <c r="N100" i="6"/>
  <c r="P100" i="6"/>
  <c r="P162" i="6" s="1"/>
  <c r="Q100" i="6"/>
  <c r="Q162" i="6" s="1"/>
  <c r="R100" i="6"/>
  <c r="T100" i="6"/>
  <c r="T162" i="6" s="1"/>
  <c r="U100" i="6"/>
  <c r="U162" i="6" s="1"/>
  <c r="V100" i="6"/>
  <c r="L99" i="6"/>
  <c r="L161" i="6" s="1"/>
  <c r="M99" i="6"/>
  <c r="M161" i="6" s="1"/>
  <c r="N99" i="6"/>
  <c r="P99" i="6"/>
  <c r="P161" i="6" s="1"/>
  <c r="Q99" i="6"/>
  <c r="Q161" i="6" s="1"/>
  <c r="R99" i="6"/>
  <c r="T99" i="6"/>
  <c r="T161" i="6" s="1"/>
  <c r="U99" i="6"/>
  <c r="U161" i="6" s="1"/>
  <c r="V99" i="6"/>
  <c r="L98" i="6"/>
  <c r="L160" i="6" s="1"/>
  <c r="M98" i="6"/>
  <c r="M160" i="6" s="1"/>
  <c r="N98" i="6"/>
  <c r="P98" i="6"/>
  <c r="P160" i="6" s="1"/>
  <c r="Q98" i="6"/>
  <c r="Q160" i="6" s="1"/>
  <c r="R98" i="6"/>
  <c r="T98" i="6"/>
  <c r="T160" i="6" s="1"/>
  <c r="U98" i="6"/>
  <c r="U160" i="6" s="1"/>
  <c r="V98" i="6"/>
  <c r="L97" i="6"/>
  <c r="L159" i="6" s="1"/>
  <c r="M97" i="6"/>
  <c r="M159" i="6" s="1"/>
  <c r="N97" i="6"/>
  <c r="P97" i="6"/>
  <c r="P159" i="6" s="1"/>
  <c r="Q97" i="6"/>
  <c r="Q159" i="6" s="1"/>
  <c r="R97" i="6"/>
  <c r="T97" i="6"/>
  <c r="T159" i="6" s="1"/>
  <c r="U97" i="6"/>
  <c r="U159" i="6" s="1"/>
  <c r="V97" i="6"/>
  <c r="L96" i="6"/>
  <c r="L158" i="6" s="1"/>
  <c r="M96" i="6"/>
  <c r="M158" i="6" s="1"/>
  <c r="N96" i="6"/>
  <c r="P96" i="6"/>
  <c r="P158" i="6" s="1"/>
  <c r="Q96" i="6"/>
  <c r="Q158" i="6" s="1"/>
  <c r="R96" i="6"/>
  <c r="T96" i="6"/>
  <c r="T158" i="6" s="1"/>
  <c r="U96" i="6"/>
  <c r="U158" i="6" s="1"/>
  <c r="V96" i="6"/>
  <c r="L95" i="6"/>
  <c r="L157" i="6" s="1"/>
  <c r="M95" i="6"/>
  <c r="M157" i="6" s="1"/>
  <c r="N95" i="6"/>
  <c r="P95" i="6"/>
  <c r="P157" i="6" s="1"/>
  <c r="Q95" i="6"/>
  <c r="Q157" i="6" s="1"/>
  <c r="R95" i="6"/>
  <c r="T95" i="6"/>
  <c r="T157" i="6" s="1"/>
  <c r="U95" i="6"/>
  <c r="U157" i="6" s="1"/>
  <c r="V95" i="6"/>
  <c r="L94" i="6"/>
  <c r="L156" i="6" s="1"/>
  <c r="M94" i="6"/>
  <c r="M156" i="6" s="1"/>
  <c r="N94" i="6"/>
  <c r="P94" i="6"/>
  <c r="P156" i="6" s="1"/>
  <c r="Q94" i="6"/>
  <c r="Q156" i="6" s="1"/>
  <c r="R94" i="6"/>
  <c r="T94" i="6"/>
  <c r="T156" i="6" s="1"/>
  <c r="U94" i="6"/>
  <c r="U156" i="6" s="1"/>
  <c r="V94" i="6"/>
  <c r="L93" i="6"/>
  <c r="L155" i="6" s="1"/>
  <c r="M93" i="6"/>
  <c r="M155" i="6" s="1"/>
  <c r="N93" i="6"/>
  <c r="P93" i="6"/>
  <c r="P155" i="6" s="1"/>
  <c r="Q93" i="6"/>
  <c r="Q155" i="6" s="1"/>
  <c r="R93" i="6"/>
  <c r="T93" i="6"/>
  <c r="T155" i="6" s="1"/>
  <c r="U93" i="6"/>
  <c r="U155" i="6" s="1"/>
  <c r="V93" i="6"/>
  <c r="L92" i="6"/>
  <c r="L154" i="6" s="1"/>
  <c r="M92" i="6"/>
  <c r="M154" i="6" s="1"/>
  <c r="N92" i="6"/>
  <c r="P92" i="6"/>
  <c r="P154" i="6" s="1"/>
  <c r="Q92" i="6"/>
  <c r="Q154" i="6" s="1"/>
  <c r="R92" i="6"/>
  <c r="T92" i="6"/>
  <c r="T154" i="6" s="1"/>
  <c r="U92" i="6"/>
  <c r="U154" i="6" s="1"/>
  <c r="V92" i="6"/>
  <c r="L91" i="6"/>
  <c r="L153" i="6" s="1"/>
  <c r="M91" i="6"/>
  <c r="M153" i="6" s="1"/>
  <c r="N91" i="6"/>
  <c r="P91" i="6"/>
  <c r="P153" i="6" s="1"/>
  <c r="Q91" i="6"/>
  <c r="Q153" i="6" s="1"/>
  <c r="R91" i="6"/>
  <c r="T91" i="6"/>
  <c r="T153" i="6" s="1"/>
  <c r="U91" i="6"/>
  <c r="U153" i="6" s="1"/>
  <c r="V91" i="6"/>
  <c r="L90" i="6"/>
  <c r="L152" i="6" s="1"/>
  <c r="M90" i="6"/>
  <c r="M152" i="6" s="1"/>
  <c r="N90" i="6"/>
  <c r="P90" i="6"/>
  <c r="P152" i="6" s="1"/>
  <c r="Q90" i="6"/>
  <c r="Q152" i="6" s="1"/>
  <c r="R90" i="6"/>
  <c r="T90" i="6"/>
  <c r="T152" i="6" s="1"/>
  <c r="U90" i="6"/>
  <c r="U152" i="6" s="1"/>
  <c r="V90" i="6"/>
  <c r="L89" i="6"/>
  <c r="L151" i="6" s="1"/>
  <c r="M89" i="6"/>
  <c r="M151" i="6" s="1"/>
  <c r="N89" i="6"/>
  <c r="P89" i="6"/>
  <c r="P151" i="6" s="1"/>
  <c r="Q89" i="6"/>
  <c r="Q151" i="6" s="1"/>
  <c r="R89" i="6"/>
  <c r="T89" i="6"/>
  <c r="T151" i="6" s="1"/>
  <c r="U89" i="6"/>
  <c r="U151" i="6" s="1"/>
  <c r="V89" i="6"/>
  <c r="G88" i="6"/>
  <c r="D110" i="6"/>
  <c r="AI50" i="6" l="1"/>
  <c r="C40" i="11" s="1"/>
  <c r="BC40" i="11" s="1"/>
  <c r="AH50" i="6"/>
  <c r="B40" i="11" s="1"/>
  <c r="BB40" i="11" s="1"/>
  <c r="H88" i="6"/>
  <c r="G110" i="6"/>
  <c r="W89" i="6"/>
  <c r="V151" i="6"/>
  <c r="W151" i="6" s="1"/>
  <c r="S89" i="6"/>
  <c r="R151" i="6"/>
  <c r="S151" i="6" s="1"/>
  <c r="O89" i="6"/>
  <c r="N151" i="6"/>
  <c r="O151" i="6" s="1"/>
  <c r="W90" i="6"/>
  <c r="V152" i="6"/>
  <c r="W152" i="6" s="1"/>
  <c r="S90" i="6"/>
  <c r="R152" i="6"/>
  <c r="S152" i="6" s="1"/>
  <c r="O90" i="6"/>
  <c r="N152" i="6"/>
  <c r="O152" i="6" s="1"/>
  <c r="W91" i="6"/>
  <c r="V153" i="6"/>
  <c r="W153" i="6" s="1"/>
  <c r="S91" i="6"/>
  <c r="R153" i="6"/>
  <c r="S153" i="6" s="1"/>
  <c r="O91" i="6"/>
  <c r="N153" i="6"/>
  <c r="O153" i="6" s="1"/>
  <c r="W92" i="6"/>
  <c r="V154" i="6"/>
  <c r="W154" i="6" s="1"/>
  <c r="S92" i="6"/>
  <c r="R154" i="6"/>
  <c r="S154" i="6" s="1"/>
  <c r="O92" i="6"/>
  <c r="N154" i="6"/>
  <c r="O154" i="6" s="1"/>
  <c r="W93" i="6"/>
  <c r="V155" i="6"/>
  <c r="W155" i="6" s="1"/>
  <c r="S93" i="6"/>
  <c r="R155" i="6"/>
  <c r="S155" i="6" s="1"/>
  <c r="O93" i="6"/>
  <c r="N155" i="6"/>
  <c r="O155" i="6" s="1"/>
  <c r="W94" i="6"/>
  <c r="V156" i="6"/>
  <c r="W156" i="6" s="1"/>
  <c r="S94" i="6"/>
  <c r="R156" i="6"/>
  <c r="S156" i="6" s="1"/>
  <c r="O94" i="6"/>
  <c r="N156" i="6"/>
  <c r="O156" i="6" s="1"/>
  <c r="W95" i="6"/>
  <c r="V157" i="6"/>
  <c r="W157" i="6" s="1"/>
  <c r="S95" i="6"/>
  <c r="R157" i="6"/>
  <c r="S157" i="6" s="1"/>
  <c r="O95" i="6"/>
  <c r="N157" i="6"/>
  <c r="O157" i="6" s="1"/>
  <c r="W96" i="6"/>
  <c r="V158" i="6"/>
  <c r="W158" i="6" s="1"/>
  <c r="S96" i="6"/>
  <c r="R158" i="6"/>
  <c r="S158" i="6" s="1"/>
  <c r="O96" i="6"/>
  <c r="N158" i="6"/>
  <c r="O158" i="6" s="1"/>
  <c r="W97" i="6"/>
  <c r="V159" i="6"/>
  <c r="W159" i="6" s="1"/>
  <c r="S97" i="6"/>
  <c r="R159" i="6"/>
  <c r="S159" i="6" s="1"/>
  <c r="O97" i="6"/>
  <c r="N159" i="6"/>
  <c r="O159" i="6" s="1"/>
  <c r="W98" i="6"/>
  <c r="V160" i="6"/>
  <c r="W160" i="6" s="1"/>
  <c r="S98" i="6"/>
  <c r="R160" i="6"/>
  <c r="S160" i="6" s="1"/>
  <c r="O98" i="6"/>
  <c r="N160" i="6"/>
  <c r="O160" i="6" s="1"/>
  <c r="W99" i="6"/>
  <c r="V161" i="6"/>
  <c r="W161" i="6" s="1"/>
  <c r="S99" i="6"/>
  <c r="R161" i="6"/>
  <c r="S161" i="6" s="1"/>
  <c r="O99" i="6"/>
  <c r="N161" i="6"/>
  <c r="O161" i="6" s="1"/>
  <c r="W100" i="6"/>
  <c r="V162" i="6"/>
  <c r="W162" i="6" s="1"/>
  <c r="S100" i="6"/>
  <c r="R162" i="6"/>
  <c r="S162" i="6" s="1"/>
  <c r="O100" i="6"/>
  <c r="N162" i="6"/>
  <c r="O162" i="6" s="1"/>
  <c r="W101" i="6"/>
  <c r="V163" i="6"/>
  <c r="W163" i="6" s="1"/>
  <c r="S101" i="6"/>
  <c r="R163" i="6"/>
  <c r="S163" i="6" s="1"/>
  <c r="O101" i="6"/>
  <c r="N163" i="6"/>
  <c r="O163" i="6" s="1"/>
  <c r="W109" i="6"/>
  <c r="V171" i="6"/>
  <c r="W171" i="6" s="1"/>
  <c r="S109" i="6"/>
  <c r="R171" i="6"/>
  <c r="S171" i="6" s="1"/>
  <c r="O109" i="6"/>
  <c r="N171" i="6"/>
  <c r="O171" i="6" s="1"/>
  <c r="W108" i="6"/>
  <c r="V170" i="6"/>
  <c r="W170" i="6" s="1"/>
  <c r="S108" i="6"/>
  <c r="R170" i="6"/>
  <c r="S170" i="6" s="1"/>
  <c r="O108" i="6"/>
  <c r="N170" i="6"/>
  <c r="O170" i="6" s="1"/>
  <c r="W107" i="6"/>
  <c r="V169" i="6"/>
  <c r="W169" i="6" s="1"/>
  <c r="S107" i="6"/>
  <c r="R169" i="6"/>
  <c r="S169" i="6" s="1"/>
  <c r="O107" i="6"/>
  <c r="N169" i="6"/>
  <c r="O169" i="6" s="1"/>
  <c r="W106" i="6"/>
  <c r="V168" i="6"/>
  <c r="W168" i="6" s="1"/>
  <c r="S106" i="6"/>
  <c r="R168" i="6"/>
  <c r="S168" i="6" s="1"/>
  <c r="O106" i="6"/>
  <c r="N168" i="6"/>
  <c r="O168" i="6" s="1"/>
  <c r="W105" i="6"/>
  <c r="V167" i="6"/>
  <c r="W167" i="6" s="1"/>
  <c r="S105" i="6"/>
  <c r="R167" i="6"/>
  <c r="S167" i="6" s="1"/>
  <c r="O105" i="6"/>
  <c r="N167" i="6"/>
  <c r="O167" i="6" s="1"/>
  <c r="W104" i="6"/>
  <c r="V166" i="6"/>
  <c r="W166" i="6" s="1"/>
  <c r="S104" i="6"/>
  <c r="R166" i="6"/>
  <c r="S166" i="6" s="1"/>
  <c r="O104" i="6"/>
  <c r="N166" i="6"/>
  <c r="O166" i="6" s="1"/>
  <c r="W103" i="6"/>
  <c r="V165" i="6"/>
  <c r="W165" i="6" s="1"/>
  <c r="S103" i="6"/>
  <c r="R165" i="6"/>
  <c r="S165" i="6" s="1"/>
  <c r="O103" i="6"/>
  <c r="N165" i="6"/>
  <c r="O165" i="6" s="1"/>
  <c r="W102" i="6"/>
  <c r="V164" i="6"/>
  <c r="W164" i="6" s="1"/>
  <c r="S102" i="6"/>
  <c r="R164" i="6"/>
  <c r="S164" i="6" s="1"/>
  <c r="O102" i="6"/>
  <c r="N164" i="6"/>
  <c r="O164" i="6" s="1"/>
  <c r="L88" i="6" l="1"/>
  <c r="M88" i="6"/>
  <c r="N88" i="6"/>
  <c r="P88" i="6"/>
  <c r="Q88" i="6"/>
  <c r="R88" i="6"/>
  <c r="T88" i="6"/>
  <c r="U88" i="6"/>
  <c r="V88" i="6"/>
  <c r="H110" i="6"/>
  <c r="W88" i="6" l="1"/>
  <c r="W110" i="6" s="1"/>
  <c r="V110" i="6"/>
  <c r="V150" i="6"/>
  <c r="U110" i="6"/>
  <c r="U150" i="6"/>
  <c r="U173" i="6" s="1"/>
  <c r="U174" i="6" s="1"/>
  <c r="T110" i="6"/>
  <c r="T150" i="6"/>
  <c r="T173" i="6" s="1"/>
  <c r="T174" i="6" s="1"/>
  <c r="AJ55" i="6" s="1"/>
  <c r="S88" i="6"/>
  <c r="S110" i="6" s="1"/>
  <c r="R110" i="6"/>
  <c r="R150" i="6"/>
  <c r="Q110" i="6"/>
  <c r="Q150" i="6"/>
  <c r="Q173" i="6" s="1"/>
  <c r="Q174" i="6" s="1"/>
  <c r="P110" i="6"/>
  <c r="P150" i="6"/>
  <c r="P173" i="6" s="1"/>
  <c r="P174" i="6" s="1"/>
  <c r="AI55" i="6" s="1"/>
  <c r="O88" i="6"/>
  <c r="O110" i="6" s="1"/>
  <c r="O114" i="6" s="1"/>
  <c r="O115" i="6" s="1"/>
  <c r="N110" i="6"/>
  <c r="N114" i="6" s="1"/>
  <c r="N115" i="6" s="1"/>
  <c r="N150" i="6"/>
  <c r="M110" i="6"/>
  <c r="M114" i="6" s="1"/>
  <c r="M115" i="6" s="1"/>
  <c r="M150" i="6"/>
  <c r="L110" i="6"/>
  <c r="L114" i="6" s="1"/>
  <c r="L150" i="6"/>
  <c r="L145" i="6" l="1"/>
  <c r="L143" i="6" s="1"/>
  <c r="M173" i="6"/>
  <c r="O150" i="6"/>
  <c r="N173" i="6"/>
  <c r="C47" i="11"/>
  <c r="BC47" i="11" s="1"/>
  <c r="P114" i="6"/>
  <c r="P115" i="6"/>
  <c r="Q114" i="6"/>
  <c r="Q115" i="6"/>
  <c r="S150" i="6"/>
  <c r="S173" i="6" s="1"/>
  <c r="S174" i="6" s="1"/>
  <c r="R173" i="6"/>
  <c r="R174" i="6" s="1"/>
  <c r="AI56" i="6" s="1"/>
  <c r="C48" i="11" s="1"/>
  <c r="BC48" i="11" s="1"/>
  <c r="R114" i="6"/>
  <c r="S114" i="6" s="1"/>
  <c r="R115" i="6"/>
  <c r="S115" i="6" s="1"/>
  <c r="D47" i="11"/>
  <c r="BD47" i="11" s="1"/>
  <c r="T114" i="6"/>
  <c r="T115" i="6"/>
  <c r="U114" i="6"/>
  <c r="U115" i="6"/>
  <c r="W150" i="6"/>
  <c r="W173" i="6" s="1"/>
  <c r="W174" i="6" s="1"/>
  <c r="V173" i="6"/>
  <c r="V174" i="6" s="1"/>
  <c r="AJ56" i="6" s="1"/>
  <c r="D48" i="11" s="1"/>
  <c r="BD48" i="11" s="1"/>
  <c r="V114" i="6"/>
  <c r="W114" i="6" s="1"/>
  <c r="V115" i="6"/>
  <c r="W115" i="6" s="1"/>
  <c r="L115" i="6"/>
  <c r="AH56" i="6" l="1"/>
  <c r="B48" i="11" s="1"/>
  <c r="BB48" i="11" s="1"/>
  <c r="AH54" i="6"/>
  <c r="L172" i="6"/>
  <c r="AJ57" i="6"/>
  <c r="D49" i="11" s="1"/>
  <c r="BD49" i="11" s="1"/>
  <c r="AI57" i="6"/>
  <c r="C49" i="11" s="1"/>
  <c r="BC49" i="11" s="1"/>
  <c r="O172" i="6" l="1"/>
  <c r="L173" i="6"/>
  <c r="B46" i="11"/>
  <c r="BB46" i="11" s="1"/>
  <c r="AH55" i="6" l="1"/>
  <c r="O173" i="6"/>
  <c r="B47" i="11" l="1"/>
  <c r="BB47" i="11" s="1"/>
  <c r="AH57" i="6"/>
  <c r="B49" i="11" s="1"/>
  <c r="BB49" i="11" s="1"/>
</calcChain>
</file>

<file path=xl/comments1.xml><?xml version="1.0" encoding="utf-8"?>
<comments xmlns="http://schemas.openxmlformats.org/spreadsheetml/2006/main">
  <authors>
    <author>Marshall Goldberg</author>
    <author xml:space="preserve"> </author>
    <author xml:space="preserve"> Marshall</author>
  </authors>
  <commentList>
    <comment ref="A12" authorId="0">
      <text>
        <r>
          <rPr>
            <b/>
            <sz val="8"/>
            <color indexed="81"/>
            <rFont val="Tahoma"/>
            <family val="2"/>
          </rPr>
          <t xml:space="preserve">
Project location is state name or defined region (or other user add-in location - MyCounty or MyRegion) where PV system is constructed/installed. 
See FAQ for list of states included in defined regions.
</t>
        </r>
        <r>
          <rPr>
            <b/>
            <sz val="8"/>
            <color indexed="10"/>
            <rFont val="Tahoma"/>
            <family val="2"/>
          </rPr>
          <t>(Entry required -choose from pull-down list)</t>
        </r>
      </text>
    </comment>
    <comment ref="A13" authorId="1">
      <text>
        <r>
          <rPr>
            <b/>
            <sz val="8"/>
            <color indexed="81"/>
            <rFont val="Tahoma"/>
            <family val="2"/>
          </rPr>
          <t xml:space="preserve"> 
If running a county or regional analysis: area population is required to incorporate appropriate default values for local shares.</t>
        </r>
      </text>
    </comment>
    <comment ref="A14" authorId="0">
      <text>
        <r>
          <rPr>
            <b/>
            <sz val="8"/>
            <color indexed="81"/>
            <rFont val="Tahoma"/>
            <family val="2"/>
          </rPr>
          <t xml:space="preserve">
Year of construction is year in which construction occurs - not to exceed 2030. </t>
        </r>
        <r>
          <rPr>
            <b/>
            <sz val="8"/>
            <color indexed="10"/>
            <rFont val="Tahoma"/>
            <family val="2"/>
          </rPr>
          <t>(Entry required)</t>
        </r>
      </text>
    </comment>
    <comment ref="A18" authorId="0">
      <text>
        <r>
          <rPr>
            <b/>
            <sz val="8"/>
            <color indexed="81"/>
            <rFont val="Tahoma"/>
            <family val="2"/>
          </rPr>
          <t xml:space="preserve">
Average System Size (default) is based on analysis of data from </t>
        </r>
        <r>
          <rPr>
            <b/>
            <i/>
            <sz val="8"/>
            <color indexed="81"/>
            <rFont val="Tahoma"/>
            <family val="2"/>
          </rPr>
          <t>Tracking the Sun IV, for</t>
        </r>
        <r>
          <rPr>
            <b/>
            <sz val="8"/>
            <color indexed="81"/>
            <rFont val="Tahoma"/>
            <family val="2"/>
          </rPr>
          <t xml:space="preserve"> systems installed for each sector in 2010.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r>
          <rPr>
            <sz val="8"/>
            <color indexed="81"/>
            <rFont val="Tahoma"/>
            <family val="2"/>
          </rPr>
          <t xml:space="preserve">
</t>
        </r>
      </text>
    </comment>
    <comment ref="A20" authorId="2">
      <text>
        <r>
          <rPr>
            <b/>
            <sz val="8"/>
            <color indexed="81"/>
            <rFont val="Tahoma"/>
            <family val="2"/>
          </rPr>
          <t xml:space="preserve">
The Project Size is automatically calculated by multiplying the average system size (kW) by the number of systems installed.</t>
        </r>
      </text>
    </comment>
    <comment ref="A22" authorId="2">
      <text>
        <r>
          <rPr>
            <b/>
            <sz val="10"/>
            <color indexed="81"/>
            <rFont val="Tahoma"/>
            <family val="2"/>
          </rPr>
          <t xml:space="preserve"> </t>
        </r>
        <r>
          <rPr>
            <b/>
            <sz val="8"/>
            <color indexed="81"/>
            <rFont val="Tahoma"/>
            <family val="2"/>
          </rPr>
          <t xml:space="preserve">
Base Installed System Cost is derived from analysis of data from </t>
        </r>
        <r>
          <rPr>
            <b/>
            <i/>
            <sz val="8"/>
            <color indexed="81"/>
            <rFont val="Tahoma"/>
            <family val="2"/>
          </rPr>
          <t>Tracking the Sun IV,</t>
        </r>
        <r>
          <rPr>
            <b/>
            <sz val="8"/>
            <color indexed="81"/>
            <rFont val="Tahoma"/>
            <family val="2"/>
          </rPr>
          <t xml:space="preserve"> for 20 states.  Where no data is available for a particular state the average cost for all states is used.  
System cost does not include batteries, generators, or any additional electrical materials and equipment beyond those necessary for the base system.  Cost does not include any applicable sales tax; these are additional (included elsewhere).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text>
    </comment>
    <comment ref="A23" authorId="0">
      <text>
        <r>
          <rPr>
            <b/>
            <sz val="8"/>
            <color indexed="81"/>
            <rFont val="Tahoma"/>
            <family val="2"/>
          </rPr>
          <t xml:space="preserve">
Annual Operations and Maintenance Cost does not include costs associated with debt or equity financing, land easement, or taxes.
Source: Cost based on data provided by John Bartlett, U.S. Dept. of Energy, Sept. 2010.</t>
        </r>
      </text>
    </comment>
    <comment ref="A24" authorId="0">
      <text>
        <r>
          <rPr>
            <b/>
            <sz val="8"/>
            <color indexed="81"/>
            <rFont val="Tahoma"/>
            <family val="2"/>
          </rPr>
          <t xml:space="preserve">
Money value refers to the year in which the construction costs are based on (e.g., enter 2010 for construction in 2011 with cost estimates in 2010 dollar values).
The model uses this dollar year to internally adjust project costs for consistency with the year of the multipliers used in the analysis.</t>
        </r>
      </text>
    </comment>
    <comment ref="A26" authorId="0">
      <text>
        <r>
          <rPr>
            <b/>
            <sz val="8"/>
            <color indexed="81"/>
            <rFont val="Tahoma"/>
            <family val="2"/>
          </rPr>
          <t xml:space="preserve">
Choose "Y" to run analysis using System Description Data (entered above) and default System Cost Data (automatically entered below).
Choose "N" to run analysis using System Descriptive Data (entered above) with user modified System Cost Data (entered below) .</t>
        </r>
        <r>
          <rPr>
            <b/>
            <sz val="8"/>
            <color indexed="10"/>
            <rFont val="Tahoma"/>
            <family val="2"/>
          </rPr>
          <t xml:space="preserve">  User defined cost data will not be incorporated in the analysis if an "N" is not chosen here.
                               (Entry Required) </t>
        </r>
        <r>
          <rPr>
            <b/>
            <sz val="8"/>
            <color indexed="81"/>
            <rFont val="Tahoma"/>
            <family val="2"/>
          </rPr>
          <t xml:space="preserve">
</t>
        </r>
      </text>
    </comment>
    <comment ref="A31" authorId="0">
      <text>
        <r>
          <rPr>
            <b/>
            <sz val="8"/>
            <color indexed="81"/>
            <rFont val="Tahoma"/>
            <family val="2"/>
          </rPr>
          <t xml:space="preserve">
Installation Costs are based on analysis of data from Barbose, G., Darghouth, N., Wiser, R, and Seel, J. 2011. </t>
        </r>
        <r>
          <rPr>
            <b/>
            <i/>
            <sz val="8"/>
            <color indexed="81"/>
            <rFont val="Tahoma"/>
            <family val="2"/>
          </rPr>
          <t>Tracking the Sun IV: The Installed Cost of Photovoltaics in the U.S. from 1998-2010</t>
        </r>
        <r>
          <rPr>
            <b/>
            <sz val="8"/>
            <color indexed="81"/>
            <rFont val="Tahoma"/>
            <family val="2"/>
          </rPr>
          <t xml:space="preserve">. Berkeley, CA: Lawrence Berkeley National Laboratory, provided in May 2011 (prior to the report being published); data from John Bartlett, U.S. Dept. of Energy, Sept. 2010; and analysis of proprietary data provided by project installers.
</t>
        </r>
      </text>
    </comment>
    <comment ref="E31" authorId="0">
      <text>
        <r>
          <rPr>
            <b/>
            <sz val="8"/>
            <color indexed="81"/>
            <rFont val="Tahoma"/>
            <family val="2"/>
          </rPr>
          <t xml:space="preserve">
Purchased Locally is the percentage of expenditure spent in the state or local region where the system is installed.</t>
        </r>
      </text>
    </comment>
    <comment ref="A43" authorId="0">
      <text>
        <r>
          <rPr>
            <b/>
            <sz val="8"/>
            <color indexed="81"/>
            <rFont val="Tahoma"/>
            <family val="2"/>
          </rPr>
          <t xml:space="preserve">
Permitting refers only to those costs paid to the permitting agency (typically local govt.).  Costs associated with preparing the permit, filing the permit, etc. should be included in Business Overhead.</t>
        </r>
        <r>
          <rPr>
            <sz val="8"/>
            <color indexed="81"/>
            <rFont val="Tahoma"/>
            <family val="2"/>
          </rPr>
          <t xml:space="preserve">
</t>
        </r>
      </text>
    </comment>
    <comment ref="A44" authorId="0">
      <text>
        <r>
          <rPr>
            <sz val="8"/>
            <color indexed="81"/>
            <rFont val="Tahoma"/>
            <family val="2"/>
          </rPr>
          <t xml:space="preserve">
</t>
        </r>
        <r>
          <rPr>
            <b/>
            <sz val="8"/>
            <color indexed="81"/>
            <rFont val="Tahoma"/>
            <family val="2"/>
          </rPr>
          <t>Other Costs includes all services and misc. costs not accounted for elsewhere.</t>
        </r>
        <r>
          <rPr>
            <sz val="8"/>
            <color indexed="81"/>
            <rFont val="Tahoma"/>
            <family val="2"/>
          </rPr>
          <t xml:space="preserve">
</t>
        </r>
      </text>
    </comment>
    <comment ref="A45" authorId="0">
      <text>
        <r>
          <rPr>
            <b/>
            <sz val="8"/>
            <color indexed="81"/>
            <rFont val="Tahoma"/>
            <family val="2"/>
          </rPr>
          <t xml:space="preserve">
Business overhead includes, among others, all back-office costs, sales and marketing costs, pre-development costs, as well as gross margin.</t>
        </r>
        <r>
          <rPr>
            <sz val="8"/>
            <color indexed="81"/>
            <rFont val="Tahoma"/>
            <family val="2"/>
          </rPr>
          <t xml:space="preserve">
</t>
        </r>
      </text>
    </comment>
    <comment ref="A48" authorId="2">
      <text>
        <r>
          <rPr>
            <b/>
            <sz val="8"/>
            <color indexed="81"/>
            <rFont val="Tahoma"/>
            <family val="2"/>
          </rPr>
          <t xml:space="preserve">
Entry required if sales tax not to be automatically computed using sales tax rate entered in Tax Parameters below.</t>
        </r>
        <r>
          <rPr>
            <sz val="10"/>
            <color indexed="81"/>
            <rFont val="Tahoma"/>
            <family val="2"/>
          </rPr>
          <t xml:space="preserve">
</t>
        </r>
      </text>
    </comment>
    <comment ref="E48" authorId="0">
      <text>
        <r>
          <rPr>
            <b/>
            <sz val="8"/>
            <color indexed="81"/>
            <rFont val="Tahoma"/>
            <family val="2"/>
          </rPr>
          <t xml:space="preserve">
Local share is set using Tax Parameters set below.</t>
        </r>
        <r>
          <rPr>
            <sz val="8"/>
            <color indexed="81"/>
            <rFont val="Tahoma"/>
            <family val="2"/>
          </rPr>
          <t xml:space="preserve">
</t>
        </r>
      </text>
    </comment>
    <comment ref="D52" authorId="0">
      <text>
        <r>
          <rPr>
            <b/>
            <sz val="8"/>
            <color indexed="81"/>
            <rFont val="Tahoma"/>
            <family val="2"/>
          </rPr>
          <t xml:space="preserve">
For purposes of calculating this percentage, the Total Cost does not include costs for land easement if applicable.</t>
        </r>
      </text>
    </comment>
    <comment ref="E52" authorId="0">
      <text>
        <r>
          <rPr>
            <b/>
            <sz val="8"/>
            <color indexed="81"/>
            <rFont val="Tahoma"/>
            <family val="2"/>
          </rPr>
          <t xml:space="preserve">
Local Share is the percentage of expenditure spent in the state or local region where the system is installed.</t>
        </r>
      </text>
    </comment>
    <comment ref="A53" authorId="0">
      <text>
        <r>
          <rPr>
            <sz val="8"/>
            <color indexed="81"/>
            <rFont val="Tahoma"/>
            <family val="2"/>
          </rPr>
          <t xml:space="preserve">
</t>
        </r>
        <r>
          <rPr>
            <b/>
            <sz val="8"/>
            <color indexed="81"/>
            <rFont val="Tahoma"/>
            <family val="2"/>
          </rPr>
          <t>Labor Costs include employer paid costs such as wages, health benefits, workers compensation, disability insurance, and social security, among others.</t>
        </r>
        <r>
          <rPr>
            <sz val="8"/>
            <color indexed="81"/>
            <rFont val="Tahoma"/>
            <family val="2"/>
          </rPr>
          <t xml:space="preserve">
</t>
        </r>
      </text>
    </comment>
    <comment ref="E56" authorId="0">
      <text>
        <r>
          <rPr>
            <b/>
            <sz val="8"/>
            <color indexed="81"/>
            <rFont val="Tahoma"/>
            <family val="2"/>
          </rPr>
          <t xml:space="preserve">
Purchased Locally is the percentage of expenditure spent in the state or local region where the system is installed.</t>
        </r>
      </text>
    </comment>
    <comment ref="A61" authorId="2">
      <text>
        <r>
          <rPr>
            <b/>
            <sz val="8"/>
            <color indexed="81"/>
            <rFont val="Tahoma"/>
            <family val="2"/>
          </rPr>
          <t xml:space="preserve">
Entry required if sales tax not to be automatically computed using sales tax rate entered in Tax Parameters below.</t>
        </r>
        <r>
          <rPr>
            <sz val="10"/>
            <color indexed="81"/>
            <rFont val="Tahoma"/>
            <family val="2"/>
          </rPr>
          <t xml:space="preserve">
</t>
        </r>
      </text>
    </comment>
    <comment ref="E61" authorId="0">
      <text>
        <r>
          <rPr>
            <sz val="8"/>
            <color indexed="81"/>
            <rFont val="Tahoma"/>
            <family val="2"/>
          </rPr>
          <t xml:space="preserve">
</t>
        </r>
        <r>
          <rPr>
            <b/>
            <sz val="8"/>
            <color indexed="81"/>
            <rFont val="Tahoma"/>
            <family val="2"/>
          </rPr>
          <t>Local share is set using Tax Parameters set below.</t>
        </r>
        <r>
          <rPr>
            <sz val="8"/>
            <color indexed="81"/>
            <rFont val="Tahoma"/>
            <family val="2"/>
          </rPr>
          <t xml:space="preserve">
</t>
        </r>
      </text>
    </comment>
    <comment ref="A62" authorId="0">
      <text>
        <r>
          <rPr>
            <sz val="8"/>
            <color indexed="81"/>
            <rFont val="Tahoma"/>
            <family val="2"/>
          </rPr>
          <t xml:space="preserve">
</t>
        </r>
        <r>
          <rPr>
            <b/>
            <sz val="8"/>
            <color indexed="81"/>
            <rFont val="Tahoma"/>
            <family val="2"/>
          </rPr>
          <t>Annual Operations and Maintenance Cost does not include costs associated with debt or equity payments, land easement, or taxes.</t>
        </r>
        <r>
          <rPr>
            <sz val="8"/>
            <color indexed="81"/>
            <rFont val="Tahoma"/>
            <family val="2"/>
          </rPr>
          <t xml:space="preserve">
</t>
        </r>
      </text>
    </comment>
    <comment ref="A67" authorId="0">
      <text>
        <r>
          <rPr>
            <b/>
            <sz val="8"/>
            <color indexed="81"/>
            <rFont val="Tahoma"/>
            <family val="2"/>
          </rPr>
          <t xml:space="preserve">
Percentage financed is the share of project construction and installation cost financed through a loan.
</t>
        </r>
      </text>
    </comment>
    <comment ref="A71" authorId="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Please note: if entering a tax rate, the percentage should not include the property tax exemption if applicable, this is entered separately below.
</t>
        </r>
      </text>
    </comment>
    <comment ref="A75" authorId="0">
      <text>
        <r>
          <rPr>
            <sz val="8"/>
            <color indexed="81"/>
            <rFont val="Tahoma"/>
            <family val="2"/>
          </rPr>
          <t xml:space="preserve">
</t>
        </r>
        <r>
          <rPr>
            <b/>
            <sz val="8"/>
            <color indexed="81"/>
            <rFont val="Tahoma"/>
            <family val="2"/>
          </rPr>
          <t xml:space="preserve">Property Tax Exemptions (rates) incorporated in the model are based on information compiled in the Database of State Incentives for Renewables and Efficiency (DSIRE) by the N.C. Solar Center and the Interstate Renewable Energy Council in Jan. 2011. 
Additional information on state and local property and sales tax policies and incentives (including exemptions) is available online at http://www.dsire.org.
</t>
        </r>
      </text>
    </comment>
    <comment ref="A77" authorId="2">
      <text>
        <r>
          <rPr>
            <b/>
            <sz val="10"/>
            <color indexed="81"/>
            <rFont val="Tahoma"/>
            <family val="2"/>
          </rPr>
          <t xml:space="preserve"> </t>
        </r>
        <r>
          <rPr>
            <b/>
            <sz val="8"/>
            <color indexed="81"/>
            <rFont val="Tahoma"/>
            <family val="2"/>
          </rPr>
          <t xml:space="preserve">
Sales Tax is only on materials, supplies and equipment purchases.
The default state sales tax rates incorporated in the model were derived from data published by the State Sales Tax Clearinghouse available online at http://thestc.com/STrates.stm in Jan. 2011.</t>
        </r>
      </text>
    </comment>
    <comment ref="A78" authorId="0">
      <text>
        <r>
          <rPr>
            <b/>
            <sz val="8"/>
            <color indexed="81"/>
            <rFont val="Tahoma"/>
            <family val="2"/>
          </rPr>
          <t xml:space="preserve">
Sales Tax Exemptions (rates) incorporated in the model were based on information compiled in the Database of State Incentives for Renewables and Efficiency (DSIRE) by the N.C. Solar Center and the Interstate Renewable Energy Council. 
Additional information on state and local property and sales tax policies and incentives (including exemptions) is available online at http://www.dsire.org.</t>
        </r>
        <r>
          <rPr>
            <sz val="8"/>
            <color indexed="81"/>
            <rFont val="Tahoma"/>
            <family val="2"/>
          </rPr>
          <t xml:space="preserve">
</t>
        </r>
      </text>
    </comment>
    <comment ref="A80" authorId="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0"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A82" authorId="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2"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Y82" authorId="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labor personnel costs and/or hourly labor rates and employer payroll costs will impact (increase or decrease) the total number of O&amp;M employees reported (calculated) in the results. </t>
        </r>
      </text>
    </comment>
  </commentList>
</comments>
</file>

<file path=xl/comments2.xml><?xml version="1.0" encoding="utf-8"?>
<comments xmlns="http://schemas.openxmlformats.org/spreadsheetml/2006/main">
  <authors>
    <author>Marshall Goldberg</author>
    <author xml:space="preserve"> </author>
  </authors>
  <commentList>
    <comment ref="B10" authorId="0">
      <text>
        <r>
          <rPr>
            <sz val="8"/>
            <color indexed="81"/>
            <rFont val="Tahoma"/>
            <family val="2"/>
          </rPr>
          <t xml:space="preserve">
</t>
        </r>
        <r>
          <rPr>
            <b/>
            <sz val="8"/>
            <color indexed="81"/>
            <rFont val="Tahoma"/>
            <family val="2"/>
          </rPr>
          <t>Total System Base Cost does not include sales tax if applicable.</t>
        </r>
        <r>
          <rPr>
            <sz val="8"/>
            <color indexed="81"/>
            <rFont val="Tahoma"/>
            <family val="2"/>
          </rPr>
          <t xml:space="preserve">
</t>
        </r>
      </text>
    </comment>
    <comment ref="B13" authorId="0">
      <text>
        <r>
          <rPr>
            <sz val="8"/>
            <color indexed="81"/>
            <rFont val="Tahoma"/>
            <family val="2"/>
          </rPr>
          <t xml:space="preserve">
</t>
        </r>
        <r>
          <rPr>
            <b/>
            <sz val="8"/>
            <color indexed="81"/>
            <rFont val="Tahoma"/>
            <family val="2"/>
          </rPr>
          <t>Project Construction Cost includes sales tax if applicable.</t>
        </r>
        <r>
          <rPr>
            <sz val="8"/>
            <color indexed="81"/>
            <rFont val="Tahoma"/>
            <family val="2"/>
          </rPr>
          <t xml:space="preserve">
</t>
        </r>
      </text>
    </comment>
    <comment ref="A27" authorId="0">
      <text>
        <r>
          <rPr>
            <b/>
            <sz val="8"/>
            <color indexed="81"/>
            <rFont val="Tahoma"/>
            <family val="2"/>
          </rPr>
          <t xml:space="preserve">
Project Development and Onsite Labor Impacts refers to the changes that occur in the onsite construction and installation industries and project development related industries to which the direct final demand (i.e., spending on construction and installation labor and services) change is made .</t>
        </r>
      </text>
    </comment>
    <comment ref="A29" authorId="1">
      <text>
        <r>
          <rPr>
            <b/>
            <sz val="8"/>
            <color indexed="81"/>
            <rFont val="Tahoma"/>
            <family val="2"/>
          </rPr>
          <t xml:space="preserve">
Construction and Installation Related Services includes engineering, design, and other professional services, as well as admin. and services (e.g., sales, marketing, accounting, etc.) related to project development.</t>
        </r>
        <r>
          <rPr>
            <sz val="8"/>
            <color indexed="81"/>
            <rFont val="Tahoma"/>
            <family val="2"/>
          </rPr>
          <t xml:space="preserve">
</t>
        </r>
      </text>
    </comment>
    <comment ref="A31" authorId="0">
      <text>
        <r>
          <rPr>
            <b/>
            <sz val="8"/>
            <color indexed="81"/>
            <rFont val="Tahoma"/>
            <family val="2"/>
          </rPr>
          <t xml:space="preserve">
Module and Supply Chain Impacts refers to the changes in inter-industry purchases resulting from the direct final demand (i.e., construction, installation, and development spending on materials and PV equipment and other purchases of goods and offsite services) changes.</t>
        </r>
      </text>
    </comment>
    <comment ref="A39" authorId="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45" authorId="1">
      <text>
        <r>
          <rPr>
            <b/>
            <sz val="8"/>
            <color indexed="81"/>
            <rFont val="Tahoma"/>
            <family val="2"/>
          </rPr>
          <t xml:space="preserve">
Onsite Labor Impacts refers to the final demand changes that occur in the onsite spending for PV workers (i.e., spending on field technicians, administration and management) .</t>
        </r>
        <r>
          <rPr>
            <sz val="8"/>
            <color indexed="81"/>
            <rFont val="Tahoma"/>
            <family val="2"/>
          </rPr>
          <t xml:space="preserve">
</t>
        </r>
      </text>
    </comment>
    <comment ref="A46" authorId="0">
      <text>
        <r>
          <rPr>
            <b/>
            <sz val="8"/>
            <color indexed="81"/>
            <rFont val="Tahoma"/>
            <family val="2"/>
          </rPr>
          <t xml:space="preserve">
PV Project Labor includes all spending on operations, maintenance, and other required services.</t>
        </r>
        <r>
          <rPr>
            <sz val="8"/>
            <color indexed="81"/>
            <rFont val="Tahoma"/>
            <family val="2"/>
          </rPr>
          <t xml:space="preserve">
</t>
        </r>
      </text>
    </comment>
    <comment ref="A47" authorId="1">
      <text>
        <r>
          <rPr>
            <b/>
            <sz val="8"/>
            <color indexed="81"/>
            <rFont val="Tahoma"/>
            <family val="2"/>
          </rPr>
          <t xml:space="preserve">
Local Revenue includes property and sales tax (if applicable) as well as any return on investment paid to local investors; Supply chain includes all purchases of materials and components, and all off-site labor for the PV project</t>
        </r>
        <r>
          <rPr>
            <sz val="8"/>
            <color indexed="81"/>
            <rFont val="Tahoma"/>
            <family val="2"/>
          </rPr>
          <t xml:space="preserve">
</t>
        </r>
      </text>
    </comment>
    <comment ref="A48" authorId="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Marshall Goldberg</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text>
        <r>
          <rPr>
            <b/>
            <sz val="8"/>
            <color indexed="81"/>
            <rFont val="Tahoma"/>
            <family val="2"/>
          </rPr>
          <t xml:space="preserve">
To use MyRegion multipliers and PCE (once they are imported) name of region and year of data (cell to the right) must be entered.</t>
        </r>
      </text>
    </comment>
    <comment ref="C9" authorId="1">
      <text>
        <r>
          <rPr>
            <b/>
            <sz val="8"/>
            <color indexed="81"/>
            <rFont val="Tahoma"/>
            <family val="2"/>
          </rPr>
          <t xml:space="preserve">
Personal Consumption Expenditures are entered as decimals (e.g., 10% is entered as .10) with the sum of all industries being 1.00)</t>
        </r>
        <r>
          <rPr>
            <sz val="8"/>
            <color indexed="81"/>
            <rFont val="Tahoma"/>
            <family val="2"/>
          </rPr>
          <t xml:space="preserve">
</t>
        </r>
      </text>
    </comment>
  </commentList>
</comments>
</file>

<file path=xl/comments4.xml><?xml version="1.0" encoding="utf-8"?>
<comments xmlns="http://schemas.openxmlformats.org/spreadsheetml/2006/main">
  <authors>
    <author>Marshall Goldberg</author>
  </authors>
  <commentList>
    <comment ref="J21"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sharedStrings.xml><?xml version="1.0" encoding="utf-8"?>
<sst xmlns="http://schemas.openxmlformats.org/spreadsheetml/2006/main" count="2370" uniqueCount="582">
  <si>
    <t>Project Data</t>
  </si>
  <si>
    <t xml:space="preserve">    Subtotal</t>
  </si>
  <si>
    <t xml:space="preserve">  Labor</t>
  </si>
  <si>
    <t xml:space="preserve">  Subtotal</t>
  </si>
  <si>
    <t>Total</t>
  </si>
  <si>
    <t>Local Share</t>
  </si>
  <si>
    <t>Other Costs</t>
  </si>
  <si>
    <t>ALABAMA</t>
  </si>
  <si>
    <t>ALASKA</t>
  </si>
  <si>
    <t xml:space="preserve">ARIZONA </t>
  </si>
  <si>
    <t>ARKANSAS</t>
  </si>
  <si>
    <t xml:space="preserve">CALIFORNIA </t>
  </si>
  <si>
    <t xml:space="preserve">COLORADO </t>
  </si>
  <si>
    <t>CONNECTICUT</t>
  </si>
  <si>
    <t>DELAWARE</t>
  </si>
  <si>
    <t>DISTRICT OF COLUMBIA</t>
  </si>
  <si>
    <t>FLORIDA</t>
  </si>
  <si>
    <t>GEORGIA</t>
  </si>
  <si>
    <t>HAWAII</t>
  </si>
  <si>
    <t>IDAHO</t>
  </si>
  <si>
    <t>ILLINOIS</t>
  </si>
  <si>
    <t>INDIANA</t>
  </si>
  <si>
    <t>KENTUCKY</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</si>
  <si>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</si>
  <si>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</si>
  <si>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</si>
  <si>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</si>
  <si>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</si>
  <si>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</si>
  <si>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</si>
  <si>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</si>
  <si>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</si>
  <si>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</si>
  <si>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</si>
  <si>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</si>
  <si>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</si>
  <si>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</si>
  <si>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</si>
  <si>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</si>
  <si>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</si>
  <si>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</si>
  <si>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</si>
  <si>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</si>
  <si>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</si>
  <si>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</si>
  <si>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</si>
  <si>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</si>
  <si>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</si>
  <si>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</si>
  <si>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</si>
  <si>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 xml:space="preserve">VIRGINIA </t>
  </si>
  <si>
    <t>WASHINGTON</t>
  </si>
  <si>
    <t>WEST VIRGINIA</t>
  </si>
  <si>
    <t>WISCONSIN</t>
  </si>
  <si>
    <t>WYOMING</t>
  </si>
  <si>
    <t>Jobs</t>
  </si>
  <si>
    <t>Construction</t>
  </si>
  <si>
    <t>Wholesale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</si>
  <si>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</si>
  <si>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</si>
  <si>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</si>
  <si>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</si>
  <si>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</si>
  <si>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</si>
  <si>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</si>
  <si>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</si>
  <si>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</si>
  <si>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</si>
  <si>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</si>
  <si>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</si>
  <si>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</si>
  <si>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</si>
  <si>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</si>
  <si>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</si>
  <si>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</si>
  <si>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</si>
  <si>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</si>
  <si>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</si>
  <si>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</si>
  <si>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</si>
  <si>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</si>
  <si>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</si>
  <si>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</si>
  <si>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</si>
  <si>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</si>
  <si>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</si>
  <si>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</si>
  <si>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</si>
  <si>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</si>
  <si>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</si>
  <si>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</si>
  <si>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</si>
  <si>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</si>
  <si>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</si>
  <si>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</si>
  <si>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</si>
  <si>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</si>
  <si>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</si>
  <si>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</si>
  <si>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</si>
  <si>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</si>
  <si>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</si>
  <si>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</si>
  <si>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</si>
  <si>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</si>
  <si>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</si>
  <si>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</si>
  <si>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</si>
  <si>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</si>
  <si>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</si>
  <si>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</si>
  <si>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</si>
  <si>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</si>
  <si>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</si>
  <si>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</si>
  <si>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</si>
  <si>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</si>
  <si>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</si>
  <si>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</si>
  <si>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Deflator</t>
  </si>
  <si>
    <t xml:space="preserve">Economic Impact Analysis for </t>
  </si>
  <si>
    <t>Direct</t>
  </si>
  <si>
    <t>Indirect</t>
  </si>
  <si>
    <t>Induced</t>
  </si>
  <si>
    <t>Mining</t>
  </si>
  <si>
    <t>Manufacturing</t>
  </si>
  <si>
    <t>Fabricated Metals</t>
  </si>
  <si>
    <t>Machinery</t>
  </si>
  <si>
    <t>TCPU</t>
  </si>
  <si>
    <t>PCE</t>
  </si>
  <si>
    <t xml:space="preserve">Project Construction Costs </t>
  </si>
  <si>
    <t>Local $ Spending</t>
  </si>
  <si>
    <t>Other Parameters</t>
  </si>
  <si>
    <t xml:space="preserve">     Total Impacts (Direct, Indirect, Induced)</t>
  </si>
  <si>
    <t>Materials and Services</t>
  </si>
  <si>
    <t>Plant Employees</t>
  </si>
  <si>
    <t>Default</t>
  </si>
  <si>
    <t xml:space="preserve">  Total</t>
  </si>
  <si>
    <t xml:space="preserve">  Local Spending</t>
  </si>
  <si>
    <t>Dollars</t>
  </si>
  <si>
    <t>Inflator to</t>
  </si>
  <si>
    <t>Property Taxes</t>
  </si>
  <si>
    <t xml:space="preserve">Inflate to </t>
  </si>
  <si>
    <t>Cost Per KW</t>
  </si>
  <si>
    <t>Project Cost</t>
  </si>
  <si>
    <t>Earnings Direct Multipliers</t>
  </si>
  <si>
    <t>Earnings</t>
  </si>
  <si>
    <t>Output</t>
  </si>
  <si>
    <t>Local Economic Impacts - Summary Results</t>
  </si>
  <si>
    <t>Tax Parameters</t>
  </si>
  <si>
    <t>With Plant Employees</t>
  </si>
  <si>
    <t xml:space="preserve">     Induced Impacts</t>
  </si>
  <si>
    <t xml:space="preserve">PCE </t>
  </si>
  <si>
    <t>Plant Emp</t>
  </si>
  <si>
    <t>Plant Employee Spending</t>
  </si>
  <si>
    <t>Without Plant Employees</t>
  </si>
  <si>
    <t>Plant Employees Only</t>
  </si>
  <si>
    <t xml:space="preserve"> Multipliers For Economic Input-Output Analysis</t>
  </si>
  <si>
    <t>Interest Pmt</t>
  </si>
  <si>
    <t>Principal Pmt</t>
  </si>
  <si>
    <t>Total Pmt</t>
  </si>
  <si>
    <t>Loan Repayment Schedule</t>
  </si>
  <si>
    <t>Percent</t>
  </si>
  <si>
    <t>of Cost</t>
  </si>
  <si>
    <t>Default Values - Based on Cost Per KW from Project Data sheet</t>
  </si>
  <si>
    <t>O&amp;M</t>
  </si>
  <si>
    <t>Debt - Loan Repayment Schedule</t>
  </si>
  <si>
    <t>Debt Financing</t>
  </si>
  <si>
    <t xml:space="preserve">  Average Annual Payment (Interest and Principal)</t>
  </si>
  <si>
    <t>Percent of</t>
  </si>
  <si>
    <t>Total Cost</t>
  </si>
  <si>
    <t>AvgAnn</t>
  </si>
  <si>
    <t>Debt Pmt - Local share Avg Ann Interest</t>
  </si>
  <si>
    <t>From DefaultData</t>
  </si>
  <si>
    <t>User Modified (from Project Data worksheet - based on loan parameters)</t>
  </si>
  <si>
    <t>Total (without debt, equity,taxes, lease pmts)</t>
  </si>
  <si>
    <t xml:space="preserve">Construction Costs </t>
  </si>
  <si>
    <t>Total cost per KW</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</si>
  <si>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</si>
  <si>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</si>
  <si>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</si>
  <si>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</si>
  <si>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</si>
  <si>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</si>
  <si>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</si>
  <si>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</si>
  <si>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</si>
  <si>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</si>
  <si>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</si>
  <si>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</si>
  <si>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Local Spending</t>
  </si>
  <si>
    <t xml:space="preserve">  Other Annual Costs</t>
  </si>
  <si>
    <t xml:space="preserve">      Property Taxes</t>
  </si>
  <si>
    <t xml:space="preserve">  Taxable Value</t>
  </si>
  <si>
    <t xml:space="preserve">  Taxable Value (percent of assessed value)</t>
  </si>
  <si>
    <t xml:space="preserve">  Assessed Value (percent of construction cost)</t>
  </si>
  <si>
    <t xml:space="preserve">  Direct Operating and Maintenance Costs</t>
  </si>
  <si>
    <t>Total Annual Operational Expenses</t>
  </si>
  <si>
    <t xml:space="preserve">Cost </t>
  </si>
  <si>
    <t>Per KW</t>
  </si>
  <si>
    <t>Construction Costs Local Demand</t>
  </si>
  <si>
    <t xml:space="preserve">  Annual Direct Operations and Maintenance Cost ($/kW)</t>
  </si>
  <si>
    <t>Inflator</t>
  </si>
  <si>
    <t>Margins</t>
  </si>
  <si>
    <t>Annual O&amp;M Costs Local Demand</t>
  </si>
  <si>
    <t>Annual Operations and Maintenance Costs Local Demand - margined</t>
  </si>
  <si>
    <t xml:space="preserve">  Money Value - Current or Constant (Dollar Year) </t>
  </si>
  <si>
    <t>MyRegion</t>
  </si>
  <si>
    <t>MyCounty</t>
  </si>
  <si>
    <t>Project Location</t>
  </si>
  <si>
    <t>MyCounty (name)</t>
  </si>
  <si>
    <t>MyRegion (includes)</t>
  </si>
  <si>
    <t xml:space="preserve">  During operating years (annual)</t>
  </si>
  <si>
    <t>Employee - (SSI, Med, Inc Tax)</t>
  </si>
  <si>
    <t xml:space="preserve">Earnings - Gross </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</si>
  <si>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</si>
  <si>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</si>
  <si>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</si>
  <si>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</si>
  <si>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</si>
  <si>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</si>
  <si>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</si>
  <si>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</si>
  <si>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</si>
  <si>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</si>
  <si>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</si>
  <si>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</si>
  <si>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Personal Consumption Expenditures (PCE)</t>
  </si>
  <si>
    <t>Adj Demand - Million</t>
  </si>
  <si>
    <t>Photovoltaic Project Data</t>
  </si>
  <si>
    <t>PV System Annual Operating and Maintenance Costs</t>
  </si>
  <si>
    <t>Detailed PV Project Data Costs</t>
  </si>
  <si>
    <t>KW</t>
  </si>
  <si>
    <t>Installation Costs</t>
  </si>
  <si>
    <t xml:space="preserve">    Modules</t>
  </si>
  <si>
    <t xml:space="preserve">    Electrical (wire, connectors, breakers, etc.)</t>
  </si>
  <si>
    <t xml:space="preserve">    Inverter</t>
  </si>
  <si>
    <t xml:space="preserve">  Materials &amp; Equipment</t>
  </si>
  <si>
    <t>Installation Costs Local Demand - margined</t>
  </si>
  <si>
    <t xml:space="preserve">    Mounting (rails, clamps, fittings, etc.)</t>
  </si>
  <si>
    <t>N</t>
  </si>
  <si>
    <t xml:space="preserve">    Installation</t>
  </si>
  <si>
    <t>System Type</t>
  </si>
  <si>
    <t>Number of Systems Installed</t>
  </si>
  <si>
    <t xml:space="preserve">  Number of Systems Installed</t>
  </si>
  <si>
    <t>Total KW Installed</t>
  </si>
  <si>
    <t xml:space="preserve">  Project Location</t>
  </si>
  <si>
    <t xml:space="preserve">  Services</t>
  </si>
  <si>
    <t xml:space="preserve">  Technicians</t>
  </si>
  <si>
    <t>Labor</t>
  </si>
  <si>
    <t xml:space="preserve">      Debt Payments </t>
  </si>
  <si>
    <t xml:space="preserve">  Permitting</t>
  </si>
  <si>
    <t>Manufactured</t>
  </si>
  <si>
    <t>Locally</t>
  </si>
  <si>
    <t>Purchased</t>
  </si>
  <si>
    <t>Y</t>
  </si>
  <si>
    <t>Locally (Y or N)</t>
  </si>
  <si>
    <t>Locally (%)</t>
  </si>
  <si>
    <t>Wholesale Share</t>
  </si>
  <si>
    <t>To Wholesale</t>
  </si>
  <si>
    <t>To Mfg.</t>
  </si>
  <si>
    <t>IOWA</t>
  </si>
  <si>
    <t>KANSAS</t>
  </si>
  <si>
    <t>LOUISIANA</t>
  </si>
  <si>
    <t>JEDI - PHOTOVOLTAICS</t>
  </si>
  <si>
    <t>Please read instructions before getting started</t>
  </si>
  <si>
    <t>NOTES:     Additional information is available by pointing to the red triangles located in cell corners. Only those cells with a white background can accept new values.</t>
  </si>
  <si>
    <t xml:space="preserve">INSTRUCTIONS:   </t>
  </si>
  <si>
    <t xml:space="preserve">  Population (only required for County/Region analysis)</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</si>
  <si>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</si>
  <si>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</si>
  <si>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</si>
  <si>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</si>
  <si>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</si>
  <si>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2007$</t>
  </si>
  <si>
    <t>2008$</t>
  </si>
  <si>
    <t>Mfg Share</t>
  </si>
  <si>
    <t>Annual</t>
  </si>
  <si>
    <t>3. Press 'Go To Summary Impacts' Button</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</si>
  <si>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</si>
  <si>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r>
      <t xml:space="preserve">2. Once </t>
    </r>
    <r>
      <rPr>
        <b/>
        <i/>
        <sz val="10"/>
        <rFont val="Arial"/>
        <family val="2"/>
      </rPr>
      <t>Descriptive Data</t>
    </r>
    <r>
      <rPr>
        <b/>
        <sz val="10"/>
        <rFont val="Arial"/>
        <family val="2"/>
      </rPr>
      <t xml:space="preserve"> is complete, you may choose to utilize the detailed model default values for </t>
    </r>
    <r>
      <rPr>
        <b/>
        <i/>
        <sz val="10"/>
        <rFont val="Arial"/>
        <family val="2"/>
      </rPr>
      <t>Project Cost</t>
    </r>
    <r>
      <rPr>
        <b/>
        <sz val="10"/>
        <rFont val="Arial"/>
        <family val="2"/>
      </rPr>
      <t xml:space="preserve"> (based on your </t>
    </r>
    <r>
      <rPr>
        <b/>
        <i/>
        <sz val="10"/>
        <rFont val="Arial"/>
        <family val="2"/>
      </rPr>
      <t>Descriptive</t>
    </r>
    <r>
      <rPr>
        <b/>
        <i/>
        <sz val="10"/>
        <color indexed="10"/>
        <rFont val="Arial"/>
        <family val="2"/>
      </rPr>
      <t xml:space="preserve"> </t>
    </r>
    <r>
      <rPr>
        <b/>
        <i/>
        <sz val="10"/>
        <rFont val="Arial"/>
        <family val="2"/>
      </rPr>
      <t>Data)</t>
    </r>
    <r>
      <rPr>
        <b/>
        <sz val="10"/>
        <rFont val="Arial"/>
        <family val="2"/>
      </rPr>
      <t xml:space="preserve"> by choosing "Y" on line 26 OR you may choose to use your own values entered (modified) under </t>
    </r>
    <r>
      <rPr>
        <b/>
        <i/>
        <sz val="10"/>
        <rFont val="Arial"/>
        <family val="2"/>
      </rPr>
      <t>Project Cost Data by choosing "</t>
    </r>
    <r>
      <rPr>
        <b/>
        <sz val="10"/>
        <rFont val="Arial"/>
        <family val="2"/>
      </rPr>
      <t xml:space="preserve">N" on line 26.  Choose "Y" to accept </t>
    </r>
    <r>
      <rPr>
        <b/>
        <i/>
        <sz val="10"/>
        <rFont val="Arial"/>
        <family val="2"/>
      </rPr>
      <t>Project Cost</t>
    </r>
    <r>
      <rPr>
        <b/>
        <sz val="10"/>
        <rFont val="Arial"/>
        <family val="2"/>
      </rPr>
      <t xml:space="preserve"> default values or "N" to over-ride </t>
    </r>
    <r>
      <rPr>
        <b/>
        <i/>
        <sz val="10"/>
        <rFont val="Arial"/>
        <family val="2"/>
      </rPr>
      <t>Project Cost</t>
    </r>
    <r>
      <rPr>
        <b/>
        <sz val="10"/>
        <rFont val="Arial"/>
        <family val="2"/>
      </rPr>
      <t xml:space="preserve"> default values and use your own inputs.</t>
    </r>
  </si>
  <si>
    <t>Project Cost Data</t>
  </si>
  <si>
    <t>Project Descriptive Data</t>
  </si>
  <si>
    <t xml:space="preserve">  System Type</t>
  </si>
  <si>
    <t>Residential New Construction</t>
  </si>
  <si>
    <t>Residential Retrofit</t>
  </si>
  <si>
    <t>Typically 100 KW - 2 MW</t>
  </si>
  <si>
    <t xml:space="preserve">  Other Costs</t>
  </si>
  <si>
    <t xml:space="preserve">  Business Overhead</t>
  </si>
  <si>
    <t xml:space="preserve">  Total Project Size - DC Nameplate Capacity (KW)</t>
  </si>
  <si>
    <t>Subtotal</t>
  </si>
  <si>
    <t>Sales Tax (Materials &amp; Equipment Purchases)</t>
  </si>
  <si>
    <t xml:space="preserve">  Local Sales Tax Rate</t>
  </si>
  <si>
    <t>Base system cost</t>
  </si>
  <si>
    <t xml:space="preserve">Operations and Maintenance </t>
  </si>
  <si>
    <t>O&amp;M Cost</t>
  </si>
  <si>
    <t>Payroll Parameters</t>
  </si>
  <si>
    <t xml:space="preserve"> Payroll Cost</t>
  </si>
  <si>
    <t>wage/hour</t>
  </si>
  <si>
    <t>Payroll expense</t>
  </si>
  <si>
    <t>User Revised</t>
  </si>
  <si>
    <t xml:space="preserve">  Construction Labor</t>
  </si>
  <si>
    <t xml:space="preserve">  O&amp;M Labor</t>
  </si>
  <si>
    <t>Govt</t>
  </si>
  <si>
    <t>Health/Ins/Misc</t>
  </si>
  <si>
    <t>Wage per hour</t>
  </si>
  <si>
    <t xml:space="preserve">  Construction workers / Installers</t>
  </si>
  <si>
    <t>Local</t>
  </si>
  <si>
    <t>Share (%)</t>
  </si>
  <si>
    <t>Sales Tax Rate (%)</t>
  </si>
  <si>
    <t>2009$</t>
  </si>
  <si>
    <t>2010$</t>
  </si>
  <si>
    <t>Employer Payroll Overhead</t>
  </si>
  <si>
    <t>Revised Data</t>
  </si>
  <si>
    <t>User</t>
  </si>
  <si>
    <t>Other Sectors (not Construction)</t>
  </si>
  <si>
    <t>Manufacturing Jobs</t>
  </si>
  <si>
    <t>Small Commercial</t>
  </si>
  <si>
    <t>Large Commercial</t>
  </si>
  <si>
    <t>Eng. &amp; Prof. Svcs.</t>
  </si>
  <si>
    <t>Eng., Prof., &amp; Misc. Svcs.</t>
  </si>
  <si>
    <t>Mfg W&amp;S Earnings</t>
  </si>
  <si>
    <t>Mfg Output</t>
  </si>
  <si>
    <t>Other benefits</t>
  </si>
  <si>
    <t>Earnings (minus taxes, benefits, etc)</t>
  </si>
  <si>
    <t xml:space="preserve">  Construction Workers / Installers</t>
  </si>
  <si>
    <t>add up due to independent rounding.</t>
  </si>
  <si>
    <t xml:space="preserve">operating period jobs are full-time equivalent for one year (1 FTE = 2,080 hours).  Economic impacts "During </t>
  </si>
  <si>
    <t xml:space="preserve">operating years" represent impacts that occur from system/plant operations/expenditures.  Totals may not  </t>
  </si>
  <si>
    <t xml:space="preserve">   Construction Workers / Installers</t>
  </si>
  <si>
    <t xml:space="preserve">   Technicians</t>
  </si>
  <si>
    <t>Average Annual Payment (Interest and Principal)</t>
  </si>
  <si>
    <t>Average System Size - DC Nameplate Capacity (KW)</t>
  </si>
  <si>
    <t>Project Size - DC Nameplate Capacity (KW)</t>
  </si>
  <si>
    <t>Annual Direct Operations and Maintenance Cost ($/kW)</t>
  </si>
  <si>
    <t xml:space="preserve">Money Value - Current or Constant (Dollar Year) </t>
  </si>
  <si>
    <t xml:space="preserve">   Induced Impacts</t>
  </si>
  <si>
    <t>During operating years</t>
  </si>
  <si>
    <t>Materials &amp; Equipment</t>
  </si>
  <si>
    <t xml:space="preserve">    Permitting</t>
  </si>
  <si>
    <t xml:space="preserve">    Other Costs</t>
  </si>
  <si>
    <t xml:space="preserve">    Business Overhead</t>
  </si>
  <si>
    <t xml:space="preserve">    Technicians</t>
  </si>
  <si>
    <t xml:space="preserve">    Materials &amp; Equipment</t>
  </si>
  <si>
    <t xml:space="preserve">    Services</t>
  </si>
  <si>
    <t xml:space="preserve">  Local Property Tax (percent of taxable value)</t>
  </si>
  <si>
    <r>
      <t>Total System Base Cost ($/KW</t>
    </r>
    <r>
      <rPr>
        <vertAlign val="subscript"/>
        <sz val="10"/>
        <rFont val="Arial"/>
        <family val="2"/>
      </rPr>
      <t>DC</t>
    </r>
    <r>
      <rPr>
        <sz val="10"/>
        <rFont val="Arial"/>
        <family val="2"/>
      </rPr>
      <t>)</t>
    </r>
  </si>
  <si>
    <t>Utility</t>
  </si>
  <si>
    <r>
      <t>Base Installed System Cost ($/KW</t>
    </r>
    <r>
      <rPr>
        <vertAlign val="subscript"/>
        <sz val="10"/>
        <rFont val="Arial"/>
        <family val="2"/>
      </rPr>
      <t>DC</t>
    </r>
    <r>
      <rPr>
        <sz val="10"/>
        <rFont val="Arial"/>
        <family val="2"/>
      </rPr>
      <t>)</t>
    </r>
  </si>
  <si>
    <t>Total Project Size - DC Nameplate Capacity (KW)</t>
  </si>
  <si>
    <t xml:space="preserve">Installation Costs </t>
  </si>
  <si>
    <t>0-10 kw</t>
  </si>
  <si>
    <t>10-100 kw</t>
  </si>
  <si>
    <t>System Size</t>
  </si>
  <si>
    <t>Offset</t>
  </si>
  <si>
    <t>Base Cost</t>
  </si>
  <si>
    <t>State Cost</t>
  </si>
  <si>
    <t>Sales Tax Rate</t>
  </si>
  <si>
    <t>PropertyTax Exemption-Res</t>
  </si>
  <si>
    <t>Comm</t>
  </si>
  <si>
    <t>Sales Tax Rate - Res</t>
  </si>
  <si>
    <t>Prop Tax Exemption</t>
  </si>
  <si>
    <t>Tax Rate</t>
  </si>
  <si>
    <t xml:space="preserve">  Property Tax Exemption (percent of local taxes)</t>
  </si>
  <si>
    <t xml:space="preserve">  Local Property Taxes</t>
  </si>
  <si>
    <r>
      <t xml:space="preserve">  Base Installed System Cost  ($/KW</t>
    </r>
    <r>
      <rPr>
        <vertAlign val="subscript"/>
        <sz val="10"/>
        <rFont val="Arial"/>
        <family val="2"/>
      </rPr>
      <t>DC</t>
    </r>
    <r>
      <rPr>
        <sz val="10"/>
        <rFont val="Arial"/>
        <family val="2"/>
      </rPr>
      <t>)</t>
    </r>
  </si>
  <si>
    <t>Property Tax Exemption (%)</t>
  </si>
  <si>
    <t xml:space="preserve">     Project Development and Onsite Labor Impacts</t>
  </si>
  <si>
    <t xml:space="preserve">       Construction and Installation Labor</t>
  </si>
  <si>
    <t xml:space="preserve">       Construction and Installation Related Services</t>
  </si>
  <si>
    <t xml:space="preserve">     Module and Supply Chain Impacts</t>
  </si>
  <si>
    <t>During construction and installation period</t>
  </si>
  <si>
    <t xml:space="preserve">   Onsite Labor Impacts</t>
  </si>
  <si>
    <t xml:space="preserve">   Local Revenue and Supply Chain Impacts</t>
  </si>
  <si>
    <t xml:space="preserve">     PV Project Labor Only</t>
  </si>
  <si>
    <t xml:space="preserve">  Construction and Installation Labor</t>
  </si>
  <si>
    <t>Year of Construction or Installation</t>
  </si>
  <si>
    <t xml:space="preserve">  Year of Construction or Installation</t>
  </si>
  <si>
    <t>Project Construction or Installation Cost</t>
  </si>
  <si>
    <t xml:space="preserve">  Total Impacts</t>
  </si>
  <si>
    <t xml:space="preserve">   Project Development and Onsite Labor Impacts</t>
  </si>
  <si>
    <t xml:space="preserve">     Construction and Installation Labor</t>
  </si>
  <si>
    <t xml:space="preserve">     Construction and Installation Related Services</t>
  </si>
  <si>
    <t xml:space="preserve">   Module and Supply Chain Impacts</t>
  </si>
  <si>
    <t>Simple Avg Cost</t>
  </si>
  <si>
    <t>Jobs and Economic Development Impact Model (JEDI)</t>
  </si>
  <si>
    <t>Thin Film</t>
  </si>
  <si>
    <t>Single Axis</t>
  </si>
  <si>
    <t>Ag, Forestry, Fish &amp; Hunting</t>
  </si>
  <si>
    <t>Construction/Installations - Non Residential</t>
  </si>
  <si>
    <t>Construction/Installation Residential</t>
  </si>
  <si>
    <t>Electrical Equip</t>
  </si>
  <si>
    <t>Battery Manufacturing</t>
  </si>
  <si>
    <t>Energy Wire Manufacturing</t>
  </si>
  <si>
    <t>Retail trade</t>
  </si>
  <si>
    <t>Insurance and Real Estate</t>
  </si>
  <si>
    <t>Finance</t>
  </si>
  <si>
    <t>Other Professional Services</t>
  </si>
  <si>
    <t>Office Services</t>
  </si>
  <si>
    <t>Architectural and Engineering Services</t>
  </si>
  <si>
    <t>Other services</t>
  </si>
  <si>
    <t>Semiconductor (solar cell/module) manufacturing</t>
  </si>
  <si>
    <t>Indus</t>
  </si>
  <si>
    <t>Sales and Property Tax Rates updated 2010</t>
  </si>
  <si>
    <t xml:space="preserve">  System Application</t>
  </si>
  <si>
    <t xml:space="preserve">  System Tracking</t>
  </si>
  <si>
    <t xml:space="preserve">  Solar Cell/Module Material</t>
  </si>
  <si>
    <t>revise local shares for county level analysis</t>
  </si>
  <si>
    <t>Fixed Mount</t>
  </si>
  <si>
    <t>RNCSSA</t>
  </si>
  <si>
    <t>RRCSSA</t>
  </si>
  <si>
    <t>RNTFSA</t>
  </si>
  <si>
    <t>Fixed</t>
  </si>
  <si>
    <t>RN</t>
  </si>
  <si>
    <t>RR</t>
  </si>
  <si>
    <t>SC</t>
  </si>
  <si>
    <t>LC</t>
  </si>
  <si>
    <t>TF</t>
  </si>
  <si>
    <t>CS</t>
  </si>
  <si>
    <t>Double Axis</t>
  </si>
  <si>
    <t>FM</t>
  </si>
  <si>
    <t>SA</t>
  </si>
  <si>
    <t>DA</t>
  </si>
  <si>
    <t>UT</t>
  </si>
  <si>
    <t>RNCSFM</t>
  </si>
  <si>
    <t>RNTFFM</t>
  </si>
  <si>
    <t>RRCSFM</t>
  </si>
  <si>
    <t>RRTFFM</t>
  </si>
  <si>
    <t>RRTFSA</t>
  </si>
  <si>
    <t>SCCSFM</t>
  </si>
  <si>
    <t>SCCSSA</t>
  </si>
  <si>
    <t>SCTFFM</t>
  </si>
  <si>
    <t>SCTFSA</t>
  </si>
  <si>
    <t>LCCSFM</t>
  </si>
  <si>
    <t>LCCSSA</t>
  </si>
  <si>
    <t>LCTFFM</t>
  </si>
  <si>
    <t>LCTFSA</t>
  </si>
  <si>
    <t>UTCSFM</t>
  </si>
  <si>
    <t>UTCSSA</t>
  </si>
  <si>
    <t>UTTFFM</t>
  </si>
  <si>
    <t>UTTFSA</t>
  </si>
  <si>
    <t xml:space="preserve">     Manufacturing Impacts</t>
  </si>
  <si>
    <t>System Application</t>
  </si>
  <si>
    <t>System Tracking</t>
  </si>
  <si>
    <t>Solar Cell/Module Material</t>
  </si>
  <si>
    <t>Sales Tax Exemption</t>
  </si>
  <si>
    <t>Sales Tax Exemption - Res</t>
  </si>
  <si>
    <t xml:space="preserve">  Sales Tax Exemption (percent of local taxes)</t>
  </si>
  <si>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t>
    </r>
    <r>
      <rPr>
        <b/>
        <i/>
        <sz val="9"/>
        <rFont val="Arial"/>
        <family val="2"/>
      </rPr>
      <t>Note: it is not necessary to restore defaults to incorporate default Project Cost Data in system analysis (simply enter a "Y" in cell B26 above).</t>
    </r>
    <r>
      <rPr>
        <b/>
        <sz val="10"/>
        <rFont val="Arial"/>
        <family val="2"/>
      </rPr>
      <t xml:space="preserve">  </t>
    </r>
  </si>
  <si>
    <t>Sales Tax Exemption (%)</t>
  </si>
  <si>
    <t>Crystalline Silicon</t>
  </si>
  <si>
    <t>REGION1</t>
  </si>
  <si>
    <t>REGION2</t>
  </si>
  <si>
    <t>REGION3</t>
  </si>
  <si>
    <t>REGION4</t>
  </si>
  <si>
    <t>REGION5</t>
  </si>
  <si>
    <t>REGION6</t>
  </si>
  <si>
    <t>REGION7</t>
  </si>
  <si>
    <t>REGION8</t>
  </si>
  <si>
    <t>New Jersy</t>
  </si>
  <si>
    <t>Tenessee</t>
  </si>
  <si>
    <t>Texan</t>
  </si>
  <si>
    <t>ProjectData worksheet, cells X753 and X754, revised formula.</t>
  </si>
  <si>
    <t>ProjectData worksheet, cell X757, revise formula.</t>
  </si>
  <si>
    <t>Revisions made in model since sending initial draft to Enoch.</t>
  </si>
  <si>
    <t>Calculations worksheet, cell H143: formula revised.</t>
  </si>
  <si>
    <t>ProjectData worksheet, cells Q797 to Y810, added section on Regions - states included in each region.  This is currently not referenced in model but probably will be used a some time for reference.</t>
  </si>
  <si>
    <t>ProjectData worksheet, cells O809-O816, added region names to state list (this is referenced in th Project location control box drop down list in cell B12.</t>
  </si>
  <si>
    <t>Multipliers worksheet, after column AR (Pennsylvania), add in 8 additional columns for region name and data.</t>
  </si>
  <si>
    <t>Household Exp worksheet, after column AQ (Pennsylvania) add in 8 columns for Region names and data.</t>
  </si>
  <si>
    <t>Calculation worksheet, cell L145, revised formula.</t>
  </si>
  <si>
    <t>ProjectData worksheet, cells P750 and T749, revised/corrected spelling of word "silicon."</t>
  </si>
  <si>
    <t>FAQ worksheet, cell A31, revised/corrected the spelling of the word "consumption."</t>
  </si>
  <si>
    <t>DefaultData worksheet, cells AM66-AM68 (California), revised values (property tax exemptions) to 100%.</t>
  </si>
  <si>
    <t>DefaultData cell D32 inserted formula</t>
  </si>
  <si>
    <t>SummaryResults moved formula in cell C1 to D2</t>
  </si>
  <si>
    <t>SummaryResults cell A1 inserted formula</t>
  </si>
  <si>
    <t>SummaryResults deleted formula in cell BC1</t>
  </si>
  <si>
    <t>SummaryResults inserted formula in cell BA1</t>
  </si>
  <si>
    <t>SummaryResults inserted formula in cell BG1</t>
  </si>
  <si>
    <t>SummaryResults inserted formulas in cells AD40, AD41, and AD42</t>
  </si>
  <si>
    <t>Revisions made in model since sending second draft to Enoch.</t>
  </si>
  <si>
    <t>ProjectData cell A12 revised comment.</t>
  </si>
  <si>
    <t>FAQ, revised the answer to question on line 30.</t>
  </si>
  <si>
    <t>FAQ, inserted a new question (line 59 - before final question) and 8 additional lines for answer (states in defined regions).</t>
  </si>
  <si>
    <t>User Add-in location worksheet inserted complete list of industry sectors (names) into each multiplier type (direct, indirect and induced or jobs, earnings, and output)</t>
  </si>
  <si>
    <t>User Add-in location worksheet cells C6 and C7, revised wording in formulas.</t>
  </si>
  <si>
    <t>Revisions made in model since sending third draft (4 25 11) to Enoch.</t>
  </si>
  <si>
    <t>ProjectData worksheet, revised formula in cell T48.</t>
  </si>
  <si>
    <t>ProjectData worksheet, revised macro for "Restore Default Values", no longer restores cell E48 with AB48 (this cut and paste function was deleted)</t>
  </si>
  <si>
    <t>Calculations worksheet, revised formulas in E152, E160, and G15</t>
  </si>
  <si>
    <t>2011$</t>
  </si>
  <si>
    <t>2012$</t>
  </si>
  <si>
    <t>2013$</t>
  </si>
  <si>
    <t>2014$</t>
  </si>
  <si>
    <t>2015$</t>
  </si>
  <si>
    <t>Source:  Deflators and Inflators derived from data contained in the Budget of the United States Government: Table 10.1 - Gross</t>
  </si>
  <si>
    <t>Domestic Product and Deflators Used in the Historical Tables 1940-2016.  http://www.gpoaccess.gov/usbudget/fy12/hist.html.</t>
  </si>
  <si>
    <t>Updated May 2012.  Deflators for 2016-2031 assume average annual inflation rate of 2.0 percent.</t>
  </si>
  <si>
    <t xml:space="preserve">Deflator worksheet, inserted (revised) new deflator data, text note below table and table below note (cells B11..AL43).  These updated and expanded deflators have the same format, although more years are added, with a new source and new data in the ref. table below source. </t>
  </si>
  <si>
    <t>Deflator worksheet, revised formulas in cells E7 and E8.</t>
  </si>
  <si>
    <t>ProjectData worksheet, revised text in A26…A28.</t>
  </si>
  <si>
    <r>
      <t xml:space="preserve">Utilize </t>
    </r>
    <r>
      <rPr>
        <b/>
        <i/>
        <sz val="10"/>
        <rFont val="Arial"/>
        <family val="2"/>
      </rPr>
      <t>Project Cost Data</t>
    </r>
    <r>
      <rPr>
        <b/>
        <sz val="10"/>
        <rFont val="Arial"/>
        <family val="2"/>
      </rPr>
      <t xml:space="preserve"> default values? Choose "Y" to accept model default values or "N" to view the default values and utilize new user defined values (entered below).</t>
    </r>
  </si>
  <si>
    <t>ProjectData worksheet, blued out cell E48 and locked cell (no longer accepts editting/revision). Also added comment to cell.</t>
  </si>
  <si>
    <t>ProjectData worksheet, added conditional formating related to cell B26 (Y or N - using default values in analysis). Default data/costs are greyed out if Y is chosen, available for viewing and editting if N is choosen.  To do this I saved the file in Excel 2007 version instead of the previous 2003.</t>
  </si>
  <si>
    <t xml:space="preserve">  Money Value (Dollar Year) </t>
  </si>
  <si>
    <t>Revisions made in model since sending fourth draft (Draft JEDI…..5 25 11) to Enoch.</t>
  </si>
  <si>
    <t>DefaultData worksheet, delete data in cells BE:2:BD8.</t>
  </si>
  <si>
    <t>DefaultData worksheet, delete data in cells BH:14:BW16.</t>
  </si>
  <si>
    <t>DefaultData worksheet, delete data in cells AH16:BG16</t>
  </si>
  <si>
    <t>DefaultData worksheet, delete data in cell AH33.</t>
  </si>
  <si>
    <t>DefaultData worksheet, delete data in cells AH11:AH13.</t>
  </si>
  <si>
    <t>DefaultData worksheet, insert new values in cells AE51:CI54.</t>
  </si>
  <si>
    <t>DefaultData worksheet, insert new values in cells AJ14:BF43</t>
  </si>
  <si>
    <t>ProjectData worksheet, insert comment in cell A24.</t>
  </si>
  <si>
    <t>ProjectData worksheet, insert and/or revise comments in cells A18, A22, A23, A31, E31, A71, A75, A77, A78..</t>
  </si>
  <si>
    <t>DefaultData worksheet, revise formulas in cells AI59, AI61, and AI62.</t>
  </si>
  <si>
    <t>ProjectData worksheet, insert new value in cell B24.</t>
  </si>
  <si>
    <t>Calculations worksheet, revise formula in cell E27.</t>
  </si>
  <si>
    <t>SummaryResults worksheet, format (center) cell C2.</t>
  </si>
  <si>
    <t>User Add-in Location worksheet, insert comment in cell C9.</t>
  </si>
  <si>
    <t>ProjectData worksheet, revise formulas in cells C26, B22, X753.</t>
  </si>
  <si>
    <t>SummaryResults worksheet, revise formula in cell AD42.</t>
  </si>
  <si>
    <t>SummaryResults worksheet, delete cells AD40 and AD41.</t>
  </si>
  <si>
    <t>FAQ worksheet, revise answer to security settings question, cells C14:C17.</t>
  </si>
  <si>
    <t>Revisions made in model since sending fifth draft (Draft JEDI…..6 28 11) to Enoch.</t>
  </si>
  <si>
    <t>DefaultData worksheet, insert new values in cells C52, C53, and C54.</t>
  </si>
  <si>
    <t>ProjectData worksheet, insert text in cells B82 and D82.</t>
  </si>
  <si>
    <t>FAQ worksheet, insert an additional question and answer in cells A70:A77.</t>
  </si>
  <si>
    <t>ProjectData worksheet, delete cell T37</t>
  </si>
  <si>
    <t>Calculations worksheet, insert new formulas in cells I7:I10.</t>
  </si>
  <si>
    <t>Calculations worksheet, insert new formulas (used to be values only) in cells H7:H10.</t>
  </si>
  <si>
    <t>ProjectData worksheet, format cells B71:B73 to 1 decimal place.</t>
  </si>
  <si>
    <t>Revisions made in model since sending sixth draft (Draft JEDI…..7 5 11) to Enoch.</t>
  </si>
  <si>
    <t>DefaultData worksheet, delete data in cells CR50:CV59.</t>
  </si>
  <si>
    <t>DefaultData worksheet, insert 8 columns after Pennsylvania (BW50) - move Rhode Island to Wyoming (names and data below down to row 76, then add location names (for Regions 1-8) and data into columns (BX50:CE76) in lookup area.</t>
  </si>
  <si>
    <t>DefaultData worksheet, insert new formulas in cells AI61, AI69, AI72, and AI77 (these reference the expanded lookup area).</t>
  </si>
  <si>
    <t>Revisions made in model since sending seventh draft (Draft JEDI…..7 7 11) to Enoch.</t>
  </si>
  <si>
    <t>Calculations worksheet, revise format in cell H27.</t>
  </si>
  <si>
    <t>Calculations worksheet, revise formula in cell E27 and replace value in E29 with formula.</t>
  </si>
  <si>
    <t>User Add-in Location worksheet, revise formula in E3 and E4.</t>
  </si>
  <si>
    <t>ProjectData worksheet, revise comment in A45.</t>
  </si>
  <si>
    <t xml:space="preserve">  O &amp; M Labor</t>
  </si>
  <si>
    <t>FAQ worksheet, insert an additional question and answer in cells A79:A83.</t>
  </si>
  <si>
    <t xml:space="preserve">       Trade (Wholesale and Retail)</t>
  </si>
  <si>
    <t xml:space="preserve">       Finance, Insurance and Real Estate</t>
  </si>
  <si>
    <t xml:space="preserve">       Professional Services</t>
  </si>
  <si>
    <t xml:space="preserve">       Other Services</t>
  </si>
  <si>
    <t xml:space="preserve">     Trade (Wholesale and Retail)</t>
  </si>
  <si>
    <t xml:space="preserve">     Finance, Insurance and Real Estate</t>
  </si>
  <si>
    <t xml:space="preserve">     Professional Services</t>
  </si>
  <si>
    <t xml:space="preserve">     Other Services</t>
  </si>
  <si>
    <t xml:space="preserve">     Other Sectors</t>
  </si>
  <si>
    <t xml:space="preserve">       Other Sectors</t>
  </si>
  <si>
    <t xml:space="preserve">     Subtotal</t>
  </si>
  <si>
    <t xml:space="preserve">       Subtotal</t>
  </si>
  <si>
    <t xml:space="preserve">       Manufacturing</t>
  </si>
  <si>
    <t>Calculations worksheet, insert additional sectors, revise formulas in whole section AG37:AJ57.</t>
  </si>
  <si>
    <t>SummaryResults worksheet, insert additional sectors, revise formulas in whole section A27:D40 and BA27:BD40.</t>
  </si>
  <si>
    <t>New Revisions</t>
  </si>
  <si>
    <t>Calculations worksheet, revise value in cell H71</t>
  </si>
  <si>
    <t>DefaultData worksheet, revise formula in cell AI73</t>
  </si>
  <si>
    <t>Typically 100 kW - 1 MW</t>
  </si>
  <si>
    <t>Typically less than 10 kW</t>
  </si>
  <si>
    <t>Typically 10 kW - 100 kW</t>
  </si>
  <si>
    <t>Typically 1 MW or larger</t>
  </si>
  <si>
    <t>DefaultData worksheet, revise values in cells AJ14:BF32</t>
  </si>
  <si>
    <t>DefaultData worksheet, revise values in cells AI51:CQ54</t>
  </si>
  <si>
    <t>DefaultData worksheet, delete text/values in cells CR50:CV59</t>
  </si>
  <si>
    <t>100-1000 kw</t>
  </si>
  <si>
    <t>1000+ kW</t>
  </si>
  <si>
    <t>DefaultData worksheet, revise formula in cell AI59</t>
  </si>
  <si>
    <t>DefaultData worksheet, revise text in cells AH53:AH54</t>
  </si>
  <si>
    <t xml:space="preserve">  Average System Size - DC Nameplate Capacity (kW)</t>
  </si>
  <si>
    <t xml:space="preserve">  Total Project Size - DC Nameplate Capacity (kW)</t>
  </si>
  <si>
    <r>
      <t xml:space="preserve">  Base Installed System Cost  ($/kW</t>
    </r>
    <r>
      <rPr>
        <b/>
        <vertAlign val="subscript"/>
        <sz val="10"/>
        <rFont val="Arial"/>
        <family val="2"/>
      </rPr>
      <t>DC</t>
    </r>
    <r>
      <rPr>
        <b/>
        <sz val="10"/>
        <rFont val="Arial"/>
        <family val="2"/>
      </rPr>
      <t>)</t>
    </r>
  </si>
  <si>
    <t>Per kW</t>
  </si>
  <si>
    <t>Calculations worksheet, revise values in cells AJ43 and AJ44</t>
  </si>
  <si>
    <t>ProjectData worksheet, add comment to cell A43</t>
  </si>
  <si>
    <t>Years</t>
  </si>
  <si>
    <t>ProjectData worksheet, added values (for years list) in cells N755-N776</t>
  </si>
  <si>
    <t>Release Number: PV10.17.11</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</si>
</sst>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quot;$&quot;#,##0"/>
    <numFmt numFmtId="166" formatCode="#,##0.0"/>
    <numFmt numFmtId="167" formatCode="&quot;$&quot;#,##0.0"/>
    <numFmt numFmtId="168" formatCode="0.000"/>
    <numFmt numFmtId="169" formatCode="&quot;$&quot;#,##0.00"/>
    <numFmt numFmtId="170" formatCode="&quot;$&quot;#,##0.000"/>
    <numFmt numFmtId="171" formatCode="0.0%"/>
    <numFmt numFmtId="172" formatCode="0.0000"/>
    <numFmt numFmtId="173" formatCode="&quot;$&quot;#,##0.0000"/>
    <numFmt numFmtId="174" formatCode="#,##0.000"/>
    <numFmt numFmtId="175" formatCode="_(&quot;$&quot;* #,##0_);_(&quot;$&quot;* \(#,##0\);_(&quot;$&quot;* &quot;-&quot;??_);_(@_)"/>
    <numFmt numFmtId="176" formatCode="_(* #,##0_);_(* \(#,##0\);_(* &quot;-&quot;??_);_(@_)"/>
    <numFmt numFmtId="177" formatCode="0.000%"/>
    <numFmt numFmtId="178" formatCode="#,##0.000000"/>
    <numFmt numFmtId="179" formatCode="0.0000%"/>
    <numFmt numFmtId="180" formatCode="0.000000"/>
    <numFmt numFmtId="181" formatCode="0.00000"/>
    <numFmt numFmtId="182" formatCode="_(* #,##0.00000_);_(* \(#,##0.00000\);_(* &quot;-&quot;??_);_(@_)"/>
    <numFmt numFmtId="183" formatCode="#,##0.0_);\(#,##0.0\)"/>
    <numFmt numFmtId="184" formatCode="#,##0.0000"/>
  </numFmts>
  <fonts count="50"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4"/>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b/>
      <i/>
      <sz val="10"/>
      <name val="Arial"/>
      <family val="2"/>
    </font>
    <font>
      <sz val="10"/>
      <color indexed="9"/>
      <name val="Arial"/>
      <family val="2"/>
    </font>
    <font>
      <b/>
      <sz val="10"/>
      <color indexed="81"/>
      <name val="Tahoma"/>
      <family val="2"/>
    </font>
    <font>
      <sz val="12"/>
      <name val="Times New Roman"/>
      <family val="1"/>
    </font>
    <font>
      <sz val="10"/>
      <color indexed="8"/>
      <name val="Arial"/>
      <family val="2"/>
    </font>
    <font>
      <b/>
      <i/>
      <sz val="12"/>
      <name val="Arial"/>
      <family val="2"/>
    </font>
    <font>
      <sz val="12"/>
      <name val="Arial"/>
      <family val="2"/>
    </font>
    <font>
      <b/>
      <i/>
      <sz val="10"/>
      <color indexed="10"/>
      <name val="Arial"/>
      <family val="2"/>
    </font>
    <font>
      <b/>
      <sz val="18"/>
      <color indexed="10"/>
      <name val="Arial"/>
      <family val="2"/>
    </font>
    <font>
      <b/>
      <sz val="12"/>
      <color indexed="10"/>
      <name val="Arial"/>
      <family val="2"/>
    </font>
    <font>
      <b/>
      <i/>
      <sz val="9"/>
      <name val="Arial"/>
      <family val="2"/>
    </font>
    <font>
      <sz val="11"/>
      <name val="Arial"/>
      <family val="2"/>
    </font>
    <font>
      <sz val="10"/>
      <color indexed="81"/>
      <name val="Tahoma"/>
      <family val="2"/>
    </font>
    <font>
      <b/>
      <u/>
      <sz val="12"/>
      <color indexed="8"/>
      <name val="Times New Roman"/>
      <family val="1"/>
    </font>
    <font>
      <b/>
      <vertAlign val="subscript"/>
      <sz val="10"/>
      <name val="Arial"/>
      <family val="2"/>
    </font>
    <font>
      <vertAlign val="subscript"/>
      <sz val="10"/>
      <name val="Arial"/>
      <family val="2"/>
    </font>
    <font>
      <sz val="8"/>
      <name val="Arial"/>
      <family val="2"/>
    </font>
    <font>
      <sz val="10"/>
      <name val="Arial"/>
      <family val="2"/>
    </font>
    <font>
      <sz val="11"/>
      <color indexed="8"/>
      <name val="Calibri"/>
      <family val="2"/>
    </font>
    <font>
      <sz val="12"/>
      <color indexed="8"/>
      <name val="Times New Roman"/>
      <family val="2"/>
    </font>
    <font>
      <sz val="10"/>
      <color indexed="8"/>
      <name val="Arial"/>
      <family val="2"/>
    </font>
    <font>
      <sz val="12"/>
      <color indexed="8"/>
      <name val="Arial"/>
      <family val="2"/>
    </font>
    <font>
      <sz val="12"/>
      <name val="Arial"/>
      <family val="2"/>
    </font>
    <font>
      <b/>
      <sz val="22"/>
      <color indexed="10"/>
      <name val="Arial"/>
      <family val="2"/>
    </font>
    <font>
      <b/>
      <i/>
      <sz val="8"/>
      <color indexed="81"/>
      <name val="Tahoma"/>
      <family val="2"/>
    </font>
    <font>
      <sz val="10"/>
      <color theme="1"/>
      <name val="Arial"/>
      <family val="2"/>
    </font>
  </fonts>
  <fills count="9">
    <fill>
      <patternFill patternType="none"/>
    </fill>
    <fill>
      <patternFill patternType="gray125"/>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theme="0"/>
        <bgColor indexed="64"/>
      </patternFill>
    </fill>
    <fill>
      <patternFill patternType="solid">
        <fgColor rgb="FF00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6">
    <xf numFmtId="180" fontId="0" fillId="0" borderId="0">
      <alignment horizontal="left" wrapText="1"/>
    </xf>
    <xf numFmtId="43" fontId="1" fillId="0" borderId="0" applyFont="0" applyFill="0" applyBorder="0" applyAlignment="0" applyProtection="0"/>
    <xf numFmtId="44" fontId="1" fillId="0" borderId="0" applyFont="0" applyFill="0" applyBorder="0" applyAlignment="0" applyProtection="0"/>
    <xf numFmtId="0" fontId="42" fillId="0" borderId="0"/>
    <xf numFmtId="0" fontId="42" fillId="0" borderId="0"/>
    <xf numFmtId="0" fontId="28" fillId="0" borderId="0"/>
    <xf numFmtId="0" fontId="43" fillId="0" borderId="0"/>
    <xf numFmtId="0" fontId="43" fillId="0" borderId="0"/>
    <xf numFmtId="0" fontId="1" fillId="0" borderId="0"/>
    <xf numFmtId="180" fontId="46" fillId="0" borderId="0">
      <alignment horizontal="left" wrapText="1"/>
    </xf>
    <xf numFmtId="167" fontId="4" fillId="0" borderId="0">
      <alignment horizontal="left" wrapText="1"/>
    </xf>
    <xf numFmtId="0" fontId="43" fillId="0" borderId="0"/>
    <xf numFmtId="0" fontId="43" fillId="0" borderId="0"/>
    <xf numFmtId="0" fontId="43" fillId="0" borderId="0"/>
    <xf numFmtId="180" fontId="1" fillId="0" borderId="0">
      <alignment horizontal="left" wrapText="1"/>
    </xf>
    <xf numFmtId="9" fontId="1" fillId="0" borderId="0" applyFont="0" applyFill="0" applyBorder="0" applyAlignment="0" applyProtection="0"/>
  </cellStyleXfs>
  <cellXfs count="513">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center" vertical="top" wrapText="1"/>
    </xf>
    <xf numFmtId="1" fontId="7" fillId="0" borderId="0" xfId="0" applyNumberFormat="1" applyFont="1" applyAlignment="1">
      <alignment horizontal="left" vertical="top" wrapText="1"/>
    </xf>
    <xf numFmtId="9" fontId="0" fillId="0" borderId="0" xfId="0" applyNumberFormat="1" applyAlignment="1"/>
    <xf numFmtId="165" fontId="0" fillId="0" borderId="0" xfId="0" applyNumberFormat="1" applyAlignment="1"/>
    <xf numFmtId="167"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68" fontId="0" fillId="0" borderId="0" xfId="0" applyNumberFormat="1" applyAlignment="1">
      <alignment horizontal="center"/>
    </xf>
    <xf numFmtId="1" fontId="2" fillId="0" borderId="0" xfId="0" quotePrefix="1" applyNumberFormat="1" applyFont="1" applyAlignment="1">
      <alignment horizontal="left"/>
    </xf>
    <xf numFmtId="170" fontId="0" fillId="0" borderId="0" xfId="0" applyNumberFormat="1" applyAlignment="1"/>
    <xf numFmtId="1" fontId="0" fillId="0" borderId="0" xfId="0" quotePrefix="1" applyNumberFormat="1" applyAlignment="1">
      <alignment horizontal="center"/>
    </xf>
    <xf numFmtId="169" fontId="0" fillId="0" borderId="0" xfId="0" applyNumberFormat="1" applyAlignment="1"/>
    <xf numFmtId="166" fontId="0" fillId="0" borderId="0" xfId="0" applyNumberFormat="1" applyAlignment="1"/>
    <xf numFmtId="164"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0" fontId="4" fillId="0" borderId="0" xfId="0" applyNumberFormat="1" applyFont="1" applyAlignment="1">
      <alignment horizontal="center"/>
    </xf>
    <xf numFmtId="1" fontId="7" fillId="0" borderId="0" xfId="0" quotePrefix="1" applyNumberFormat="1" applyFont="1" applyAlignment="1">
      <alignment horizontal="left" vertical="top" wrapText="1"/>
    </xf>
    <xf numFmtId="168" fontId="0" fillId="0" borderId="0" xfId="0" applyNumberFormat="1" applyAlignment="1"/>
    <xf numFmtId="1" fontId="0" fillId="2" borderId="0" xfId="0" applyNumberFormat="1" applyFill="1" applyAlignment="1"/>
    <xf numFmtId="1" fontId="6" fillId="2" borderId="0" xfId="0" quotePrefix="1" applyNumberFormat="1" applyFont="1" applyFill="1" applyAlignment="1">
      <alignment horizontal="left"/>
    </xf>
    <xf numFmtId="1" fontId="5" fillId="2" borderId="0" xfId="0" applyNumberFormat="1" applyFont="1" applyFill="1" applyAlignment="1"/>
    <xf numFmtId="1" fontId="2" fillId="2" borderId="0" xfId="0" applyNumberFormat="1" applyFont="1" applyFill="1" applyAlignment="1">
      <alignment horizontal="center"/>
    </xf>
    <xf numFmtId="166" fontId="0" fillId="2" borderId="0" xfId="0" applyNumberFormat="1" applyFill="1" applyAlignment="1">
      <alignment horizontal="center"/>
    </xf>
    <xf numFmtId="165" fontId="0" fillId="2" borderId="0" xfId="0" applyNumberFormat="1" applyFill="1" applyAlignment="1">
      <alignment horizontal="center"/>
    </xf>
    <xf numFmtId="1" fontId="4" fillId="2" borderId="0" xfId="0" applyNumberFormat="1" applyFont="1" applyFill="1" applyAlignment="1"/>
    <xf numFmtId="1" fontId="0" fillId="2" borderId="0" xfId="0" applyNumberFormat="1" applyFill="1" applyAlignment="1">
      <alignment horizontal="center"/>
    </xf>
    <xf numFmtId="165" fontId="0" fillId="2" borderId="0" xfId="0" applyNumberFormat="1" applyFill="1" applyAlignment="1"/>
    <xf numFmtId="9" fontId="0" fillId="2" borderId="0" xfId="0" applyNumberFormat="1" applyFill="1" applyAlignment="1"/>
    <xf numFmtId="1" fontId="0" fillId="2" borderId="0" xfId="0" quotePrefix="1" applyNumberFormat="1" applyFill="1" applyAlignment="1">
      <alignment horizontal="left"/>
    </xf>
    <xf numFmtId="3" fontId="0" fillId="2" borderId="0" xfId="0" applyNumberFormat="1" applyFill="1" applyAlignment="1">
      <alignment horizontal="center"/>
    </xf>
    <xf numFmtId="167" fontId="0" fillId="2" borderId="0" xfId="0" applyNumberFormat="1" applyFill="1" applyAlignment="1">
      <alignment horizontal="center"/>
    </xf>
    <xf numFmtId="170" fontId="0" fillId="2" borderId="0" xfId="0" applyNumberFormat="1" applyFill="1" applyAlignment="1">
      <alignment horizontal="center"/>
    </xf>
    <xf numFmtId="1" fontId="2" fillId="0" borderId="0" xfId="0" applyNumberFormat="1" applyFont="1" applyFill="1" applyAlignment="1" applyProtection="1">
      <alignment horizontal="center"/>
      <protection locked="0"/>
    </xf>
    <xf numFmtId="166"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1" fontId="12" fillId="2" borderId="0" xfId="0" quotePrefix="1" applyNumberFormat="1" applyFont="1" applyFill="1" applyAlignment="1">
      <alignment horizontal="left"/>
    </xf>
    <xf numFmtId="165" fontId="13" fillId="2" borderId="0" xfId="0" applyNumberFormat="1" applyFont="1" applyFill="1" applyAlignment="1">
      <alignment horizontal="center"/>
    </xf>
    <xf numFmtId="1" fontId="0" fillId="2" borderId="0" xfId="0" applyNumberFormat="1" applyFill="1" applyBorder="1" applyAlignment="1"/>
    <xf numFmtId="1" fontId="11" fillId="2" borderId="0" xfId="0" applyNumberFormat="1" applyFont="1" applyFill="1" applyAlignment="1">
      <alignment horizontal="center"/>
    </xf>
    <xf numFmtId="1" fontId="0" fillId="2" borderId="0" xfId="0" applyNumberFormat="1" applyFill="1" applyAlignment="1" applyProtection="1">
      <protection locked="0"/>
    </xf>
    <xf numFmtId="172" fontId="0" fillId="0" borderId="0" xfId="0" applyNumberFormat="1" applyAlignment="1"/>
    <xf numFmtId="1" fontId="2" fillId="2" borderId="0" xfId="0" applyNumberFormat="1" applyFont="1" applyFill="1" applyAlignment="1"/>
    <xf numFmtId="1" fontId="2" fillId="2" borderId="0" xfId="0" quotePrefix="1" applyNumberFormat="1" applyFont="1" applyFill="1" applyAlignment="1">
      <alignment horizontal="left"/>
    </xf>
    <xf numFmtId="1" fontId="6" fillId="2" borderId="0" xfId="0" quotePrefix="1" applyNumberFormat="1" applyFont="1" applyFill="1" applyAlignment="1" applyProtection="1">
      <alignment horizontal="left"/>
    </xf>
    <xf numFmtId="1" fontId="2" fillId="2" borderId="0" xfId="0" quotePrefix="1" applyNumberFormat="1" applyFont="1" applyFill="1" applyAlignment="1" applyProtection="1">
      <alignment horizontal="left"/>
    </xf>
    <xf numFmtId="1" fontId="6" fillId="2" borderId="0" xfId="0" applyNumberFormat="1" applyFont="1" applyFill="1" applyAlignment="1" applyProtection="1"/>
    <xf numFmtId="168" fontId="4" fillId="0" borderId="0" xfId="0" applyNumberFormat="1" applyFont="1" applyAlignment="1">
      <alignment horizontal="center"/>
    </xf>
    <xf numFmtId="173" fontId="0" fillId="0" borderId="0" xfId="0" applyNumberFormat="1" applyAlignment="1">
      <alignment horizontal="center"/>
    </xf>
    <xf numFmtId="165" fontId="0" fillId="0" borderId="0" xfId="0" applyNumberFormat="1" applyAlignment="1">
      <alignment horizontal="center"/>
    </xf>
    <xf numFmtId="169" fontId="0" fillId="2" borderId="0" xfId="0" applyNumberFormat="1" applyFill="1" applyAlignment="1">
      <alignment horizontal="center"/>
    </xf>
    <xf numFmtId="1" fontId="6" fillId="0" borderId="0" xfId="0" quotePrefix="1" applyNumberFormat="1" applyFont="1" applyAlignment="1" applyProtection="1">
      <alignment horizontal="left"/>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1" fontId="0" fillId="0" borderId="0" xfId="0" applyNumberFormat="1" applyAlignment="1">
      <alignment horizontal="center"/>
    </xf>
    <xf numFmtId="1" fontId="0" fillId="2" borderId="0" xfId="0" applyNumberFormat="1" applyFill="1" applyAlignment="1">
      <alignment horizontal="left"/>
    </xf>
    <xf numFmtId="164" fontId="4" fillId="0" borderId="0" xfId="0" applyNumberFormat="1" applyFont="1" applyAlignment="1">
      <alignment horizontal="center"/>
    </xf>
    <xf numFmtId="2" fontId="4" fillId="0" borderId="0" xfId="0" applyNumberFormat="1" applyFont="1" applyAlignment="1">
      <alignment horizontal="center"/>
    </xf>
    <xf numFmtId="170" fontId="0" fillId="0" borderId="0" xfId="0" applyNumberFormat="1" applyAlignment="1">
      <alignment horizontal="center"/>
    </xf>
    <xf numFmtId="4" fontId="0" fillId="2" borderId="0" xfId="0" applyNumberFormat="1" applyFill="1" applyAlignment="1">
      <alignment horizontal="center"/>
    </xf>
    <xf numFmtId="1" fontId="6" fillId="0" borderId="0" xfId="0" applyNumberFormat="1" applyFont="1" applyAlignment="1"/>
    <xf numFmtId="169" fontId="2" fillId="2" borderId="0" xfId="0" applyNumberFormat="1" applyFont="1" applyFill="1" applyAlignment="1">
      <alignment horizontal="center"/>
    </xf>
    <xf numFmtId="9" fontId="0" fillId="0" borderId="0" xfId="0" applyNumberFormat="1" applyAlignment="1">
      <alignment horizontal="right"/>
    </xf>
    <xf numFmtId="175" fontId="0" fillId="0" borderId="0" xfId="2" applyNumberFormat="1" applyFont="1" applyAlignment="1">
      <alignment horizontal="center"/>
    </xf>
    <xf numFmtId="175" fontId="0" fillId="0" borderId="0" xfId="2" applyNumberFormat="1" applyFont="1"/>
    <xf numFmtId="9" fontId="0" fillId="0" borderId="0" xfId="15" applyFont="1"/>
    <xf numFmtId="1" fontId="4" fillId="0" borderId="0" xfId="0" quotePrefix="1" applyNumberFormat="1" applyFont="1" applyAlignment="1">
      <alignment horizontal="left"/>
    </xf>
    <xf numFmtId="1" fontId="4" fillId="2" borderId="0" xfId="0" quotePrefix="1" applyNumberFormat="1" applyFont="1" applyFill="1" applyAlignment="1" applyProtection="1">
      <alignment horizontal="left"/>
    </xf>
    <xf numFmtId="10" fontId="0" fillId="0" borderId="0" xfId="15" applyNumberFormat="1" applyFont="1"/>
    <xf numFmtId="9" fontId="0" fillId="0" borderId="0" xfId="15" applyFont="1" applyAlignment="1">
      <alignment horizontal="center"/>
    </xf>
    <xf numFmtId="1" fontId="5" fillId="0" borderId="0" xfId="0" applyNumberFormat="1" applyFont="1" applyFill="1" applyAlignment="1"/>
    <xf numFmtId="1" fontId="4" fillId="2" borderId="0" xfId="0" applyNumberFormat="1" applyFont="1" applyFill="1" applyAlignment="1">
      <alignment horizontal="left"/>
    </xf>
    <xf numFmtId="1" fontId="7" fillId="0" borderId="0" xfId="0" applyNumberFormat="1" applyFont="1" applyAlignment="1" applyProtection="1">
      <alignment horizontal="left" vertical="top" wrapText="1"/>
      <protection locked="0" hidden="1"/>
    </xf>
    <xf numFmtId="7" fontId="0" fillId="0" borderId="0" xfId="2" applyNumberFormat="1" applyFont="1" applyAlignment="1">
      <alignment horizontal="center"/>
    </xf>
    <xf numFmtId="171" fontId="0" fillId="3" borderId="0" xfId="15" applyNumberFormat="1" applyFont="1" applyFill="1" applyAlignment="1">
      <alignment horizontal="center"/>
    </xf>
    <xf numFmtId="171" fontId="0" fillId="2" borderId="0" xfId="15" applyNumberFormat="1" applyFont="1" applyFill="1" applyAlignment="1">
      <alignment horizontal="center"/>
    </xf>
    <xf numFmtId="1" fontId="0" fillId="3" borderId="0" xfId="0" applyNumberFormat="1" applyFill="1" applyAlignment="1"/>
    <xf numFmtId="1" fontId="2" fillId="3" borderId="0" xfId="0" applyNumberFormat="1" applyFont="1" applyFill="1" applyAlignment="1">
      <alignment horizontal="center"/>
    </xf>
    <xf numFmtId="9" fontId="0" fillId="3" borderId="0" xfId="0" applyNumberFormat="1" applyFill="1" applyAlignment="1"/>
    <xf numFmtId="169" fontId="2" fillId="2" borderId="0" xfId="0" applyNumberFormat="1" applyFont="1" applyFill="1" applyAlignment="1"/>
    <xf numFmtId="9" fontId="4" fillId="2" borderId="0" xfId="15" applyFont="1" applyFill="1" applyAlignment="1">
      <alignment horizontal="center"/>
    </xf>
    <xf numFmtId="165" fontId="0" fillId="3" borderId="0" xfId="0" applyNumberFormat="1" applyFill="1" applyAlignment="1"/>
    <xf numFmtId="1" fontId="0" fillId="3" borderId="0" xfId="0" quotePrefix="1" applyNumberFormat="1" applyFill="1" applyAlignment="1">
      <alignment horizontal="left"/>
    </xf>
    <xf numFmtId="165" fontId="0" fillId="0" borderId="0" xfId="2" applyNumberFormat="1" applyFont="1"/>
    <xf numFmtId="177" fontId="0" fillId="0" borderId="0" xfId="15" applyNumberFormat="1" applyFont="1"/>
    <xf numFmtId="8" fontId="0" fillId="0" borderId="0" xfId="15" applyNumberFormat="1" applyFont="1"/>
    <xf numFmtId="0" fontId="2" fillId="0" borderId="0" xfId="0" applyNumberFormat="1" applyFont="1" applyAlignment="1">
      <alignment horizontal="center"/>
    </xf>
    <xf numFmtId="3" fontId="0" fillId="0" borderId="0" xfId="0" applyNumberFormat="1" applyAlignment="1">
      <alignment horizontal="center"/>
    </xf>
    <xf numFmtId="7" fontId="0" fillId="0" borderId="0" xfId="2" applyNumberFormat="1" applyFont="1"/>
    <xf numFmtId="1" fontId="4" fillId="0" borderId="0" xfId="0" quotePrefix="1" applyNumberFormat="1" applyFont="1" applyFill="1" applyAlignment="1">
      <alignment horizontal="left"/>
    </xf>
    <xf numFmtId="1" fontId="2" fillId="0" borderId="0" xfId="0" quotePrefix="1" applyNumberFormat="1" applyFont="1" applyAlignment="1"/>
    <xf numFmtId="1" fontId="14" fillId="0" borderId="0" xfId="0" quotePrefix="1" applyNumberFormat="1" applyFont="1" applyAlignment="1">
      <alignment horizontal="left" vertical="top" wrapText="1"/>
    </xf>
    <xf numFmtId="1" fontId="14" fillId="0" borderId="0" xfId="0" quotePrefix="1" applyNumberFormat="1" applyFont="1" applyAlignment="1">
      <alignment horizontal="center" vertical="top" wrapText="1"/>
    </xf>
    <xf numFmtId="1" fontId="14" fillId="0" borderId="0" xfId="0" quotePrefix="1" applyNumberFormat="1" applyFont="1" applyAlignment="1">
      <alignment horizontal="left"/>
    </xf>
    <xf numFmtId="169" fontId="0" fillId="0" borderId="0" xfId="0" applyNumberFormat="1" applyAlignment="1">
      <alignment horizontal="center"/>
    </xf>
    <xf numFmtId="1" fontId="15" fillId="2" borderId="0" xfId="0" quotePrefix="1" applyNumberFormat="1" applyFont="1" applyFill="1" applyAlignment="1">
      <alignment horizontal="left"/>
    </xf>
    <xf numFmtId="1" fontId="6" fillId="2" borderId="0" xfId="0" applyNumberFormat="1" applyFont="1" applyFill="1" applyAlignment="1"/>
    <xf numFmtId="165" fontId="0" fillId="3" borderId="0" xfId="0" applyNumberFormat="1" applyFill="1" applyAlignment="1">
      <alignment horizontal="center"/>
    </xf>
    <xf numFmtId="169" fontId="0" fillId="3" borderId="0" xfId="0" applyNumberFormat="1" applyFill="1" applyAlignment="1">
      <alignment horizontal="center"/>
    </xf>
    <xf numFmtId="1" fontId="2" fillId="3" borderId="0" xfId="0" quotePrefix="1" applyNumberFormat="1" applyFont="1" applyFill="1" applyAlignment="1">
      <alignment horizontal="left"/>
    </xf>
    <xf numFmtId="1" fontId="0" fillId="4" borderId="0" xfId="0" applyNumberFormat="1" applyFill="1" applyAlignment="1"/>
    <xf numFmtId="165" fontId="0" fillId="0" borderId="0" xfId="2" applyNumberFormat="1" applyFont="1" applyAlignment="1">
      <alignment horizontal="center"/>
    </xf>
    <xf numFmtId="1" fontId="0" fillId="0" borderId="0" xfId="0" quotePrefix="1" applyNumberFormat="1" applyFill="1" applyAlignment="1">
      <alignment horizontal="left"/>
    </xf>
    <xf numFmtId="43" fontId="0" fillId="0" borderId="0" xfId="1" applyFont="1" applyAlignment="1">
      <alignment horizontal="center"/>
    </xf>
    <xf numFmtId="5" fontId="0" fillId="0" borderId="0" xfId="1" applyNumberFormat="1" applyFont="1" applyAlignment="1">
      <alignment horizontal="center"/>
    </xf>
    <xf numFmtId="169" fontId="2" fillId="0" borderId="0" xfId="2" applyNumberFormat="1" applyFont="1" applyFill="1" applyBorder="1" applyAlignment="1" applyProtection="1">
      <alignment horizontal="center"/>
      <protection locked="0"/>
    </xf>
    <xf numFmtId="168" fontId="0" fillId="0" borderId="0" xfId="0" applyNumberFormat="1" applyAlignment="1" applyProtection="1">
      <protection locked="0"/>
    </xf>
    <xf numFmtId="1" fontId="6" fillId="3" borderId="0" xfId="0" applyNumberFormat="1" applyFont="1" applyFill="1" applyAlignment="1"/>
    <xf numFmtId="1" fontId="14" fillId="3" borderId="0" xfId="0" quotePrefix="1" applyNumberFormat="1" applyFont="1" applyFill="1" applyAlignment="1">
      <alignment horizontal="left"/>
    </xf>
    <xf numFmtId="1" fontId="7" fillId="3" borderId="0" xfId="0" applyNumberFormat="1" applyFont="1" applyFill="1" applyAlignment="1">
      <alignment horizontal="left" vertical="top" wrapText="1"/>
    </xf>
    <xf numFmtId="1" fontId="14" fillId="3" borderId="0" xfId="0" quotePrefix="1" applyNumberFormat="1" applyFont="1" applyFill="1" applyAlignment="1">
      <alignment horizontal="center" vertical="top" wrapText="1"/>
    </xf>
    <xf numFmtId="1" fontId="7" fillId="3" borderId="0" xfId="0" applyNumberFormat="1" applyFont="1" applyFill="1" applyAlignment="1">
      <alignment horizontal="center" vertical="top" wrapText="1"/>
    </xf>
    <xf numFmtId="1" fontId="14" fillId="3" borderId="0" xfId="0" quotePrefix="1" applyNumberFormat="1" applyFont="1" applyFill="1" applyAlignment="1">
      <alignment horizontal="left" vertical="top" wrapText="1"/>
    </xf>
    <xf numFmtId="1" fontId="2" fillId="3" borderId="0" xfId="0" quotePrefix="1" applyNumberFormat="1" applyFont="1" applyFill="1" applyAlignment="1"/>
    <xf numFmtId="1" fontId="0" fillId="0" borderId="0" xfId="0" applyNumberFormat="1" applyFill="1" applyAlignment="1"/>
    <xf numFmtId="1" fontId="0" fillId="3" borderId="0" xfId="0" applyNumberFormat="1" applyFill="1" applyAlignment="1">
      <alignment horizontal="right"/>
    </xf>
    <xf numFmtId="172" fontId="0" fillId="3" borderId="0" xfId="0" applyNumberFormat="1" applyFill="1" applyAlignment="1"/>
    <xf numFmtId="168" fontId="0" fillId="3" borderId="0" xfId="0" applyNumberFormat="1" applyFill="1" applyAlignment="1"/>
    <xf numFmtId="168" fontId="0" fillId="3" borderId="0" xfId="0" applyNumberFormat="1" applyFill="1" applyAlignment="1" applyProtection="1">
      <protection locked="0"/>
    </xf>
    <xf numFmtId="1" fontId="0" fillId="3" borderId="0" xfId="0" applyNumberFormat="1" applyFill="1" applyAlignment="1" applyProtection="1">
      <protection locked="0"/>
    </xf>
    <xf numFmtId="1" fontId="2" fillId="0" borderId="0" xfId="0" applyNumberFormat="1" applyFont="1" applyAlignment="1">
      <alignment horizontal="right"/>
    </xf>
    <xf numFmtId="1" fontId="0" fillId="3" borderId="0" xfId="0" applyNumberFormat="1" applyFill="1" applyAlignment="1" applyProtection="1"/>
    <xf numFmtId="1" fontId="0" fillId="3" borderId="0" xfId="0" applyNumberFormat="1" applyFill="1" applyAlignment="1" applyProtection="1">
      <alignment horizontal="right"/>
    </xf>
    <xf numFmtId="1" fontId="0" fillId="3" borderId="0" xfId="0" applyNumberFormat="1" applyFill="1" applyAlignment="1" applyProtection="1">
      <alignment horizontal="right"/>
      <protection locked="0"/>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7" fontId="0" fillId="0" borderId="0" xfId="1" applyNumberFormat="1" applyFont="1" applyFill="1" applyAlignment="1">
      <alignment horizontal="center"/>
    </xf>
    <xf numFmtId="165" fontId="0" fillId="0" borderId="0" xfId="0" applyNumberFormat="1" applyFill="1" applyAlignment="1">
      <alignment horizontal="center"/>
    </xf>
    <xf numFmtId="1" fontId="0" fillId="0" borderId="0" xfId="0" applyNumberFormat="1" applyFill="1" applyAlignment="1" applyProtection="1">
      <protection locked="0"/>
    </xf>
    <xf numFmtId="1" fontId="18" fillId="3" borderId="0" xfId="0" applyNumberFormat="1" applyFont="1" applyFill="1" applyAlignment="1"/>
    <xf numFmtId="168" fontId="4" fillId="0" borderId="0" xfId="0" applyNumberFormat="1" applyFont="1" applyAlignment="1"/>
    <xf numFmtId="1" fontId="18" fillId="0" borderId="0" xfId="0" applyNumberFormat="1" applyFont="1" applyAlignment="1"/>
    <xf numFmtId="9" fontId="2" fillId="2" borderId="0" xfId="15" applyFont="1" applyFill="1" applyAlignment="1">
      <alignment horizontal="center"/>
    </xf>
    <xf numFmtId="9" fontId="0" fillId="2" borderId="0" xfId="15" applyFont="1" applyFill="1" applyAlignment="1">
      <alignment horizontal="center"/>
    </xf>
    <xf numFmtId="165" fontId="4" fillId="2" borderId="0" xfId="15" applyNumberFormat="1" applyFont="1" applyFill="1" applyAlignment="1">
      <alignment horizontal="center"/>
    </xf>
    <xf numFmtId="165" fontId="2" fillId="2" borderId="0" xfId="0" applyNumberFormat="1" applyFont="1" applyFill="1" applyAlignment="1">
      <alignment horizontal="center"/>
    </xf>
    <xf numFmtId="1" fontId="4" fillId="0" borderId="0" xfId="0" quotePrefix="1" applyNumberFormat="1" applyFont="1" applyFill="1" applyAlignment="1">
      <alignment horizontal="right"/>
    </xf>
    <xf numFmtId="164" fontId="0" fillId="0" borderId="0" xfId="0" applyNumberFormat="1" applyAlignment="1">
      <alignment horizontal="center"/>
    </xf>
    <xf numFmtId="1" fontId="2" fillId="3" borderId="0" xfId="0" applyNumberFormat="1" applyFont="1" applyFill="1" applyAlignment="1"/>
    <xf numFmtId="1" fontId="16" fillId="3" borderId="0" xfId="0" applyNumberFormat="1" applyFont="1" applyFill="1" applyAlignment="1">
      <alignment horizontal="center"/>
    </xf>
    <xf numFmtId="1" fontId="11" fillId="2" borderId="0" xfId="0" applyNumberFormat="1" applyFont="1" applyFill="1" applyAlignment="1"/>
    <xf numFmtId="176" fontId="2" fillId="0" borderId="0" xfId="1" applyNumberFormat="1" applyFont="1" applyAlignment="1">
      <alignment horizontal="center"/>
    </xf>
    <xf numFmtId="1" fontId="2" fillId="0" borderId="0" xfId="0" applyNumberFormat="1" applyFont="1" applyAlignment="1" applyProtection="1">
      <alignment horizontal="left"/>
      <protection locked="0"/>
    </xf>
    <xf numFmtId="9" fontId="0" fillId="0" borderId="0" xfId="0" applyNumberFormat="1" applyFill="1" applyAlignment="1"/>
    <xf numFmtId="1" fontId="2" fillId="0" borderId="0" xfId="0" applyNumberFormat="1" applyFont="1" applyFill="1" applyAlignment="1">
      <alignment horizontal="center"/>
    </xf>
    <xf numFmtId="1" fontId="23" fillId="2" borderId="0" xfId="0" applyNumberFormat="1" applyFont="1" applyFill="1" applyAlignment="1">
      <alignment horizontal="center"/>
    </xf>
    <xf numFmtId="1" fontId="21" fillId="2" borderId="0" xfId="0" applyNumberFormat="1" applyFont="1" applyFill="1" applyAlignment="1">
      <alignment horizontal="center"/>
    </xf>
    <xf numFmtId="9" fontId="4" fillId="0" borderId="0" xfId="15" applyFont="1"/>
    <xf numFmtId="1" fontId="25" fillId="0" borderId="0" xfId="0" applyNumberFormat="1" applyFont="1" applyFill="1" applyAlignment="1" applyProtection="1"/>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1" fillId="0" borderId="0" xfId="0" applyNumberFormat="1" applyFont="1" applyFill="1" applyAlignment="1"/>
    <xf numFmtId="1" fontId="4" fillId="0" borderId="0" xfId="0" applyNumberFormat="1" applyFont="1" applyFill="1" applyAlignment="1"/>
    <xf numFmtId="1" fontId="0" fillId="0" borderId="0" xfId="0" applyNumberFormat="1" applyFill="1" applyBorder="1" applyAlignment="1"/>
    <xf numFmtId="3" fontId="2" fillId="0" borderId="0" xfId="0" applyNumberFormat="1" applyFont="1" applyFill="1" applyAlignment="1">
      <alignment horizontal="center"/>
    </xf>
    <xf numFmtId="169" fontId="2" fillId="0" borderId="0" xfId="0" applyNumberFormat="1" applyFont="1" applyFill="1" applyAlignment="1">
      <alignment horizontal="center"/>
    </xf>
    <xf numFmtId="1" fontId="0" fillId="0" borderId="0" xfId="0" applyNumberFormat="1" applyFill="1" applyAlignment="1">
      <alignment horizontal="left"/>
    </xf>
    <xf numFmtId="1" fontId="12" fillId="0" borderId="0" xfId="0" quotePrefix="1" applyNumberFormat="1" applyFont="1" applyFill="1" applyAlignment="1">
      <alignment horizontal="left"/>
    </xf>
    <xf numFmtId="1" fontId="6" fillId="0" borderId="0" xfId="0" applyNumberFormat="1" applyFont="1" applyFill="1" applyAlignment="1"/>
    <xf numFmtId="9" fontId="2" fillId="0" borderId="0" xfId="15" applyFont="1" applyFill="1" applyAlignment="1">
      <alignment horizontal="center"/>
    </xf>
    <xf numFmtId="9" fontId="4" fillId="0" borderId="0" xfId="15" applyFont="1" applyFill="1" applyAlignment="1">
      <alignment horizontal="center"/>
    </xf>
    <xf numFmtId="165" fontId="0" fillId="0" borderId="0" xfId="0" applyNumberFormat="1" applyFill="1" applyAlignment="1"/>
    <xf numFmtId="9" fontId="0" fillId="0" borderId="0" xfId="15" applyFont="1" applyFill="1" applyAlignment="1">
      <alignment horizontal="center"/>
    </xf>
    <xf numFmtId="1" fontId="0" fillId="0" borderId="0" xfId="15" applyNumberFormat="1" applyFont="1" applyFill="1" applyAlignment="1">
      <alignment horizontal="center"/>
    </xf>
    <xf numFmtId="1" fontId="0" fillId="0" borderId="0" xfId="0" applyNumberFormat="1" applyFill="1" applyAlignment="1">
      <alignment horizontal="center"/>
    </xf>
    <xf numFmtId="171" fontId="0" fillId="0" borderId="0" xfId="15" applyNumberFormat="1" applyFont="1" applyFill="1" applyAlignment="1">
      <alignment horizontal="center"/>
    </xf>
    <xf numFmtId="165" fontId="0" fillId="0" borderId="0" xfId="15" applyNumberFormat="1" applyFont="1" applyFill="1" applyAlignment="1">
      <alignment horizontal="center"/>
    </xf>
    <xf numFmtId="169" fontId="0" fillId="0" borderId="0" xfId="15" applyNumberFormat="1" applyFont="1" applyFill="1" applyAlignment="1">
      <alignment horizontal="center"/>
    </xf>
    <xf numFmtId="1" fontId="0" fillId="0" borderId="0" xfId="0" applyNumberFormat="1" applyBorder="1" applyAlignment="1"/>
    <xf numFmtId="1" fontId="22" fillId="2" borderId="0" xfId="0" applyNumberFormat="1" applyFont="1" applyFill="1" applyAlignment="1"/>
    <xf numFmtId="1" fontId="11" fillId="2" borderId="0" xfId="0" applyNumberFormat="1" applyFont="1" applyFill="1" applyBorder="1" applyAlignment="1">
      <alignment horizontal="left"/>
    </xf>
    <xf numFmtId="1" fontId="11" fillId="2" borderId="0" xfId="0" applyNumberFormat="1" applyFont="1" applyFill="1" applyBorder="1" applyAlignment="1"/>
    <xf numFmtId="1" fontId="1" fillId="2" borderId="0" xfId="0" applyNumberFormat="1" applyFont="1" applyFill="1" applyAlignment="1"/>
    <xf numFmtId="1" fontId="2" fillId="2" borderId="0" xfId="0" applyNumberFormat="1" applyFont="1" applyFill="1" applyAlignment="1">
      <alignment horizontal="left"/>
    </xf>
    <xf numFmtId="1" fontId="2" fillId="0" borderId="0" xfId="0" applyNumberFormat="1" applyFont="1" applyAlignment="1" applyProtection="1"/>
    <xf numFmtId="165" fontId="2" fillId="0" borderId="0" xfId="0" applyNumberFormat="1" applyFont="1" applyAlignment="1"/>
    <xf numFmtId="10" fontId="0" fillId="0" borderId="0" xfId="15" applyNumberFormat="1" applyFont="1" applyAlignment="1">
      <alignment horizontal="center"/>
    </xf>
    <xf numFmtId="1" fontId="0" fillId="2" borderId="0" xfId="0" quotePrefix="1" applyNumberFormat="1" applyFill="1" applyAlignment="1">
      <alignment horizontal="center"/>
    </xf>
    <xf numFmtId="0" fontId="0" fillId="2" borderId="0" xfId="2" applyNumberFormat="1" applyFont="1" applyFill="1" applyAlignment="1">
      <alignment horizontal="center"/>
    </xf>
    <xf numFmtId="5" fontId="0" fillId="2" borderId="0" xfId="2" quotePrefix="1" applyNumberFormat="1" applyFont="1" applyFill="1" applyAlignment="1">
      <alignment horizontal="center"/>
    </xf>
    <xf numFmtId="3" fontId="0" fillId="2" borderId="0" xfId="0" quotePrefix="1" applyNumberFormat="1" applyFill="1" applyAlignment="1">
      <alignment horizontal="center"/>
    </xf>
    <xf numFmtId="169" fontId="0" fillId="2" borderId="0" xfId="0" quotePrefix="1" applyNumberFormat="1" applyFill="1" applyAlignment="1">
      <alignment horizontal="center"/>
    </xf>
    <xf numFmtId="1" fontId="5" fillId="0" borderId="0" xfId="0" applyNumberFormat="1" applyFont="1" applyAlignment="1" applyProtection="1">
      <alignment horizontal="left"/>
    </xf>
    <xf numFmtId="3" fontId="2" fillId="0" borderId="0" xfId="1" applyNumberFormat="1" applyFont="1" applyAlignment="1">
      <alignment horizontal="center"/>
    </xf>
    <xf numFmtId="43" fontId="0" fillId="0" borderId="0" xfId="0" applyNumberFormat="1" applyAlignment="1"/>
    <xf numFmtId="1" fontId="0" fillId="0" borderId="0" xfId="0" applyNumberFormat="1" applyFill="1" applyAlignment="1" applyProtection="1">
      <protection hidden="1"/>
    </xf>
    <xf numFmtId="1" fontId="4" fillId="2" borderId="0" xfId="0" applyNumberFormat="1" applyFont="1" applyFill="1" applyAlignment="1">
      <alignment horizontal="center"/>
    </xf>
    <xf numFmtId="165" fontId="4" fillId="2" borderId="0" xfId="0" applyNumberFormat="1" applyFont="1" applyFill="1" applyAlignment="1">
      <alignment horizontal="center"/>
    </xf>
    <xf numFmtId="1" fontId="4" fillId="2" borderId="0" xfId="1" applyNumberFormat="1" applyFont="1" applyFill="1" applyAlignment="1">
      <alignment horizontal="center"/>
    </xf>
    <xf numFmtId="3" fontId="2" fillId="2" borderId="0" xfId="0" applyNumberFormat="1" applyFont="1" applyFill="1" applyBorder="1" applyAlignment="1" applyProtection="1">
      <alignment horizontal="center"/>
      <protection locked="0"/>
    </xf>
    <xf numFmtId="1" fontId="2" fillId="2" borderId="0" xfId="0" applyNumberFormat="1" applyFont="1" applyFill="1" applyAlignment="1" applyProtection="1">
      <protection hidden="1"/>
    </xf>
    <xf numFmtId="9" fontId="0" fillId="2" borderId="0" xfId="0" applyNumberFormat="1" applyFill="1" applyAlignment="1" applyProtection="1">
      <protection hidden="1"/>
    </xf>
    <xf numFmtId="1" fontId="0" fillId="2" borderId="0" xfId="0" applyNumberFormat="1" applyFill="1" applyAlignment="1" applyProtection="1">
      <alignment horizontal="center"/>
      <protection hidden="1"/>
    </xf>
    <xf numFmtId="176" fontId="0" fillId="0" borderId="0" xfId="1" applyNumberFormat="1" applyFont="1" applyAlignment="1">
      <alignment horizontal="center"/>
    </xf>
    <xf numFmtId="171" fontId="0" fillId="0" borderId="0" xfId="0" applyNumberFormat="1" applyAlignment="1"/>
    <xf numFmtId="165" fontId="2" fillId="0" borderId="0" xfId="0" applyNumberFormat="1" applyFont="1" applyAlignment="1">
      <alignment horizontal="center"/>
    </xf>
    <xf numFmtId="167" fontId="2" fillId="2" borderId="0" xfId="0" applyNumberFormat="1" applyFont="1" applyFill="1" applyAlignment="1">
      <alignment horizontal="center"/>
    </xf>
    <xf numFmtId="1" fontId="2" fillId="4" borderId="0" xfId="0" applyNumberFormat="1" applyFont="1" applyFill="1" applyAlignment="1">
      <alignment vertical="top" wrapText="1"/>
    </xf>
    <xf numFmtId="1" fontId="11" fillId="2" borderId="0" xfId="0" applyNumberFormat="1" applyFont="1" applyFill="1" applyAlignment="1">
      <alignment vertical="top"/>
    </xf>
    <xf numFmtId="165" fontId="0" fillId="2" borderId="0" xfId="0" applyNumberFormat="1" applyFill="1" applyAlignment="1" applyProtection="1">
      <alignment horizontal="center"/>
    </xf>
    <xf numFmtId="166" fontId="2" fillId="2" borderId="0" xfId="0" applyNumberFormat="1" applyFont="1" applyFill="1" applyAlignment="1">
      <alignment horizontal="center"/>
    </xf>
    <xf numFmtId="1" fontId="29" fillId="2" borderId="0" xfId="0" applyNumberFormat="1" applyFont="1" applyFill="1" applyAlignment="1">
      <alignment horizontal="left"/>
    </xf>
    <xf numFmtId="165" fontId="2" fillId="2" borderId="0" xfId="0" applyNumberFormat="1" applyFont="1" applyFill="1" applyAlignment="1">
      <alignment horizontal="left"/>
    </xf>
    <xf numFmtId="1" fontId="6" fillId="0" borderId="0" xfId="0" quotePrefix="1" applyNumberFormat="1" applyFont="1" applyFill="1" applyAlignment="1" applyProtection="1">
      <alignment horizontal="left"/>
    </xf>
    <xf numFmtId="1" fontId="2" fillId="0" borderId="0" xfId="0" quotePrefix="1" applyNumberFormat="1" applyFont="1" applyFill="1" applyAlignment="1" applyProtection="1">
      <alignment horizontal="left"/>
    </xf>
    <xf numFmtId="1" fontId="4" fillId="0" borderId="0" xfId="0" quotePrefix="1" applyNumberFormat="1" applyFont="1" applyFill="1" applyAlignment="1" applyProtection="1">
      <alignment horizontal="left"/>
    </xf>
    <xf numFmtId="1" fontId="6" fillId="0" borderId="0" xfId="0" applyNumberFormat="1" applyFont="1" applyFill="1" applyAlignment="1" applyProtection="1"/>
    <xf numFmtId="169" fontId="2" fillId="2" borderId="0" xfId="0" applyNumberFormat="1" applyFont="1" applyFill="1" applyAlignment="1">
      <alignment horizontal="left"/>
    </xf>
    <xf numFmtId="1" fontId="2" fillId="2" borderId="0" xfId="0" quotePrefix="1" applyNumberFormat="1" applyFont="1" applyFill="1" applyAlignment="1">
      <alignment horizontal="center"/>
    </xf>
    <xf numFmtId="1" fontId="4" fillId="0" borderId="0" xfId="0" applyNumberFormat="1" applyFont="1" applyFill="1" applyAlignment="1">
      <alignment horizontal="left"/>
    </xf>
    <xf numFmtId="167" fontId="0" fillId="0" borderId="0" xfId="0" applyNumberFormat="1" applyFill="1" applyAlignment="1">
      <alignment horizontal="center"/>
    </xf>
    <xf numFmtId="1" fontId="2" fillId="0" borderId="0" xfId="0" applyNumberFormat="1" applyFont="1" applyFill="1" applyAlignment="1">
      <alignment horizontal="left"/>
    </xf>
    <xf numFmtId="1" fontId="11" fillId="3" borderId="0" xfId="0" applyNumberFormat="1" applyFont="1" applyFill="1" applyAlignment="1"/>
    <xf numFmtId="1" fontId="2" fillId="2" borderId="0" xfId="0" applyNumberFormat="1" applyFont="1" applyFill="1" applyAlignment="1" applyProtection="1">
      <protection locked="0"/>
    </xf>
    <xf numFmtId="180" fontId="1" fillId="5" borderId="0" xfId="0" applyFont="1" applyFill="1">
      <alignment horizontal="left" wrapText="1"/>
    </xf>
    <xf numFmtId="180" fontId="32" fillId="5" borderId="0" xfId="0" applyFont="1" applyFill="1" applyAlignment="1">
      <alignment horizontal="center"/>
    </xf>
    <xf numFmtId="180" fontId="33" fillId="5" borderId="0" xfId="0" applyFont="1" applyFill="1" applyAlignment="1">
      <alignment horizontal="center"/>
    </xf>
    <xf numFmtId="180" fontId="30" fillId="5" borderId="0" xfId="0" applyFont="1" applyFill="1">
      <alignment horizontal="left" wrapText="1"/>
    </xf>
    <xf numFmtId="180" fontId="1" fillId="0" borderId="0" xfId="0" applyFont="1">
      <alignment horizontal="left" wrapText="1"/>
    </xf>
    <xf numFmtId="180" fontId="1" fillId="0" borderId="0" xfId="0" applyFont="1" applyFill="1">
      <alignment horizontal="left" wrapText="1"/>
    </xf>
    <xf numFmtId="180" fontId="32" fillId="0" borderId="0" xfId="0" applyFont="1" applyFill="1" applyAlignment="1">
      <alignment horizontal="center"/>
    </xf>
    <xf numFmtId="180" fontId="33" fillId="0" borderId="0" xfId="0" applyFont="1" applyFill="1" applyAlignment="1">
      <alignment horizontal="center"/>
    </xf>
    <xf numFmtId="180" fontId="30" fillId="0" borderId="0" xfId="0" applyFont="1" applyFill="1">
      <alignment horizontal="left" wrapText="1"/>
    </xf>
    <xf numFmtId="168" fontId="1" fillId="0" borderId="0" xfId="0" applyNumberFormat="1" applyFont="1">
      <alignment horizontal="left" wrapText="1"/>
    </xf>
    <xf numFmtId="172" fontId="1" fillId="0" borderId="0" xfId="0" applyNumberFormat="1" applyFont="1">
      <alignment horizontal="left" wrapText="1"/>
    </xf>
    <xf numFmtId="1" fontId="1" fillId="0" borderId="0" xfId="0" applyNumberFormat="1" applyFont="1">
      <alignment horizontal="left" wrapText="1"/>
    </xf>
    <xf numFmtId="180" fontId="1" fillId="0" borderId="0" xfId="0" applyFont="1" applyAlignment="1">
      <alignment horizontal="right" wrapText="1"/>
    </xf>
    <xf numFmtId="172" fontId="1" fillId="0" borderId="0" xfId="0" applyNumberFormat="1" applyFont="1" applyAlignment="1">
      <alignment horizontal="right" wrapText="1"/>
    </xf>
    <xf numFmtId="166" fontId="2" fillId="0" borderId="0" xfId="0" applyNumberFormat="1" applyFont="1" applyFill="1" applyAlignment="1">
      <alignment horizontal="center"/>
    </xf>
    <xf numFmtId="1" fontId="6" fillId="2" borderId="0" xfId="0" applyNumberFormat="1" applyFont="1" applyFill="1" applyAlignment="1" applyProtection="1">
      <alignment horizontal="left"/>
      <protection hidden="1"/>
    </xf>
    <xf numFmtId="1" fontId="11" fillId="2" borderId="0" xfId="0" applyNumberFormat="1" applyFont="1" applyFill="1" applyAlignment="1" applyProtection="1">
      <alignment horizontal="left"/>
      <protection hidden="1"/>
    </xf>
    <xf numFmtId="1" fontId="2" fillId="2" borderId="0" xfId="0" applyNumberFormat="1" applyFont="1" applyFill="1" applyAlignment="1" applyProtection="1">
      <alignment horizontal="center"/>
    </xf>
    <xf numFmtId="1" fontId="0" fillId="2" borderId="0" xfId="0" applyNumberFormat="1" applyFill="1" applyAlignment="1" applyProtection="1"/>
    <xf numFmtId="9" fontId="0" fillId="0" borderId="0" xfId="0" applyNumberFormat="1" applyFill="1" applyAlignment="1">
      <alignment horizontal="center"/>
    </xf>
    <xf numFmtId="3" fontId="0" fillId="0" borderId="0" xfId="0" applyNumberFormat="1" applyFill="1" applyAlignment="1">
      <alignment horizontal="center"/>
    </xf>
    <xf numFmtId="9" fontId="0" fillId="2" borderId="0" xfId="0" applyNumberFormat="1" applyFill="1" applyAlignment="1" applyProtection="1">
      <alignment horizontal="center"/>
    </xf>
    <xf numFmtId="9" fontId="0" fillId="2" borderId="0" xfId="0" applyNumberFormat="1" applyFill="1" applyAlignment="1" applyProtection="1"/>
    <xf numFmtId="165" fontId="0" fillId="0" borderId="0" xfId="0" applyNumberFormat="1" applyFill="1" applyAlignment="1" applyProtection="1">
      <alignment horizontal="center"/>
      <protection locked="0"/>
    </xf>
    <xf numFmtId="169" fontId="0" fillId="0" borderId="0" xfId="0" applyNumberFormat="1" applyFill="1" applyAlignment="1" applyProtection="1">
      <alignment horizontal="center"/>
      <protection locked="0"/>
    </xf>
    <xf numFmtId="9" fontId="0" fillId="0" borderId="0" xfId="15" applyFont="1" applyFill="1" applyAlignment="1" applyProtection="1">
      <alignment horizontal="center"/>
      <protection locked="0"/>
    </xf>
    <xf numFmtId="37" fontId="0" fillId="0" borderId="0" xfId="1" applyNumberFormat="1" applyFont="1" applyFill="1" applyAlignment="1" applyProtection="1">
      <alignment horizontal="center"/>
      <protection locked="0"/>
    </xf>
    <xf numFmtId="9" fontId="0" fillId="0" borderId="0" xfId="15" applyNumberFormat="1" applyFont="1" applyFill="1" applyAlignment="1" applyProtection="1">
      <alignment horizontal="center"/>
      <protection locked="0"/>
    </xf>
    <xf numFmtId="171" fontId="0" fillId="0" borderId="0" xfId="15" applyNumberFormat="1" applyFont="1" applyFill="1" applyAlignment="1" applyProtection="1">
      <alignment horizontal="center"/>
      <protection locked="0"/>
    </xf>
    <xf numFmtId="165" fontId="0" fillId="0" borderId="0" xfId="0" applyNumberFormat="1" applyFill="1" applyAlignment="1" applyProtection="1">
      <protection locked="0"/>
    </xf>
    <xf numFmtId="9" fontId="0" fillId="0" borderId="0" xfId="0" applyNumberFormat="1" applyFill="1" applyAlignment="1" applyProtection="1">
      <protection locked="0"/>
    </xf>
    <xf numFmtId="1" fontId="2" fillId="0" borderId="0" xfId="0" quotePrefix="1" applyNumberFormat="1" applyFont="1" applyFill="1" applyAlignment="1" applyProtection="1">
      <alignment horizontal="left"/>
      <protection locked="0"/>
    </xf>
    <xf numFmtId="169" fontId="2" fillId="0" borderId="0" xfId="0" applyNumberFormat="1" applyFont="1" applyFill="1" applyAlignment="1" applyProtection="1">
      <protection locked="0"/>
    </xf>
    <xf numFmtId="180" fontId="4" fillId="0" borderId="0" xfId="0" applyFont="1" applyProtection="1">
      <alignment horizontal="left" wrapText="1"/>
    </xf>
    <xf numFmtId="180" fontId="4" fillId="0" borderId="0" xfId="0" applyFont="1" applyFill="1">
      <alignment horizontal="left" wrapText="1"/>
    </xf>
    <xf numFmtId="180" fontId="5" fillId="0" borderId="0" xfId="0" applyFont="1" applyProtection="1">
      <alignment horizontal="left" wrapText="1"/>
    </xf>
    <xf numFmtId="181" fontId="0" fillId="0" borderId="0" xfId="0" applyNumberFormat="1" applyAlignment="1"/>
    <xf numFmtId="181" fontId="35" fillId="0" borderId="0" xfId="0" applyNumberFormat="1" applyFont="1" applyProtection="1">
      <alignment horizontal="left" wrapText="1"/>
    </xf>
    <xf numFmtId="182" fontId="1" fillId="0" borderId="0" xfId="1" applyNumberFormat="1" applyFill="1" applyAlignment="1">
      <alignment horizontal="left" wrapText="1"/>
    </xf>
    <xf numFmtId="182" fontId="1" fillId="0" borderId="0" xfId="1" applyNumberFormat="1" applyAlignment="1">
      <alignment horizontal="left" wrapText="1"/>
    </xf>
    <xf numFmtId="183" fontId="2" fillId="2" borderId="0" xfId="1" applyNumberFormat="1" applyFont="1" applyFill="1" applyAlignment="1">
      <alignment horizontal="center"/>
    </xf>
    <xf numFmtId="1" fontId="0" fillId="2" borderId="0" xfId="0" applyNumberFormat="1" applyFill="1" applyAlignment="1" applyProtection="1">
      <alignment horizontal="center"/>
    </xf>
    <xf numFmtId="180" fontId="1" fillId="2" borderId="0" xfId="0" applyFont="1" applyFill="1" applyAlignment="1">
      <alignment horizontal="left"/>
    </xf>
    <xf numFmtId="10" fontId="0" fillId="0" borderId="0" xfId="15" applyNumberFormat="1" applyFont="1" applyFill="1" applyAlignment="1" applyProtection="1">
      <alignment horizontal="center"/>
      <protection locked="0"/>
    </xf>
    <xf numFmtId="180" fontId="1" fillId="0" borderId="0" xfId="0" applyFont="1" applyAlignment="1">
      <alignment horizontal="left"/>
    </xf>
    <xf numFmtId="1" fontId="4" fillId="0" borderId="0" xfId="0" applyNumberFormat="1" applyFont="1" applyFill="1" applyProtection="1">
      <alignment horizontal="left" wrapText="1"/>
    </xf>
    <xf numFmtId="180" fontId="4" fillId="0" borderId="0" xfId="0" applyNumberFormat="1" applyFont="1" applyAlignment="1" applyProtection="1">
      <alignment horizontal="left" wrapText="1"/>
    </xf>
    <xf numFmtId="180" fontId="37" fillId="0" borderId="1" xfId="0" applyFont="1" applyBorder="1" applyAlignment="1">
      <alignment horizontal="left" wrapText="1"/>
    </xf>
    <xf numFmtId="180" fontId="5" fillId="0" borderId="0" xfId="0" applyFont="1" applyAlignment="1" applyProtection="1">
      <alignment horizontal="left"/>
    </xf>
    <xf numFmtId="180" fontId="4" fillId="0" borderId="0" xfId="0" quotePrefix="1" applyFont="1" applyAlignment="1" applyProtection="1">
      <alignment horizontal="left"/>
    </xf>
    <xf numFmtId="180" fontId="1" fillId="0" borderId="0" xfId="0" quotePrefix="1" applyFont="1" applyAlignment="1">
      <alignment horizontal="left"/>
    </xf>
    <xf numFmtId="165" fontId="4" fillId="0" borderId="0" xfId="0" applyNumberFormat="1" applyFont="1" applyAlignment="1" applyProtection="1">
      <alignment horizontal="left" wrapText="1"/>
    </xf>
    <xf numFmtId="169" fontId="0" fillId="0" borderId="0" xfId="0" applyNumberFormat="1" applyFill="1" applyAlignment="1">
      <alignment horizontal="center"/>
    </xf>
    <xf numFmtId="180" fontId="1" fillId="0" borderId="0" xfId="0" applyNumberFormat="1" applyFont="1" applyAlignment="1">
      <alignment horizontal="left" wrapText="1"/>
    </xf>
    <xf numFmtId="169" fontId="1" fillId="0" borderId="0" xfId="1" applyNumberFormat="1" applyAlignment="1">
      <alignment horizontal="center" wrapText="1"/>
    </xf>
    <xf numFmtId="3" fontId="2" fillId="2" borderId="0" xfId="0" applyNumberFormat="1" applyFont="1" applyFill="1" applyBorder="1" applyAlignment="1" applyProtection="1">
      <alignment horizontal="center"/>
      <protection locked="0" hidden="1"/>
    </xf>
    <xf numFmtId="180" fontId="2" fillId="0" borderId="0" xfId="0" applyFont="1" applyAlignment="1">
      <alignment horizontal="left"/>
    </xf>
    <xf numFmtId="180" fontId="2" fillId="0" borderId="0" xfId="0" applyFont="1" applyFill="1" applyAlignment="1">
      <alignment horizontal="left"/>
    </xf>
    <xf numFmtId="169" fontId="1" fillId="0" borderId="0" xfId="0" applyNumberFormat="1" applyFont="1">
      <alignment horizontal="left" wrapText="1"/>
    </xf>
    <xf numFmtId="8" fontId="1" fillId="0" borderId="0" xfId="0" applyNumberFormat="1" applyFont="1" applyBorder="1" applyAlignment="1">
      <alignment horizontal="center" wrapText="1"/>
    </xf>
    <xf numFmtId="9" fontId="1" fillId="0" borderId="0" xfId="0" applyNumberFormat="1" applyFont="1">
      <alignment horizontal="left" wrapText="1"/>
    </xf>
    <xf numFmtId="2" fontId="1" fillId="0" borderId="0" xfId="0" applyNumberFormat="1" applyFont="1">
      <alignment horizontal="left" wrapText="1"/>
    </xf>
    <xf numFmtId="180" fontId="4" fillId="0" borderId="0" xfId="0" applyFont="1" applyFill="1" applyProtection="1">
      <alignment horizontal="left" wrapText="1"/>
    </xf>
    <xf numFmtId="169" fontId="1" fillId="0" borderId="0" xfId="0" applyNumberFormat="1" applyFont="1" applyAlignment="1">
      <alignment horizontal="center" wrapText="1"/>
    </xf>
    <xf numFmtId="171" fontId="1" fillId="0" borderId="0" xfId="0" applyNumberFormat="1" applyFont="1">
      <alignment horizontal="left" wrapText="1"/>
    </xf>
    <xf numFmtId="180" fontId="2" fillId="2" borderId="0" xfId="0" applyFont="1" applyFill="1" applyAlignment="1">
      <alignment horizontal="left"/>
    </xf>
    <xf numFmtId="180" fontId="4" fillId="2" borderId="0" xfId="0" applyFont="1" applyFill="1" applyProtection="1">
      <alignment horizontal="left" wrapText="1"/>
    </xf>
    <xf numFmtId="3" fontId="2" fillId="2" borderId="0" xfId="0" applyNumberFormat="1" applyFont="1" applyFill="1" applyAlignment="1">
      <alignment horizontal="center"/>
    </xf>
    <xf numFmtId="165" fontId="1" fillId="0" borderId="0" xfId="0" applyNumberFormat="1" applyFont="1">
      <alignment horizontal="left" wrapText="1"/>
    </xf>
    <xf numFmtId="2" fontId="1" fillId="0" borderId="0" xfId="0" applyNumberFormat="1" applyFont="1" applyAlignment="1">
      <alignment horizontal="center" wrapText="1"/>
    </xf>
    <xf numFmtId="180" fontId="4" fillId="0" borderId="0" xfId="0" applyFont="1" applyAlignment="1" applyProtection="1">
      <alignment horizontal="left"/>
    </xf>
    <xf numFmtId="173" fontId="0" fillId="0" borderId="0" xfId="0" applyNumberFormat="1" applyAlignment="1"/>
    <xf numFmtId="167" fontId="2" fillId="2" borderId="0" xfId="0" quotePrefix="1" applyNumberFormat="1" applyFont="1" applyFill="1" applyAlignment="1">
      <alignment horizontal="center"/>
    </xf>
    <xf numFmtId="1" fontId="2" fillId="3" borderId="0" xfId="0" applyNumberFormat="1" applyFont="1" applyFill="1" applyAlignment="1">
      <alignment horizontal="left"/>
    </xf>
    <xf numFmtId="1" fontId="11" fillId="3" borderId="0" xfId="0" applyNumberFormat="1" applyFont="1" applyFill="1" applyAlignment="1">
      <alignment horizontal="left"/>
    </xf>
    <xf numFmtId="168" fontId="4" fillId="0" borderId="0" xfId="0" applyNumberFormat="1" applyFont="1" applyAlignment="1">
      <alignment horizontal="right" wrapText="1"/>
    </xf>
    <xf numFmtId="1" fontId="4" fillId="0" borderId="0" xfId="0" applyNumberFormat="1" applyFont="1" applyAlignment="1">
      <alignment horizontal="center" wrapText="1"/>
    </xf>
    <xf numFmtId="10" fontId="0" fillId="0" borderId="0" xfId="15" applyNumberFormat="1" applyFont="1" applyBorder="1"/>
    <xf numFmtId="171" fontId="28" fillId="0" borderId="0" xfId="15" applyNumberFormat="1" applyFont="1" applyFill="1" applyBorder="1" applyAlignment="1">
      <alignment horizontal="center" wrapText="1"/>
    </xf>
    <xf numFmtId="1" fontId="33" fillId="5" borderId="0" xfId="0" applyNumberFormat="1" applyFont="1" applyFill="1" applyAlignment="1">
      <alignment horizontal="center"/>
    </xf>
    <xf numFmtId="180" fontId="2" fillId="2" borderId="0" xfId="0" applyFont="1" applyFill="1" applyAlignment="1">
      <alignment horizontal="center"/>
    </xf>
    <xf numFmtId="171" fontId="0" fillId="0" borderId="0" xfId="15" applyNumberFormat="1" applyFont="1" applyAlignment="1">
      <alignment horizontal="left"/>
    </xf>
    <xf numFmtId="180" fontId="1" fillId="0" borderId="0" xfId="0" applyFont="1" applyAlignment="1">
      <alignment horizontal="left" wrapText="1"/>
    </xf>
    <xf numFmtId="180" fontId="1" fillId="0" borderId="0" xfId="0" applyFont="1" applyAlignment="1">
      <alignment horizontal="center" wrapText="1"/>
    </xf>
    <xf numFmtId="10" fontId="4" fillId="2" borderId="0" xfId="15" applyNumberFormat="1" applyFont="1" applyFill="1" applyAlignment="1">
      <alignment horizontal="center"/>
    </xf>
    <xf numFmtId="10" fontId="0" fillId="0" borderId="0" xfId="15" applyNumberFormat="1" applyFont="1" applyFill="1" applyAlignment="1">
      <alignment horizontal="center"/>
    </xf>
    <xf numFmtId="2" fontId="1" fillId="0" borderId="0" xfId="0" applyNumberFormat="1" applyFont="1" applyAlignment="1"/>
    <xf numFmtId="180" fontId="1" fillId="0" borderId="0" xfId="0" applyFont="1" applyAlignment="1"/>
    <xf numFmtId="164" fontId="1" fillId="0" borderId="0" xfId="0" applyNumberFormat="1" applyFont="1" applyAlignment="1">
      <alignment horizontal="right" wrapText="1"/>
    </xf>
    <xf numFmtId="10" fontId="2" fillId="0" borderId="0" xfId="15" applyNumberFormat="1" applyFont="1" applyFill="1" applyBorder="1"/>
    <xf numFmtId="10" fontId="0" fillId="0" borderId="0" xfId="15" applyNumberFormat="1" applyFont="1" applyFill="1" applyBorder="1"/>
    <xf numFmtId="171" fontId="0" fillId="0" borderId="0" xfId="15" applyNumberFormat="1" applyFont="1" applyFill="1" applyBorder="1" applyAlignment="1">
      <alignment horizontal="center"/>
    </xf>
    <xf numFmtId="171" fontId="28" fillId="0" borderId="0" xfId="15" applyNumberFormat="1" applyFont="1" applyFill="1" applyBorder="1" applyAlignment="1">
      <alignment horizontal="right" wrapText="1"/>
    </xf>
    <xf numFmtId="165" fontId="28" fillId="0" borderId="0" xfId="0" applyNumberFormat="1" applyFont="1" applyFill="1" applyBorder="1" applyAlignment="1">
      <alignment horizontal="right" wrapText="1"/>
    </xf>
    <xf numFmtId="179" fontId="28" fillId="0" borderId="0" xfId="15" applyNumberFormat="1" applyFont="1" applyFill="1" applyBorder="1" applyAlignment="1">
      <alignment horizontal="center" wrapText="1"/>
    </xf>
    <xf numFmtId="170" fontId="1" fillId="0" borderId="0" xfId="0" applyNumberFormat="1" applyFont="1" applyAlignment="1"/>
    <xf numFmtId="167" fontId="1" fillId="0" borderId="0" xfId="0" applyNumberFormat="1" applyFont="1" applyAlignment="1"/>
    <xf numFmtId="180" fontId="30" fillId="0" borderId="0" xfId="0" quotePrefix="1" applyFont="1" applyFill="1" applyAlignment="1"/>
    <xf numFmtId="180" fontId="2" fillId="0" borderId="0" xfId="0" applyFont="1" applyFill="1" applyAlignment="1"/>
    <xf numFmtId="180" fontId="4" fillId="0" borderId="0" xfId="0" applyFont="1" applyFill="1" applyAlignment="1"/>
    <xf numFmtId="180" fontId="4" fillId="0" borderId="0" xfId="0" quotePrefix="1" applyFont="1" applyFill="1" applyAlignment="1"/>
    <xf numFmtId="180" fontId="1" fillId="0" borderId="0" xfId="0" applyFont="1" applyFill="1" applyAlignment="1"/>
    <xf numFmtId="167" fontId="1" fillId="0" borderId="0" xfId="0" applyNumberFormat="1" applyFont="1" applyFill="1" applyAlignment="1"/>
    <xf numFmtId="167" fontId="4" fillId="0" borderId="0" xfId="0" applyNumberFormat="1" applyFont="1" applyFill="1" applyAlignment="1"/>
    <xf numFmtId="166" fontId="1" fillId="0" borderId="0" xfId="0" applyNumberFormat="1" applyFont="1" applyFill="1" applyAlignment="1"/>
    <xf numFmtId="166" fontId="1" fillId="0" borderId="0" xfId="0" applyNumberFormat="1" applyFont="1" applyAlignment="1"/>
    <xf numFmtId="166" fontId="4" fillId="0" borderId="0" xfId="0" applyNumberFormat="1" applyFont="1" applyFill="1" applyAlignment="1"/>
    <xf numFmtId="164" fontId="1" fillId="0" borderId="0" xfId="0" applyNumberFormat="1" applyFont="1" applyFill="1" applyAlignment="1"/>
    <xf numFmtId="164" fontId="4" fillId="0" borderId="0" xfId="0" applyNumberFormat="1" applyFont="1" applyFill="1" applyAlignment="1"/>
    <xf numFmtId="165" fontId="1" fillId="0" borderId="0" xfId="0" applyNumberFormat="1" applyFont="1" applyAlignment="1">
      <alignment horizontal="right" wrapText="1"/>
    </xf>
    <xf numFmtId="1" fontId="4" fillId="0" borderId="0" xfId="0" applyNumberFormat="1" applyFont="1" applyFill="1" applyAlignment="1">
      <alignment horizontal="center"/>
    </xf>
    <xf numFmtId="165" fontId="4" fillId="0" borderId="0" xfId="0" applyNumberFormat="1" applyFont="1" applyFill="1" applyAlignment="1">
      <alignment horizontal="center"/>
    </xf>
    <xf numFmtId="169" fontId="4" fillId="0" borderId="0" xfId="0" applyNumberFormat="1" applyFont="1" applyFill="1" applyAlignment="1">
      <alignment horizontal="center"/>
    </xf>
    <xf numFmtId="166" fontId="4" fillId="0" borderId="0" xfId="0" applyNumberFormat="1" applyFont="1" applyFill="1" applyAlignment="1">
      <alignment horizontal="center"/>
    </xf>
    <xf numFmtId="180" fontId="12" fillId="0" borderId="0" xfId="0" quotePrefix="1" applyFont="1" applyFill="1" applyAlignment="1">
      <alignment horizontal="left"/>
    </xf>
    <xf numFmtId="180" fontId="12" fillId="0" borderId="0" xfId="0" applyFont="1" applyFill="1" applyAlignment="1">
      <alignment horizontal="left"/>
    </xf>
    <xf numFmtId="1" fontId="40" fillId="0" borderId="0" xfId="0" applyNumberFormat="1" applyFont="1" applyAlignment="1"/>
    <xf numFmtId="1" fontId="40" fillId="2" borderId="0" xfId="0" applyNumberFormat="1" applyFont="1" applyFill="1" applyAlignment="1"/>
    <xf numFmtId="180" fontId="4" fillId="2" borderId="0" xfId="0" applyFont="1" applyFill="1" applyAlignment="1">
      <alignment horizontal="left"/>
    </xf>
    <xf numFmtId="169" fontId="4" fillId="2" borderId="0" xfId="15" applyNumberFormat="1" applyFont="1" applyFill="1" applyAlignment="1">
      <alignment horizontal="center"/>
    </xf>
    <xf numFmtId="171" fontId="4" fillId="2" borderId="0" xfId="15" applyNumberFormat="1" applyFont="1" applyFill="1" applyAlignment="1">
      <alignment horizontal="right"/>
    </xf>
    <xf numFmtId="180" fontId="4" fillId="0" borderId="0" xfId="0" applyFont="1" applyFill="1" applyAlignment="1">
      <alignment horizontal="left"/>
    </xf>
    <xf numFmtId="3" fontId="2" fillId="0" borderId="0" xfId="0" applyNumberFormat="1" applyFont="1" applyFill="1" applyAlignment="1">
      <alignment horizontal="left"/>
    </xf>
    <xf numFmtId="171" fontId="4" fillId="0" borderId="0" xfId="15" applyNumberFormat="1" applyFont="1" applyFill="1" applyAlignment="1">
      <alignment horizontal="center"/>
    </xf>
    <xf numFmtId="1" fontId="2" fillId="0" borderId="0" xfId="0" quotePrefix="1" applyNumberFormat="1" applyFont="1" applyAlignment="1" applyProtection="1">
      <alignment horizontal="left"/>
    </xf>
    <xf numFmtId="165" fontId="0" fillId="0" borderId="0" xfId="0" applyNumberFormat="1" applyFill="1" applyAlignment="1">
      <alignment horizontal="right"/>
    </xf>
    <xf numFmtId="165" fontId="0" fillId="2" borderId="0" xfId="0" applyNumberFormat="1" applyFill="1" applyBorder="1" applyAlignment="1"/>
    <xf numFmtId="165" fontId="2" fillId="0" borderId="0" xfId="0" applyNumberFormat="1" applyFont="1" applyFill="1" applyAlignment="1">
      <alignment horizontal="right"/>
    </xf>
    <xf numFmtId="1" fontId="2" fillId="0" borderId="0" xfId="0" applyNumberFormat="1" applyFont="1" applyFill="1" applyAlignment="1">
      <alignment horizontal="right"/>
    </xf>
    <xf numFmtId="3" fontId="2" fillId="0" borderId="0" xfId="0" applyNumberFormat="1" applyFont="1" applyFill="1" applyBorder="1" applyAlignment="1" applyProtection="1">
      <alignment horizontal="center"/>
      <protection locked="0"/>
    </xf>
    <xf numFmtId="165" fontId="2" fillId="0" borderId="0" xfId="0" applyNumberFormat="1" applyFont="1" applyFill="1" applyAlignment="1">
      <alignment horizontal="left"/>
    </xf>
    <xf numFmtId="169" fontId="2" fillId="0" borderId="0" xfId="0" applyNumberFormat="1" applyFont="1" applyFill="1" applyAlignment="1">
      <alignment horizontal="left"/>
    </xf>
    <xf numFmtId="165" fontId="2" fillId="0" borderId="0" xfId="0" applyNumberFormat="1" applyFont="1" applyFill="1" applyAlignment="1"/>
    <xf numFmtId="165" fontId="2" fillId="0" borderId="0" xfId="0" applyNumberFormat="1" applyFont="1" applyFill="1" applyAlignment="1">
      <alignment horizontal="center"/>
    </xf>
    <xf numFmtId="1" fontId="0" fillId="0" borderId="0" xfId="0" applyNumberFormat="1" applyFill="1" applyAlignment="1">
      <alignment vertical="top" wrapText="1"/>
    </xf>
    <xf numFmtId="9" fontId="2" fillId="0" borderId="0" xfId="0" applyNumberFormat="1" applyFont="1" applyFill="1" applyAlignment="1">
      <alignment horizontal="center"/>
    </xf>
    <xf numFmtId="1" fontId="7" fillId="0" borderId="0" xfId="0" applyNumberFormat="1" applyFont="1" applyFill="1" applyAlignment="1" applyProtection="1">
      <alignment horizontal="center" wrapText="1"/>
      <protection locked="0"/>
    </xf>
    <xf numFmtId="1" fontId="41" fillId="0" borderId="0" xfId="0" applyNumberFormat="1" applyFont="1" applyFill="1" applyAlignment="1"/>
    <xf numFmtId="1" fontId="18" fillId="0" borderId="0" xfId="0" applyNumberFormat="1" applyFont="1" applyFill="1" applyAlignment="1"/>
    <xf numFmtId="1" fontId="4" fillId="0" borderId="0" xfId="0" applyNumberFormat="1" applyFont="1" applyFill="1" applyAlignment="1" applyProtection="1">
      <protection hidden="1"/>
    </xf>
    <xf numFmtId="1" fontId="41" fillId="0" borderId="0" xfId="0" applyNumberFormat="1" applyFont="1" applyFill="1" applyAlignment="1" applyProtection="1">
      <protection locked="0"/>
    </xf>
    <xf numFmtId="5" fontId="7" fillId="0" borderId="0" xfId="2" applyNumberFormat="1" applyFont="1" applyFill="1" applyAlignment="1" applyProtection="1">
      <alignment horizontal="center" wrapText="1"/>
      <protection locked="0"/>
    </xf>
    <xf numFmtId="169" fontId="7" fillId="0" borderId="0" xfId="0" applyNumberFormat="1" applyFont="1" applyFill="1" applyAlignment="1" applyProtection="1">
      <alignment horizontal="center" wrapText="1"/>
      <protection locked="0"/>
    </xf>
    <xf numFmtId="165" fontId="41" fillId="0" borderId="0" xfId="0" applyNumberFormat="1" applyFont="1" applyFill="1" applyAlignment="1"/>
    <xf numFmtId="1" fontId="30" fillId="0" borderId="0" xfId="0" applyNumberFormat="1" applyFont="1" applyFill="1" applyAlignment="1">
      <alignment vertical="top" wrapText="1"/>
    </xf>
    <xf numFmtId="167" fontId="2" fillId="0" borderId="0" xfId="0" applyNumberFormat="1" applyFont="1" applyFill="1" applyAlignment="1">
      <alignment horizontal="center"/>
    </xf>
    <xf numFmtId="1" fontId="41" fillId="0" borderId="0" xfId="0" applyNumberFormat="1" applyFont="1" applyFill="1" applyAlignment="1">
      <alignment vertical="top" wrapText="1"/>
    </xf>
    <xf numFmtId="165" fontId="4" fillId="0" borderId="0" xfId="0" applyNumberFormat="1" applyFont="1" applyFill="1" applyAlignment="1"/>
    <xf numFmtId="9" fontId="4" fillId="0" borderId="0" xfId="0" applyNumberFormat="1" applyFont="1" applyFill="1" applyAlignment="1">
      <alignment horizontal="center"/>
    </xf>
    <xf numFmtId="9" fontId="4" fillId="0" borderId="0" xfId="15" applyFont="1" applyFill="1"/>
    <xf numFmtId="1" fontId="41" fillId="0" borderId="0" xfId="0" applyNumberFormat="1" applyFont="1" applyAlignment="1"/>
    <xf numFmtId="169" fontId="4" fillId="0" borderId="0" xfId="0" applyNumberFormat="1" applyFont="1" applyFill="1" applyAlignment="1"/>
    <xf numFmtId="180" fontId="1" fillId="2" borderId="0" xfId="0" applyFont="1" applyFill="1">
      <alignment horizontal="left" wrapText="1"/>
    </xf>
    <xf numFmtId="180" fontId="1" fillId="2" borderId="0" xfId="0" quotePrefix="1" applyFont="1" applyFill="1" applyAlignment="1">
      <alignment horizontal="left"/>
    </xf>
    <xf numFmtId="180" fontId="1" fillId="0" borderId="0" xfId="0" quotePrefix="1" applyFont="1" applyFill="1" applyAlignment="1">
      <alignment horizontal="left"/>
    </xf>
    <xf numFmtId="180" fontId="1" fillId="0" borderId="0" xfId="0" applyFont="1" applyFill="1" applyAlignment="1">
      <alignment horizontal="left"/>
    </xf>
    <xf numFmtId="167" fontId="4" fillId="0" borderId="0" xfId="0" applyNumberFormat="1" applyFont="1" applyFill="1" applyAlignment="1">
      <alignment horizontal="center"/>
    </xf>
    <xf numFmtId="1" fontId="1" fillId="0" borderId="0" xfId="0" applyNumberFormat="1" applyFont="1" applyAlignment="1">
      <alignment horizontal="right" wrapText="1"/>
    </xf>
    <xf numFmtId="180" fontId="1" fillId="0" borderId="0" xfId="0" applyNumberFormat="1" applyFont="1" applyAlignment="1">
      <alignment horizontal="left"/>
    </xf>
    <xf numFmtId="1" fontId="7" fillId="0" borderId="0" xfId="0" applyNumberFormat="1" applyFont="1" applyFill="1" applyAlignment="1" applyProtection="1">
      <alignment horizontal="left"/>
      <protection locked="0"/>
    </xf>
    <xf numFmtId="172" fontId="1" fillId="0" borderId="0" xfId="0" applyNumberFormat="1" applyFont="1" applyAlignment="1">
      <alignment horizontal="right"/>
    </xf>
    <xf numFmtId="178" fontId="44" fillId="0" borderId="0" xfId="7" applyNumberFormat="1" applyFont="1" applyFill="1" applyBorder="1" applyAlignment="1" applyProtection="1"/>
    <xf numFmtId="175" fontId="0" fillId="0" borderId="0" xfId="2" applyNumberFormat="1" applyFont="1" applyBorder="1"/>
    <xf numFmtId="0" fontId="45" fillId="6" borderId="0" xfId="7" applyFont="1" applyFill="1" applyBorder="1" applyAlignment="1">
      <alignment horizontal="left" wrapText="1"/>
    </xf>
    <xf numFmtId="172" fontId="43" fillId="0" borderId="0" xfId="7" applyNumberFormat="1"/>
    <xf numFmtId="178" fontId="44" fillId="0" borderId="0" xfId="6" applyNumberFormat="1" applyFont="1" applyFill="1" applyBorder="1" applyAlignment="1" applyProtection="1"/>
    <xf numFmtId="178" fontId="44" fillId="0" borderId="0" xfId="12" applyNumberFormat="1" applyFont="1" applyFill="1" applyBorder="1" applyAlignment="1" applyProtection="1"/>
    <xf numFmtId="178" fontId="44" fillId="0" borderId="0" xfId="11" applyNumberFormat="1" applyFont="1" applyFill="1" applyBorder="1" applyAlignment="1" applyProtection="1"/>
    <xf numFmtId="171" fontId="0" fillId="0" borderId="0" xfId="15" applyNumberFormat="1" applyFont="1" applyAlignment="1"/>
    <xf numFmtId="174" fontId="44" fillId="0" borderId="0" xfId="0" applyNumberFormat="1" applyFont="1" applyFill="1" applyBorder="1" applyAlignment="1" applyProtection="1"/>
    <xf numFmtId="1" fontId="1" fillId="0" borderId="0" xfId="0" applyNumberFormat="1" applyFont="1" applyFill="1" applyAlignment="1">
      <alignment horizontal="right" wrapText="1"/>
    </xf>
    <xf numFmtId="174" fontId="28" fillId="0" borderId="0" xfId="0" applyNumberFormat="1" applyFont="1" applyFill="1" applyBorder="1" applyAlignment="1" applyProtection="1"/>
    <xf numFmtId="174" fontId="1" fillId="0" borderId="0" xfId="0" applyNumberFormat="1" applyFont="1">
      <alignment horizontal="left" wrapText="1"/>
    </xf>
    <xf numFmtId="174" fontId="1" fillId="0" borderId="0" xfId="0" applyNumberFormat="1" applyFont="1" applyAlignment="1">
      <alignment horizontal="right" wrapText="1"/>
    </xf>
    <xf numFmtId="174" fontId="0" fillId="0" borderId="0" xfId="0" applyNumberFormat="1" applyAlignment="1"/>
    <xf numFmtId="174" fontId="44" fillId="0" borderId="0" xfId="0" applyNumberFormat="1" applyFont="1" applyFill="1" applyBorder="1" applyAlignment="1" applyProtection="1">
      <alignment wrapText="1"/>
    </xf>
    <xf numFmtId="172" fontId="1" fillId="0" borderId="0" xfId="0" applyNumberFormat="1" applyFont="1" applyAlignment="1">
      <alignment wrapText="1"/>
    </xf>
    <xf numFmtId="172" fontId="0" fillId="0" borderId="0" xfId="0" applyNumberFormat="1" applyAlignment="1">
      <alignment horizontal="right"/>
    </xf>
    <xf numFmtId="2" fontId="1" fillId="0" borderId="0" xfId="0" applyNumberFormat="1" applyFont="1" applyAlignment="1">
      <alignment horizontal="right" wrapText="1"/>
    </xf>
    <xf numFmtId="168" fontId="0" fillId="0" borderId="0" xfId="15" applyNumberFormat="1" applyFont="1" applyAlignment="1" applyProtection="1"/>
    <xf numFmtId="180" fontId="1" fillId="0" borderId="0" xfId="0" applyNumberFormat="1" applyFont="1" applyAlignment="1">
      <alignment wrapText="1"/>
    </xf>
    <xf numFmtId="9" fontId="0" fillId="0" borderId="0" xfId="15" applyFont="1" applyAlignment="1"/>
    <xf numFmtId="9" fontId="0" fillId="5" borderId="0" xfId="15" applyFont="1" applyFill="1"/>
    <xf numFmtId="1" fontId="7" fillId="0" borderId="0" xfId="0" applyNumberFormat="1" applyFont="1" applyFill="1" applyAlignment="1" applyProtection="1">
      <alignment horizontal="center"/>
      <protection locked="0"/>
    </xf>
    <xf numFmtId="2" fontId="1" fillId="0" borderId="0" xfId="8" applyNumberFormat="1"/>
    <xf numFmtId="0" fontId="1" fillId="0" borderId="0" xfId="8"/>
    <xf numFmtId="165" fontId="1" fillId="0" borderId="0" xfId="8" applyNumberFormat="1"/>
    <xf numFmtId="9" fontId="4" fillId="0" borderId="0" xfId="9" applyNumberFormat="1" applyFont="1" applyAlignment="1"/>
    <xf numFmtId="0" fontId="4" fillId="0" borderId="0" xfId="9" applyNumberFormat="1" applyFont="1" applyAlignment="1"/>
    <xf numFmtId="10" fontId="4" fillId="0" borderId="0" xfId="9" applyNumberFormat="1" applyFont="1" applyAlignment="1"/>
    <xf numFmtId="1" fontId="2" fillId="2" borderId="0" xfId="0" applyNumberFormat="1" applyFont="1" applyFill="1" applyProtection="1">
      <alignment horizontal="left" wrapText="1"/>
    </xf>
    <xf numFmtId="9" fontId="4" fillId="2" borderId="0" xfId="15" applyNumberFormat="1" applyFont="1" applyFill="1" applyAlignment="1">
      <alignment horizontal="center"/>
    </xf>
    <xf numFmtId="1" fontId="4" fillId="0" borderId="0" xfId="15" applyNumberFormat="1" applyFont="1" applyFill="1"/>
    <xf numFmtId="165" fontId="4" fillId="0" borderId="0" xfId="15" applyNumberFormat="1" applyFont="1" applyFill="1"/>
    <xf numFmtId="171" fontId="4" fillId="0" borderId="0" xfId="15" applyNumberFormat="1" applyFont="1" applyFill="1"/>
    <xf numFmtId="169" fontId="4" fillId="0" borderId="0" xfId="15" applyNumberFormat="1" applyFont="1" applyFill="1"/>
    <xf numFmtId="7" fontId="0" fillId="0" borderId="0" xfId="2" applyNumberFormat="1" applyFont="1" applyAlignment="1"/>
    <xf numFmtId="166" fontId="0" fillId="2" borderId="0" xfId="0" quotePrefix="1" applyNumberFormat="1" applyFill="1" applyAlignment="1">
      <alignment horizontal="center"/>
    </xf>
    <xf numFmtId="9" fontId="1" fillId="0" borderId="0" xfId="0" applyNumberFormat="1" applyFont="1" applyFill="1">
      <alignment horizontal="left" wrapText="1"/>
    </xf>
    <xf numFmtId="10" fontId="1" fillId="0" borderId="0" xfId="0" applyNumberFormat="1" applyFont="1" applyFill="1">
      <alignment horizontal="left" wrapText="1"/>
    </xf>
    <xf numFmtId="166" fontId="0" fillId="2" borderId="0" xfId="1" quotePrefix="1" applyNumberFormat="1" applyFont="1" applyFill="1" applyAlignment="1">
      <alignment horizontal="center"/>
    </xf>
    <xf numFmtId="1" fontId="0" fillId="0" borderId="0" xfId="0" applyNumberFormat="1" applyAlignment="1">
      <alignment wrapText="1"/>
    </xf>
    <xf numFmtId="1" fontId="1" fillId="0" borderId="0" xfId="14" applyNumberFormat="1" applyAlignment="1"/>
    <xf numFmtId="0" fontId="43" fillId="0" borderId="0" xfId="13"/>
    <xf numFmtId="1" fontId="4" fillId="0" borderId="0" xfId="14" applyNumberFormat="1" applyFont="1" applyAlignment="1"/>
    <xf numFmtId="174" fontId="4" fillId="0" borderId="0" xfId="14" applyNumberFormat="1" applyFont="1" applyAlignment="1"/>
    <xf numFmtId="178" fontId="44" fillId="2" borderId="0" xfId="11" applyNumberFormat="1" applyFont="1" applyFill="1" applyBorder="1" applyAlignment="1" applyProtection="1"/>
    <xf numFmtId="1" fontId="4" fillId="0" borderId="0" xfId="10" applyNumberFormat="1" applyAlignment="1"/>
    <xf numFmtId="1" fontId="4" fillId="0" borderId="0" xfId="10" applyNumberFormat="1" applyAlignment="1">
      <alignment horizontal="right"/>
    </xf>
    <xf numFmtId="180" fontId="4" fillId="0" borderId="0" xfId="10" applyNumberFormat="1" applyFont="1" applyAlignment="1">
      <alignment horizontal="left" wrapText="1"/>
    </xf>
    <xf numFmtId="184" fontId="4" fillId="0" borderId="0" xfId="10" applyNumberFormat="1" applyFont="1" applyAlignment="1">
      <alignment horizontal="right" wrapText="1"/>
    </xf>
    <xf numFmtId="168" fontId="4" fillId="0" borderId="0" xfId="10" applyNumberFormat="1" applyFont="1" applyAlignment="1">
      <alignment horizontal="right" wrapText="1"/>
    </xf>
    <xf numFmtId="0" fontId="4" fillId="0" borderId="0" xfId="10" applyNumberFormat="1" applyFont="1" applyAlignment="1">
      <alignment horizontal="left" wrapText="1"/>
    </xf>
    <xf numFmtId="0" fontId="27" fillId="0" borderId="0" xfId="10" applyNumberFormat="1" applyFont="1" applyAlignment="1">
      <alignment horizontal="left" wrapText="1"/>
    </xf>
    <xf numFmtId="168" fontId="4" fillId="0" borderId="0" xfId="10" applyNumberFormat="1" applyAlignment="1"/>
    <xf numFmtId="1" fontId="4" fillId="0" borderId="0" xfId="10" quotePrefix="1" applyNumberFormat="1" applyAlignment="1">
      <alignment horizontal="left"/>
    </xf>
    <xf numFmtId="2" fontId="4" fillId="0" borderId="0" xfId="10" applyNumberFormat="1" applyAlignment="1"/>
    <xf numFmtId="1" fontId="4" fillId="0" borderId="0" xfId="10" quotePrefix="1" applyNumberFormat="1" applyFont="1" applyFill="1" applyAlignment="1">
      <alignment horizontal="left"/>
    </xf>
    <xf numFmtId="1" fontId="4" fillId="0" borderId="0" xfId="10" applyNumberFormat="1" applyFont="1" applyAlignment="1">
      <alignment horizontal="center" wrapText="1"/>
    </xf>
    <xf numFmtId="168" fontId="4" fillId="0" borderId="0" xfId="10" applyNumberFormat="1" applyFont="1" applyAlignment="1">
      <alignment horizontal="left" wrapText="1"/>
    </xf>
    <xf numFmtId="165" fontId="2" fillId="0" borderId="0" xfId="2" applyNumberFormat="1" applyFont="1" applyFill="1" applyBorder="1" applyAlignment="1" applyProtection="1">
      <alignment horizontal="center"/>
      <protection locked="0"/>
    </xf>
    <xf numFmtId="1" fontId="1" fillId="0" borderId="0" xfId="0" applyNumberFormat="1" applyFont="1" applyAlignment="1"/>
    <xf numFmtId="169" fontId="1" fillId="0" borderId="0" xfId="1" applyNumberFormat="1" applyAlignment="1">
      <alignment horizontal="right" wrapText="1"/>
    </xf>
    <xf numFmtId="168" fontId="0" fillId="7" borderId="0" xfId="0" applyNumberFormat="1" applyFill="1" applyAlignment="1">
      <alignment horizontal="left"/>
    </xf>
    <xf numFmtId="1" fontId="0" fillId="0" borderId="0" xfId="0" applyNumberFormat="1" applyAlignment="1"/>
    <xf numFmtId="1" fontId="0" fillId="0" borderId="0" xfId="0" applyNumberFormat="1" applyAlignment="1"/>
    <xf numFmtId="1" fontId="0" fillId="0" borderId="0" xfId="0" applyNumberFormat="1" applyAlignment="1"/>
    <xf numFmtId="9" fontId="2" fillId="0" borderId="0" xfId="15" applyFont="1" applyFill="1" applyAlignment="1" applyProtection="1">
      <alignment horizontal="center" vertical="center"/>
      <protection locked="0"/>
    </xf>
    <xf numFmtId="1" fontId="2" fillId="0" borderId="0" xfId="0" applyNumberFormat="1" applyFont="1" applyFill="1" applyAlignment="1" applyProtection="1">
      <alignment horizontal="center" vertical="center"/>
      <protection locked="0"/>
    </xf>
    <xf numFmtId="1" fontId="2" fillId="0" borderId="0" xfId="0" applyNumberFormat="1" applyFont="1" applyAlignment="1" applyProtection="1">
      <alignment horizontal="center" vertical="center" wrapText="1"/>
      <protection locked="0"/>
    </xf>
    <xf numFmtId="1" fontId="0" fillId="0" borderId="0" xfId="0" applyNumberFormat="1" applyAlignment="1"/>
    <xf numFmtId="1" fontId="0" fillId="2" borderId="0" xfId="0" applyNumberFormat="1" applyFill="1" applyAlignment="1"/>
    <xf numFmtId="1" fontId="0" fillId="0" borderId="0" xfId="0" applyNumberFormat="1" applyAlignment="1"/>
    <xf numFmtId="180" fontId="4" fillId="0" borderId="0" xfId="0" applyFont="1" applyFill="1" applyAlignment="1">
      <alignment horizontal="center"/>
    </xf>
    <xf numFmtId="1" fontId="0" fillId="0" borderId="0" xfId="0" applyNumberFormat="1" applyAlignment="1"/>
    <xf numFmtId="1" fontId="0" fillId="2" borderId="0" xfId="0" applyNumberFormat="1" applyFill="1" applyAlignment="1"/>
    <xf numFmtId="1" fontId="0" fillId="0" borderId="0" xfId="0" applyNumberFormat="1" applyAlignment="1"/>
    <xf numFmtId="1" fontId="0" fillId="8" borderId="0" xfId="0" applyNumberFormat="1" applyFill="1" applyAlignment="1"/>
    <xf numFmtId="1" fontId="1" fillId="8" borderId="0" xfId="0" applyNumberFormat="1" applyFont="1" applyFill="1" applyAlignment="1"/>
    <xf numFmtId="1" fontId="1" fillId="0" borderId="0" xfId="0" applyNumberFormat="1" applyFont="1" applyFill="1" applyAlignment="1"/>
    <xf numFmtId="167" fontId="0" fillId="0" borderId="0" xfId="2" applyNumberFormat="1" applyFont="1" applyAlignment="1"/>
    <xf numFmtId="167" fontId="0" fillId="0" borderId="0" xfId="2" applyNumberFormat="1" applyFont="1" applyAlignment="1">
      <alignment horizontal="right"/>
    </xf>
    <xf numFmtId="4" fontId="1" fillId="0" borderId="0" xfId="0" applyNumberFormat="1" applyFont="1" applyFill="1" applyAlignment="1"/>
    <xf numFmtId="1" fontId="0" fillId="0" borderId="0" xfId="0" applyNumberFormat="1" applyAlignment="1"/>
    <xf numFmtId="169" fontId="1" fillId="0" borderId="0" xfId="8" applyNumberFormat="1" applyFont="1"/>
    <xf numFmtId="169" fontId="49" fillId="0" borderId="0" xfId="0" applyNumberFormat="1" applyFont="1" applyAlignment="1"/>
    <xf numFmtId="169" fontId="0" fillId="0" borderId="0" xfId="2" applyNumberFormat="1" applyFont="1" applyAlignment="1"/>
    <xf numFmtId="1" fontId="0" fillId="0" borderId="0" xfId="0" applyNumberFormat="1" applyAlignment="1"/>
    <xf numFmtId="1" fontId="1" fillId="0" borderId="0" xfId="0" applyNumberFormat="1" applyFont="1" applyFill="1" applyAlignment="1">
      <alignment horizontal="center"/>
    </xf>
    <xf numFmtId="1" fontId="0" fillId="2" borderId="0" xfId="0" applyNumberFormat="1" applyFill="1" applyAlignment="1"/>
    <xf numFmtId="1" fontId="0" fillId="0" borderId="0" xfId="0" applyNumberFormat="1" applyAlignment="1"/>
    <xf numFmtId="1" fontId="15" fillId="8" borderId="0" xfId="0" applyNumberFormat="1" applyFont="1" applyFill="1" applyAlignment="1">
      <alignment horizontal="center"/>
    </xf>
    <xf numFmtId="1" fontId="20" fillId="8" borderId="0" xfId="0" applyNumberFormat="1" applyFont="1" applyFill="1" applyAlignment="1">
      <alignment horizontal="center"/>
    </xf>
    <xf numFmtId="1" fontId="47" fillId="8" borderId="0" xfId="0" applyNumberFormat="1" applyFont="1" applyFill="1" applyAlignment="1">
      <alignment horizontal="center"/>
    </xf>
    <xf numFmtId="1" fontId="19" fillId="3" borderId="0" xfId="0" applyNumberFormat="1" applyFont="1" applyFill="1" applyAlignment="1">
      <alignment horizontal="center"/>
    </xf>
    <xf numFmtId="1" fontId="3" fillId="2" borderId="0" xfId="0" quotePrefix="1" applyNumberFormat="1" applyFont="1" applyFill="1" applyAlignment="1">
      <alignment horizontal="center"/>
    </xf>
    <xf numFmtId="1" fontId="47" fillId="0" borderId="0" xfId="0" applyNumberFormat="1" applyFont="1" applyFill="1" applyAlignment="1"/>
    <xf numFmtId="1" fontId="19" fillId="0" borderId="0" xfId="0" applyNumberFormat="1" applyFont="1" applyFill="1" applyAlignment="1"/>
    <xf numFmtId="1" fontId="3" fillId="0" borderId="0" xfId="0" quotePrefix="1" applyNumberFormat="1" applyFont="1" applyFill="1" applyAlignment="1">
      <alignment horizontal="left"/>
    </xf>
    <xf numFmtId="1" fontId="6" fillId="2" borderId="0" xfId="0" applyNumberFormat="1" applyFont="1" applyFill="1" applyAlignment="1">
      <alignment vertical="top" wrapText="1"/>
    </xf>
    <xf numFmtId="1" fontId="0" fillId="2" borderId="0" xfId="0" applyNumberFormat="1" applyFill="1" applyAlignment="1">
      <alignment vertical="top" wrapText="1"/>
    </xf>
    <xf numFmtId="1" fontId="0" fillId="2" borderId="0" xfId="0" applyNumberFormat="1" applyFill="1" applyAlignment="1"/>
    <xf numFmtId="1" fontId="11" fillId="2" borderId="0" xfId="0" applyNumberFormat="1" applyFont="1" applyFill="1" applyAlignment="1">
      <alignment vertical="top" wrapText="1"/>
    </xf>
    <xf numFmtId="1" fontId="0" fillId="0" borderId="0" xfId="0" applyNumberFormat="1" applyAlignment="1">
      <alignment vertical="top" wrapText="1"/>
    </xf>
    <xf numFmtId="1" fontId="2" fillId="4" borderId="0" xfId="0" quotePrefix="1" applyNumberFormat="1" applyFont="1" applyFill="1" applyAlignment="1">
      <alignment horizontal="left" vertical="top" wrapText="1"/>
    </xf>
    <xf numFmtId="1" fontId="2" fillId="4" borderId="0" xfId="0" applyNumberFormat="1" applyFont="1" applyFill="1" applyAlignment="1">
      <alignment vertical="top" wrapText="1"/>
    </xf>
    <xf numFmtId="180" fontId="2" fillId="4" borderId="0" xfId="0" applyFont="1" applyFill="1" applyAlignment="1">
      <alignment vertical="top" wrapText="1"/>
    </xf>
    <xf numFmtId="180" fontId="1" fillId="0" borderId="0" xfId="0" applyFont="1" applyAlignment="1">
      <alignment vertical="top" wrapText="1"/>
    </xf>
    <xf numFmtId="1" fontId="2" fillId="4" borderId="0" xfId="0" applyNumberFormat="1" applyFont="1" applyFill="1" applyAlignment="1">
      <alignment wrapText="1"/>
    </xf>
    <xf numFmtId="1" fontId="0" fillId="0" borderId="0" xfId="0" applyNumberFormat="1" applyAlignment="1">
      <alignment wrapText="1"/>
    </xf>
    <xf numFmtId="1" fontId="4" fillId="0" borderId="0" xfId="0" applyNumberFormat="1" applyFont="1" applyAlignment="1">
      <alignment vertical="top" wrapText="1"/>
    </xf>
    <xf numFmtId="1" fontId="4" fillId="0" borderId="0" xfId="0" applyNumberFormat="1" applyFont="1" applyAlignment="1"/>
    <xf numFmtId="0" fontId="45" fillId="6" borderId="0" xfId="7" applyFont="1" applyFill="1" applyBorder="1" applyAlignment="1">
      <alignment horizontal="left" wrapText="1"/>
    </xf>
    <xf numFmtId="1" fontId="7" fillId="0" borderId="0" xfId="0" quotePrefix="1" applyNumberFormat="1" applyFont="1" applyAlignment="1">
      <alignment horizontal="left" vertical="top" wrapText="1"/>
    </xf>
    <xf numFmtId="1" fontId="0" fillId="0" borderId="0" xfId="0" applyNumberFormat="1" applyAlignment="1"/>
  </cellXfs>
  <cellStyles count="16">
    <cellStyle name="Comma" xfId="1" builtinId="3"/>
    <cellStyle name="Currency" xfId="2" builtinId="4"/>
    <cellStyle name="Normal" xfId="0" builtinId="0"/>
    <cellStyle name="Normal 2" xfId="3"/>
    <cellStyle name="Normal 3" xfId="4"/>
    <cellStyle name="Normal 4" xfId="5"/>
    <cellStyle name="Normal_Calculations" xfId="6"/>
    <cellStyle name="Normal_DefaultData" xfId="7"/>
    <cellStyle name="Normal_DefaultData_1" xfId="8"/>
    <cellStyle name="Normal_DefaultData_3" xfId="9"/>
    <cellStyle name="Normal_Deflators" xfId="10"/>
    <cellStyle name="Normal_Household Exp" xfId="11"/>
    <cellStyle name="Normal_Multipliers" xfId="12"/>
    <cellStyle name="Normal_ProjectData" xfId="13"/>
    <cellStyle name="Normal_Sheet1" xfId="14"/>
    <cellStyle name="Percent" xfId="15" builtinId="5"/>
  </cellStyles>
  <dxfs count="60">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rgb="FF00FFFF"/>
      </font>
      <fill>
        <patternFill>
          <bgColor rgb="FF00FFFF"/>
        </patternFill>
      </fill>
    </dxf>
    <dxf>
      <font>
        <color theme="0" tint="-0.24994659260841701"/>
        <name val="Cambria"/>
        <scheme val="none"/>
      </font>
      <fill>
        <patternFill>
          <bgColor theme="0" tint="-0.24994659260841701"/>
        </patternFill>
      </fill>
    </dxf>
  </dxfs>
  <tableStyles count="0" defaultTableStyle="TableStyleMedium9" defaultPivotStyle="PivotStyleLight16"/>
  <colors>
    <mruColors>
      <color rgb="FF00FF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304799</xdr:colOff>
      <xdr:row>6</xdr:row>
      <xdr:rowOff>247651</xdr:rowOff>
    </xdr:from>
    <xdr:to>
      <xdr:col>0</xdr:col>
      <xdr:colOff>11382374</xdr:colOff>
      <xdr:row>49</xdr:row>
      <xdr:rowOff>66676</xdr:rowOff>
    </xdr:to>
    <xdr:sp macro="" textlink="">
      <xdr:nvSpPr>
        <xdr:cNvPr id="2" name="Text Box 1"/>
        <xdr:cNvSpPr txBox="1">
          <a:spLocks noChangeArrowheads="1"/>
        </xdr:cNvSpPr>
      </xdr:nvSpPr>
      <xdr:spPr bwMode="auto">
        <a:xfrm>
          <a:off x="304799" y="1685926"/>
          <a:ext cx="11077575" cy="6962775"/>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The Jobs and Economic Development Impact Model (JEDI) was developed to demonstrate the economic benefits associated with photovoltaic systems</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system developers, renewable energy advocates,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government officials, decision makers and other potential users, to easily identify the local economic impacts associated with constructing and operating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these systems as part of a scenario, that is, more than one individual project. The second goal was to facilitate broad access and usage of the model by making it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adaptable to a web based application that can be put on a web site.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photovoltaics and other renewable technologies should contact Barry Friedman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1617 Cole Blvd.</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Golden, CO. 80401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303.384.7427</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barry.friedman@nrel.gov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17798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Minnesota IMPLAN Group.</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Minnesota IMPLAN Group, Inc.</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P.O. Box 837</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Hudson, Wisconsin 54016</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651.439.4421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www.implan.com</a:t>
          </a:r>
          <a:r>
            <a:rPr lang="en-US" sz="1200">
              <a:latin typeface="Times New Roman" pitchFamily="18" charset="0"/>
              <a:cs typeface="Times New Roman" pitchFamily="18" charset="0"/>
            </a:rPr>
            <a:t> </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752475</xdr:colOff>
      <xdr:row>4</xdr:row>
      <xdr:rowOff>95250</xdr:rowOff>
    </xdr:from>
    <xdr:to>
      <xdr:col>0</xdr:col>
      <xdr:colOff>10953750</xdr:colOff>
      <xdr:row>24</xdr:row>
      <xdr:rowOff>66675</xdr:rowOff>
    </xdr:to>
    <xdr:sp macro="" textlink="">
      <xdr:nvSpPr>
        <xdr:cNvPr id="3" name="Text Box 1"/>
        <xdr:cNvSpPr txBox="1">
          <a:spLocks noChangeArrowheads="1"/>
        </xdr:cNvSpPr>
      </xdr:nvSpPr>
      <xdr:spPr bwMode="auto">
        <a:xfrm>
          <a:off x="752475" y="1552575"/>
          <a:ext cx="10201275" cy="32099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baseline="0">
              <a:latin typeface="Times New Roman" pitchFamily="18" charset="0"/>
              <a:ea typeface="+mn-ea"/>
              <a:cs typeface="Times New Roman" pitchFamily="18" charset="0"/>
            </a:rPr>
            <a:t>This demonstration model is designed to estimate the statewide economic impacts associated with developing photovoltaic systems for distributed generation capabilities.  The economic impacts identified include annual jobs, earnings, and output for the installation period and once the systems are up and running.  A user defined "add-in" location (e.g., county or region) option is also available.    </a:t>
          </a:r>
          <a:endParaRPr lang="en-US" sz="1200">
            <a:latin typeface="Times New Roman" pitchFamily="18" charset="0"/>
            <a:cs typeface="Times New Roman" pitchFamily="18" charset="0"/>
          </a:endParaRPr>
        </a:p>
        <a:p>
          <a:pPr rtl="0" fontAlgn="base"/>
          <a:endParaRPr lang="en-US" sz="1100" b="0" i="0" baseline="0">
            <a:latin typeface="Times New Roman" pitchFamily="18" charset="0"/>
            <a:ea typeface="+mn-ea"/>
            <a:cs typeface="Times New Roman" pitchFamily="18" charset="0"/>
          </a:endParaRPr>
        </a:p>
        <a:p>
          <a:pPr rtl="0" fontAlgn="base"/>
          <a:r>
            <a:rPr lang="en-US" sz="1200" b="1" i="0" baseline="0">
              <a:latin typeface="Times New Roman" pitchFamily="18" charset="0"/>
              <a:ea typeface="+mn-ea"/>
              <a:cs typeface="Times New Roman" pitchFamily="18" charset="0"/>
            </a:rPr>
            <a:t>Steps to complete an economic impact analysis:</a:t>
          </a:r>
        </a:p>
        <a:p>
          <a:pPr rtl="0" fontAlgn="base"/>
          <a:endParaRPr lang="en-US" sz="1200" b="0" i="0" baseline="0">
            <a:latin typeface="Times New Roman" pitchFamily="18" charset="0"/>
            <a:ea typeface="+mn-ea"/>
            <a:cs typeface="Times New Roman" pitchFamily="18" charset="0"/>
          </a:endParaRPr>
        </a:p>
        <a:p>
          <a:pPr rtl="0"/>
          <a:r>
            <a:rPr lang="en-US" sz="1200" b="0" i="0" baseline="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2.  Choose to accept default project cost data (based on project description and average cost data for photovoltaic systems) or review and enter new project cost data.  </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3.  If you accept default values go directly to SUMMARY RESULTS to view and/or print results.</a:t>
          </a:r>
          <a:endParaRPr lang="en-US" sz="1200">
            <a:latin typeface="Times New Roman" pitchFamily="18" charset="0"/>
            <a:cs typeface="Times New Roman" pitchFamily="18" charset="0"/>
          </a:endParaRPr>
        </a:p>
        <a:p>
          <a:r>
            <a:rPr lang="en-US" sz="1200" b="0" i="0" baseline="0">
              <a:latin typeface="Times New Roman" pitchFamily="18" charset="0"/>
              <a:ea typeface="+mn-ea"/>
              <a:cs typeface="Times New Roman" pitchFamily="18" charset="0"/>
            </a:rPr>
            <a:t>   4.  If you choose to enter new values make sure to enter an "N" in the designated cell before proceeding</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200" b="1" i="0" u="none" strike="noStrike" baseline="0">
              <a:solidFill>
                <a:srgbClr val="000000"/>
              </a:solidFill>
              <a:latin typeface="Times New Roman" pitchFamily="18" charset="0"/>
              <a:cs typeface="Times New Roman" pitchFamily="18" charset="0"/>
            </a:rPr>
            <a:t>To begin analysis press Start button</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Times New Roman" pitchFamily="18" charset="0"/>
              <a:cs typeface="Times New Roman" pitchFamily="18" charset="0"/>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3867150</xdr:colOff>
          <xdr:row>19</xdr:row>
          <xdr:rowOff>114300</xdr:rowOff>
        </xdr:from>
        <xdr:to>
          <xdr:col>0</xdr:col>
          <xdr:colOff>5514975</xdr:colOff>
          <xdr:row>22</xdr:row>
          <xdr:rowOff>76200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65</xdr:row>
          <xdr:rowOff>142875</xdr:rowOff>
        </xdr:from>
        <xdr:to>
          <xdr:col>6</xdr:col>
          <xdr:colOff>762000</xdr:colOff>
          <xdr:row>68</xdr:row>
          <xdr:rowOff>95250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923925</xdr:colOff>
          <xdr:row>71</xdr:row>
          <xdr:rowOff>0</xdr:rowOff>
        </xdr:from>
        <xdr:to>
          <xdr:col>7</xdr:col>
          <xdr:colOff>314325</xdr:colOff>
          <xdr:row>73</xdr:row>
          <xdr:rowOff>133350</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28</xdr:row>
          <xdr:rowOff>0</xdr:rowOff>
        </xdr:from>
        <xdr:to>
          <xdr:col>7</xdr:col>
          <xdr:colOff>381000</xdr:colOff>
          <xdr:row>29</xdr:row>
          <xdr:rowOff>171450</xdr:rowOff>
        </xdr:to>
        <xdr:sp macro="" textlink="">
          <xdr:nvSpPr>
            <xdr:cNvPr id="2179" name="Button 131" hidden="1">
              <a:extLst>
                <a:ext uri="{63B3BB69-23CF-44E3-9099-C40C66FF867C}">
                  <a14:compatExt spid="_x0000_s2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26</xdr:row>
          <xdr:rowOff>85725</xdr:rowOff>
        </xdr:from>
        <xdr:to>
          <xdr:col>4</xdr:col>
          <xdr:colOff>781050</xdr:colOff>
          <xdr:row>27</xdr:row>
          <xdr:rowOff>57150</xdr:rowOff>
        </xdr:to>
        <xdr:sp macro="" textlink="">
          <xdr:nvSpPr>
            <xdr:cNvPr id="2207" name="Button 159" hidden="1">
              <a:extLst>
                <a:ext uri="{63B3BB69-23CF-44E3-9099-C40C66FF867C}">
                  <a14:compatExt spid="_x0000_s2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95250</xdr:colOff>
          <xdr:row>9</xdr:row>
          <xdr:rowOff>57150</xdr:rowOff>
        </xdr:from>
        <xdr:to>
          <xdr:col>5</xdr:col>
          <xdr:colOff>0</xdr:colOff>
          <xdr:row>13</xdr:row>
          <xdr:rowOff>123825</xdr:rowOff>
        </xdr:to>
        <xdr:sp macro="" textlink="">
          <xdr:nvSpPr>
            <xdr:cNvPr id="5136" name="Button 16" hidden="1">
              <a:extLst>
                <a:ext uri="{63B3BB69-23CF-44E3-9099-C40C66FF867C}">
                  <a14:compatExt spid="_x0000_s5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3</xdr:row>
          <xdr:rowOff>152400</xdr:rowOff>
        </xdr:from>
        <xdr:to>
          <xdr:col>4</xdr:col>
          <xdr:colOff>1771650</xdr:colOff>
          <xdr:row>7</xdr:row>
          <xdr:rowOff>47625</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21</xdr:row>
          <xdr:rowOff>152400</xdr:rowOff>
        </xdr:from>
        <xdr:to>
          <xdr:col>5</xdr:col>
          <xdr:colOff>0</xdr:colOff>
          <xdr:row>25</xdr:row>
          <xdr:rowOff>9525</xdr:rowOff>
        </xdr:to>
        <xdr:sp macro="" textlink="">
          <xdr:nvSpPr>
            <xdr:cNvPr id="5140" name="Button 20" hidden="1">
              <a:extLst>
                <a:ext uri="{63B3BB69-23CF-44E3-9099-C40C66FF867C}">
                  <a14:compatExt spid="_x0000_s5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15</xdr:row>
          <xdr:rowOff>114300</xdr:rowOff>
        </xdr:from>
        <xdr:to>
          <xdr:col>5</xdr:col>
          <xdr:colOff>0</xdr:colOff>
          <xdr:row>19</xdr:row>
          <xdr:rowOff>142875</xdr:rowOff>
        </xdr:to>
        <xdr:sp macro="" textlink="">
          <xdr:nvSpPr>
            <xdr:cNvPr id="5164" name="Button 44" hidden="1">
              <a:extLst>
                <a:ext uri="{63B3BB69-23CF-44E3-9099-C40C66FF867C}">
                  <a14:compatExt spid="_x0000_s5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endParaRPr lang="en-US"/>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428626</xdr:colOff>
      <xdr:row>7</xdr:row>
      <xdr:rowOff>0</xdr:rowOff>
    </xdr:from>
    <xdr:to>
      <xdr:col>0</xdr:col>
      <xdr:colOff>11325225</xdr:colOff>
      <xdr:row>93</xdr:row>
      <xdr:rowOff>123824</xdr:rowOff>
    </xdr:to>
    <xdr:sp macro="" textlink="">
      <xdr:nvSpPr>
        <xdr:cNvPr id="2" name="TextBox 1"/>
        <xdr:cNvSpPr txBox="1"/>
      </xdr:nvSpPr>
      <xdr:spPr>
        <a:xfrm>
          <a:off x="428626" y="1571625"/>
          <a:ext cx="10896599" cy="140779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can I determine which version of the JEDI model I have?</a:t>
          </a:r>
          <a:r>
            <a:rPr lang="en-US"/>
            <a:t> </a:t>
          </a:r>
        </a:p>
        <a:p>
          <a:r>
            <a:rPr lang="en-US" sz="1100" b="1" i="0" u="none" strike="noStrike">
              <a:solidFill>
                <a:srgbClr val="002060"/>
              </a:solidFill>
              <a:latin typeface="+mn-lt"/>
              <a:ea typeface="+mn-ea"/>
              <a:cs typeface="+mn-cs"/>
            </a:rPr>
            <a:t>The version (release number) of the model you are currently using is listed in the "About JEDI" worksheet contained in this model.  </a:t>
          </a:r>
          <a:r>
            <a:rPr lang="en-US" b="1">
              <a:solidFill>
                <a:srgbClr val="002060"/>
              </a:solidFill>
            </a:rPr>
            <a:t> </a:t>
          </a:r>
          <a:r>
            <a:rPr lang="en-US" sz="1100" b="0" i="0" u="none" strike="noStrike">
              <a:solidFill>
                <a:schemeClr val="dk1"/>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When I open up the model I receive a security alert message stating "the macros in the file have been disabled," how do I change the security setting so I </a:t>
          </a:r>
          <a:r>
            <a:rPr lang="en-US"/>
            <a:t> </a:t>
          </a:r>
          <a:r>
            <a:rPr lang="en-US" sz="1100" b="1" i="1" u="none" strike="noStrike">
              <a:solidFill>
                <a:schemeClr val="dk1"/>
              </a:solidFill>
              <a:latin typeface="+mn-lt"/>
              <a:ea typeface="+mn-ea"/>
              <a:cs typeface="+mn-cs"/>
            </a:rPr>
            <a:t>can run the model with the macros enabled?  </a:t>
          </a:r>
          <a:r>
            <a:rPr lang="en-US"/>
            <a:t> </a:t>
          </a:r>
        </a:p>
        <a:p>
          <a:r>
            <a:rPr lang="en-US" sz="1100" b="1" i="0" u="none" strike="noStrike">
              <a:solidFill>
                <a:srgbClr val="002060"/>
              </a:solidFill>
              <a:latin typeface="+mn-lt"/>
              <a:ea typeface="+mn-ea"/>
              <a:cs typeface="+mn-cs"/>
            </a:rPr>
            <a:t>The message you are receiving is related to the level of security you have chosen in your Excel™ set up.  To change the setting for opening files, click the Microsoft</a:t>
          </a:r>
          <a:r>
            <a:rPr lang="en-US" b="1">
              <a:solidFill>
                <a:srgbClr val="002060"/>
              </a:solidFill>
            </a:rPr>
            <a:t> </a:t>
          </a:r>
          <a:r>
            <a:rPr lang="en-US" sz="1100" b="1" i="0" u="none" strike="noStrike">
              <a:solidFill>
                <a:srgbClr val="002060"/>
              </a:solidFill>
              <a:latin typeface="+mn-lt"/>
              <a:ea typeface="+mn-ea"/>
              <a:cs typeface="+mn-cs"/>
            </a:rPr>
            <a:t>Office Button (on the top left of the toolbar), click on "Excel Options," then "Trust Center," then "Trust Center Settings," then "Macros Settings."  Reset the security level</a:t>
          </a:r>
          <a:r>
            <a:rPr lang="en-US" b="1">
              <a:solidFill>
                <a:srgbClr val="002060"/>
              </a:solidFill>
            </a:rPr>
            <a:t> </a:t>
          </a:r>
          <a:r>
            <a:rPr lang="en-US" sz="1100" b="1" i="0" u="none" strike="noStrike">
              <a:solidFill>
                <a:srgbClr val="002060"/>
              </a:solidFill>
              <a:latin typeface="+mn-lt"/>
              <a:ea typeface="+mn-ea"/>
              <a:cs typeface="+mn-cs"/>
            </a:rPr>
            <a:t> to "Enable" or "Disable with notification."  The reset method may vary with different versions of Excel™.  Alternately, the model can be successfully run with the macros</a:t>
          </a:r>
          <a:r>
            <a:rPr lang="en-US" b="1">
              <a:solidFill>
                <a:srgbClr val="002060"/>
              </a:solidFill>
            </a:rPr>
            <a:t> </a:t>
          </a:r>
          <a:r>
            <a:rPr lang="en-US" sz="1100" b="1" i="0" u="none" strike="noStrike">
              <a:solidFill>
                <a:srgbClr val="002060"/>
              </a:solidFill>
              <a:latin typeface="+mn-lt"/>
              <a:ea typeface="+mn-ea"/>
              <a:cs typeface="+mn-cs"/>
            </a:rPr>
            <a:t>disabled.  If you choose this option, the print and save results buttons will not function.  Similarly, you will need to navigate using the worksheet tabs rather than buttons.</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run a county or regional level analysis?</a:t>
          </a:r>
          <a:r>
            <a:rPr lang="en-US"/>
            <a:t> </a:t>
          </a:r>
        </a:p>
        <a:p>
          <a:r>
            <a:rPr lang="en-US" sz="1100" b="1" i="0" u="none" strike="noStrike">
              <a:solidFill>
                <a:srgbClr val="002060"/>
              </a:solidFill>
              <a:latin typeface="+mn-lt"/>
              <a:ea typeface="+mn-ea"/>
              <a:cs typeface="+mn-cs"/>
            </a:rPr>
            <a:t>Running a county or regional level analysis is similar to running a state level analysis, although there are two key differences users must keep in mind.  First, the model </a:t>
          </a:r>
          <a:r>
            <a:rPr lang="en-US" b="1">
              <a:solidFill>
                <a:srgbClr val="002060"/>
              </a:solidFill>
            </a:rPr>
            <a:t> </a:t>
          </a:r>
          <a:r>
            <a:rPr lang="en-US" sz="1100" b="1" i="0" u="none" strike="noStrike">
              <a:solidFill>
                <a:srgbClr val="002060"/>
              </a:solidFill>
              <a:latin typeface="+mn-lt"/>
              <a:ea typeface="+mn-ea"/>
              <a:cs typeface="+mn-cs"/>
            </a:rPr>
            <a:t>does not contain county or regional level multipliers, thus users must obtain these and add them into the model. (See FAQ on obtaining county or regional level</a:t>
          </a:r>
          <a:r>
            <a:rPr lang="en-US" b="1">
              <a:solidFill>
                <a:srgbClr val="002060"/>
              </a:solidFill>
            </a:rPr>
            <a:t> </a:t>
          </a:r>
          <a:r>
            <a:rPr lang="en-US" sz="1100" b="1" i="0" u="none" strike="noStrike">
              <a:solidFill>
                <a:srgbClr val="002060"/>
              </a:solidFill>
              <a:latin typeface="+mn-lt"/>
              <a:ea typeface="+mn-ea"/>
              <a:cs typeface="+mn-cs"/>
            </a:rPr>
            <a:t>multipliers and how to add in the data)  Second, to run a county or regional level analysis users must choose "MyCounty" or "MyRegion" as the location in the</a:t>
          </a:r>
          <a:r>
            <a:rPr lang="en-US" b="1">
              <a:solidFill>
                <a:srgbClr val="002060"/>
              </a:solidFill>
            </a:rPr>
            <a:t> </a:t>
          </a:r>
          <a:r>
            <a:rPr lang="en-US" sz="1100" b="1" i="0" u="none" strike="noStrike">
              <a:solidFill>
                <a:srgbClr val="002060"/>
              </a:solidFill>
              <a:latin typeface="+mn-lt"/>
              <a:ea typeface="+mn-ea"/>
              <a:cs typeface="+mn-cs"/>
            </a:rPr>
            <a:t>Project Description section in the ProjectData worksheet and then enter the county or regional population. The population provides a reference for the model to </a:t>
          </a:r>
          <a:r>
            <a:rPr lang="en-US" b="1">
              <a:solidFill>
                <a:srgbClr val="002060"/>
              </a:solidFill>
            </a:rPr>
            <a:t> </a:t>
          </a:r>
          <a:r>
            <a:rPr lang="en-US" sz="1100" b="1" i="0" u="none" strike="noStrike">
              <a:solidFill>
                <a:srgbClr val="002060"/>
              </a:solidFill>
              <a:latin typeface="+mn-lt"/>
              <a:ea typeface="+mn-ea"/>
              <a:cs typeface="+mn-cs"/>
            </a:rPr>
            <a:t>automatically insert 'local share" defaults for the analysis.  As with other defaults, these can be adjusted by the user.</a:t>
          </a:r>
          <a:r>
            <a:rPr lang="en-US" b="1">
              <a:solidFill>
                <a:srgbClr val="002060"/>
              </a:solidFill>
            </a:rPr>
            <a:t> </a:t>
          </a:r>
          <a:r>
            <a:rPr lang="en-US" sz="1100" b="1" i="0" u="none" strike="noStrike">
              <a:solidFill>
                <a:srgbClr val="002060"/>
              </a:solidFill>
              <a:latin typeface="+mn-lt"/>
              <a:ea typeface="+mn-ea"/>
              <a:cs typeface="+mn-cs"/>
            </a:rPr>
            <a:t> The</a:t>
          </a:r>
          <a:r>
            <a:rPr lang="en-US" sz="1100" b="1" i="0" u="none" strike="noStrike" baseline="0">
              <a:solidFill>
                <a:srgbClr val="002060"/>
              </a:solidFill>
              <a:latin typeface="+mn-lt"/>
              <a:ea typeface="+mn-ea"/>
              <a:cs typeface="+mn-cs"/>
            </a:rPr>
            <a:t> model does contain several defined regions, see reference question below for more detail on these.</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Where can I get county or regional level data to add-in to the model to run a county or region specific analysis?</a:t>
          </a:r>
          <a:r>
            <a:rPr lang="en-US"/>
            <a:t> </a:t>
          </a:r>
        </a:p>
        <a:p>
          <a:r>
            <a:rPr lang="en-US" sz="1100" b="1" i="0" u="none" strike="noStrike">
              <a:solidFill>
                <a:srgbClr val="002060"/>
              </a:solidFill>
              <a:latin typeface="+mn-lt"/>
              <a:ea typeface="+mn-ea"/>
              <a:cs typeface="+mn-cs"/>
            </a:rPr>
            <a:t>County level multipliers and personal consumption expenditure patterns are available from a number of sources.  Users familiar with IMPLAN or input-output modeling can </a:t>
          </a:r>
          <a:r>
            <a:rPr lang="en-US" b="1">
              <a:solidFill>
                <a:srgbClr val="002060"/>
              </a:solidFill>
            </a:rPr>
            <a:t> </a:t>
          </a:r>
          <a:r>
            <a:rPr lang="en-US" sz="1100" b="1" i="0" u="none" strike="noStrike">
              <a:solidFill>
                <a:srgbClr val="002060"/>
              </a:solidFill>
              <a:latin typeface="+mn-lt"/>
              <a:ea typeface="+mn-ea"/>
              <a:cs typeface="+mn-cs"/>
            </a:rPr>
            <a:t>purchase the raw county level data and derive the multipliers themselves, purchase them from someone familiar with input-output modeling, purchase them directly from</a:t>
          </a:r>
          <a:r>
            <a:rPr lang="en-US" b="1">
              <a:solidFill>
                <a:srgbClr val="002060"/>
              </a:solidFill>
            </a:rPr>
            <a:t> </a:t>
          </a:r>
          <a:r>
            <a:rPr lang="en-US" sz="1100" b="1" i="0" u="none" strike="noStrike">
              <a:solidFill>
                <a:srgbClr val="002060"/>
              </a:solidFill>
              <a:latin typeface="+mn-lt"/>
              <a:ea typeface="+mn-ea"/>
              <a:cs typeface="+mn-cs"/>
            </a:rPr>
            <a:t> IMPLAN (www.implan.com), or contact MRG &amp; Associates (mrgassociates@earthlink.net), the model developer.</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add in county or regional level multipliers and the personal consumption expenditure data?</a:t>
          </a:r>
          <a:r>
            <a:rPr lang="en-US"/>
            <a:t> </a:t>
          </a:r>
        </a:p>
        <a:p>
          <a:r>
            <a:rPr lang="en-US" sz="1100" b="1" i="0" u="none" strike="noStrike">
              <a:solidFill>
                <a:srgbClr val="002060"/>
              </a:solidFill>
              <a:latin typeface="+mn-lt"/>
              <a:ea typeface="+mn-ea"/>
              <a:cs typeface="+mn-cs"/>
            </a:rPr>
            <a:t>Adding-in county or regional level multipliers and personal consumption expenditure data involves going to the "User Add-in Location" worksheet in this model and </a:t>
          </a:r>
          <a:r>
            <a:rPr lang="en-US" b="1">
              <a:solidFill>
                <a:srgbClr val="002060"/>
              </a:solidFill>
            </a:rPr>
            <a:t> </a:t>
          </a:r>
          <a:r>
            <a:rPr lang="en-US" sz="1100" b="1" i="0" u="none" strike="noStrike">
              <a:solidFill>
                <a:srgbClr val="002060"/>
              </a:solidFill>
              <a:latin typeface="+mn-lt"/>
              <a:ea typeface="+mn-ea"/>
              <a:cs typeface="+mn-cs"/>
            </a:rPr>
            <a:t>cutting and pasting the data into their respective locations.  The personal consumption expenditures reflect each industries share of the total.  The sum must equal </a:t>
          </a:r>
          <a:r>
            <a:rPr lang="en-US" b="1">
              <a:solidFill>
                <a:srgbClr val="002060"/>
              </a:solidFill>
            </a:rPr>
            <a:t> </a:t>
          </a:r>
          <a:r>
            <a:rPr lang="en-US" sz="1100" b="1" i="0" u="none" strike="noStrike">
              <a:solidFill>
                <a:srgbClr val="002060"/>
              </a:solidFill>
              <a:latin typeface="+mn-lt"/>
              <a:ea typeface="+mn-ea"/>
              <a:cs typeface="+mn-cs"/>
            </a:rPr>
            <a:t>1.00 (100 percent).  For example, if spending in the retail sector accounts for 20 percent of personal spending, enter 0.20.  With the data installed in all the appropriate</a:t>
          </a:r>
          <a:r>
            <a:rPr lang="en-US" b="1">
              <a:solidFill>
                <a:srgbClr val="002060"/>
              </a:solidFill>
            </a:rPr>
            <a:t> </a:t>
          </a:r>
          <a:r>
            <a:rPr lang="en-US" sz="1100" b="1" i="0" u="none" strike="noStrike">
              <a:solidFill>
                <a:srgbClr val="002060"/>
              </a:solidFill>
              <a:latin typeface="+mn-lt"/>
              <a:ea typeface="+mn-ea"/>
              <a:cs typeface="+mn-cs"/>
            </a:rPr>
            <a:t>cells it is also necessary to insert the county or region name and the year of the data at the top of the worksheet.</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does the "local share" refer to?</a:t>
          </a:r>
          <a:r>
            <a:rPr lang="en-US"/>
            <a:t> </a:t>
          </a:r>
        </a:p>
        <a:p>
          <a:r>
            <a:rPr lang="en-US" sz="1100" b="1" i="0" u="none" strike="noStrike">
              <a:solidFill>
                <a:srgbClr val="002060"/>
              </a:solidFill>
              <a:latin typeface="+mn-lt"/>
              <a:ea typeface="+mn-ea"/>
              <a:cs typeface="+mn-cs"/>
            </a:rPr>
            <a:t>The "local share" refers to the percentage of each expenditure that is actually spent locally (i.e., in the state, county or region being analyzed).  For example, if $1 million</a:t>
          </a:r>
          <a:r>
            <a:rPr lang="en-US" b="1">
              <a:solidFill>
                <a:srgbClr val="002060"/>
              </a:solidFill>
            </a:rPr>
            <a:t> </a:t>
          </a:r>
          <a:r>
            <a:rPr lang="en-US" sz="1100" b="1" i="0" u="none" strike="noStrike">
              <a:solidFill>
                <a:srgbClr val="002060"/>
              </a:solidFill>
              <a:latin typeface="+mn-lt"/>
              <a:ea typeface="+mn-ea"/>
              <a:cs typeface="+mn-cs"/>
            </a:rPr>
            <a:t>is going to be spent on construction materials and half ($500,000) of this total will be purchased from local suppliers, we say the "local share" is 50 percent.</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analysis as accurate as possible, where can I get information to adjust the default "local share" values (in the ProjectData worksheet) </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rgbClr val="002060"/>
              </a:solidFill>
              <a:latin typeface="+mn-lt"/>
              <a:ea typeface="+mn-ea"/>
              <a:cs typeface="+mn-cs"/>
            </a:rPr>
            <a:t>Since the "local share" is directly related to the availability of local businesses and services and their ability to meet the construction and annual operating demands</a:t>
          </a:r>
          <a:r>
            <a:rPr lang="en-US" b="1">
              <a:solidFill>
                <a:srgbClr val="002060"/>
              </a:solidFill>
            </a:rPr>
            <a:t> </a:t>
          </a:r>
          <a:r>
            <a:rPr lang="en-US" sz="1100" b="1" i="0" u="none" strike="noStrike">
              <a:solidFill>
                <a:srgbClr val="002060"/>
              </a:solidFill>
              <a:latin typeface="+mn-lt"/>
              <a:ea typeface="+mn-ea"/>
              <a:cs typeface="+mn-cs"/>
            </a:rPr>
            <a:t>of the project, it is important to have an accurate picture of these local resources.  This can be obtained in a number of ways: contacting experienced and knowlegeable </a:t>
          </a:r>
          <a:r>
            <a:rPr lang="en-US" b="1">
              <a:solidFill>
                <a:srgbClr val="002060"/>
              </a:solidFill>
            </a:rPr>
            <a:t> </a:t>
          </a:r>
          <a:r>
            <a:rPr lang="en-US" sz="1100" b="1" i="0" u="none" strike="noStrike">
              <a:solidFill>
                <a:srgbClr val="002060"/>
              </a:solidFill>
              <a:latin typeface="+mn-lt"/>
              <a:ea typeface="+mn-ea"/>
              <a:cs typeface="+mn-cs"/>
            </a:rPr>
            <a:t>persons in the area, contacting local business and contractor organizations and/or the local chamber of commerce, among others.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property tax estimates as accurate as possible, where can I get information to modify the tax rates in the ProjectData worksheet</a:t>
          </a:r>
          <a:r>
            <a:rPr lang="en-US"/>
            <a:t> </a:t>
          </a:r>
          <a:r>
            <a:rPr lang="en-US" sz="1100" b="1" i="1" u="none" strike="noStrike">
              <a:solidFill>
                <a:schemeClr val="dk1"/>
              </a:solidFill>
              <a:latin typeface="+mn-lt"/>
              <a:ea typeface="+mn-ea"/>
              <a:cs typeface="+mn-cs"/>
            </a:rPr>
            <a:t>for my state or county?</a:t>
          </a:r>
          <a:r>
            <a:rPr lang="en-US"/>
            <a:t> </a:t>
          </a:r>
          <a:r>
            <a:rPr lang="en-US" sz="1100" b="1" i="0" u="none" strike="noStrike">
              <a:solidFill>
                <a:srgbClr val="002060"/>
              </a:solidFill>
              <a:latin typeface="+mn-lt"/>
              <a:ea typeface="+mn-ea"/>
              <a:cs typeface="+mn-cs"/>
            </a:rPr>
            <a:t>Calculating annual property taxes is different in every state and typically a complex formula.  The default methodology used in the model incorporates a generic formula</a:t>
          </a:r>
          <a:r>
            <a:rPr lang="en-US" b="1">
              <a:solidFill>
                <a:srgbClr val="002060"/>
              </a:solidFill>
            </a:rPr>
            <a:t> </a:t>
          </a:r>
          <a:r>
            <a:rPr lang="en-US" sz="1100" b="1" i="0" u="none" strike="noStrike">
              <a:solidFill>
                <a:srgbClr val="002060"/>
              </a:solidFill>
              <a:latin typeface="+mn-lt"/>
              <a:ea typeface="+mn-ea"/>
              <a:cs typeface="+mn-cs"/>
            </a:rPr>
            <a:t> that derives the taxes from the product of the assessed value (percentage of construction cost), the taxable value (percentage of assessed value) and the tax rate </a:t>
          </a:r>
          <a:r>
            <a:rPr lang="en-US" b="1">
              <a:solidFill>
                <a:srgbClr val="002060"/>
              </a:solidFill>
            </a:rPr>
            <a:t> </a:t>
          </a:r>
          <a:r>
            <a:rPr lang="en-US" sz="1100" b="1" i="0" u="none" strike="noStrike">
              <a:solidFill>
                <a:srgbClr val="002060"/>
              </a:solidFill>
              <a:latin typeface="+mn-lt"/>
              <a:ea typeface="+mn-ea"/>
              <a:cs typeface="+mn-cs"/>
            </a:rPr>
            <a:t>(percentage of taxable value).  Alternately, users may input a know tax payment.  Information on tax rates and formulas for calculating property taxes can often be found</a:t>
          </a:r>
          <a:r>
            <a:rPr lang="en-US" b="1">
              <a:solidFill>
                <a:srgbClr val="002060"/>
              </a:solidFill>
            </a:rPr>
            <a:t> </a:t>
          </a:r>
          <a:r>
            <a:rPr lang="en-US" sz="1100" b="1" i="0" u="none" strike="noStrike">
              <a:solidFill>
                <a:srgbClr val="002060"/>
              </a:solidFill>
              <a:latin typeface="+mn-lt"/>
              <a:ea typeface="+mn-ea"/>
              <a:cs typeface="+mn-cs"/>
            </a:rPr>
            <a:t>by contacting the state Dept. of Revenue or Taxation, or the local taxation authority.</a:t>
          </a:r>
          <a:r>
            <a:rPr lang="en-US" b="1">
              <a:solidFill>
                <a:srgbClr val="002060"/>
              </a:solidFill>
            </a:rPr>
            <a:t> </a:t>
          </a:r>
          <a:r>
            <a:rPr lang="en-US" sz="1100" b="1" i="1"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am interested in viewing and possibly editting internal formulas within the model, how do I access them?  </a:t>
          </a:r>
          <a:r>
            <a:rPr lang="en-US"/>
            <a:t> </a:t>
          </a:r>
        </a:p>
        <a:p>
          <a:r>
            <a:rPr lang="en-US" sz="1100" b="1" i="0" u="none" strike="noStrike">
              <a:solidFill>
                <a:srgbClr val="002060"/>
              </a:solidFill>
              <a:latin typeface="+mn-lt"/>
              <a:ea typeface="+mn-ea"/>
              <a:cs typeface="+mn-cs"/>
            </a:rPr>
            <a:t>The JEDI model contains numerous intermediate worksheets that are an integral part of the model analysis. These worksheets are not designed to be changed by users.</a:t>
          </a:r>
          <a:r>
            <a:rPr lang="en-US" b="1">
              <a:solidFill>
                <a:srgbClr val="002060"/>
              </a:solidFill>
            </a:rPr>
            <a:t> </a:t>
          </a:r>
          <a:r>
            <a:rPr lang="en-US" sz="1100" b="1" i="0" u="none" strike="noStrike">
              <a:solidFill>
                <a:srgbClr val="002060"/>
              </a:solidFill>
              <a:latin typeface="+mn-lt"/>
              <a:ea typeface="+mn-ea"/>
              <a:cs typeface="+mn-cs"/>
            </a:rPr>
            <a:t>Most of these worksheets</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may be viewed by merely clicking on the respective worksheet and scrolling to the right.</a:t>
          </a:r>
          <a:r>
            <a:rPr lang="en-US" b="1">
              <a:solidFill>
                <a:srgbClr val="002060"/>
              </a:solidFill>
            </a:rPr>
            <a:t> </a:t>
          </a:r>
          <a:r>
            <a:rPr lang="en-US" sz="1100" b="1" i="0" u="none" strike="noStrike">
              <a:solidFill>
                <a:srgbClr val="002060"/>
              </a:solidFill>
              <a:latin typeface="+mn-lt"/>
              <a:ea typeface="+mn-ea"/>
              <a:cs typeface="+mn-cs"/>
            </a:rPr>
            <a:t>Although these sheets may be viewed by users they are protected and can not be editted.  The model contains two additional hidden worksheets: multipliers and household</a:t>
          </a:r>
          <a:r>
            <a:rPr lang="en-US" b="1">
              <a:solidFill>
                <a:srgbClr val="002060"/>
              </a:solidFill>
            </a:rPr>
            <a:t> </a:t>
          </a:r>
          <a:r>
            <a:rPr lang="en-US" sz="1100" b="1" i="0" u="none" strike="noStrike">
              <a:solidFill>
                <a:srgbClr val="002060"/>
              </a:solidFill>
              <a:latin typeface="+mn-lt"/>
              <a:ea typeface="+mn-ea"/>
              <a:cs typeface="+mn-cs"/>
            </a:rPr>
            <a:t>expenditures.  These worksheets are hidden to protect proprietary data derived from IMPLAN (Minnesota Implan Group).</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noticed defined regions in the list of geographic locations to analyze, which states are included in each region?  </a:t>
          </a:r>
          <a:r>
            <a:rPr lang="en-US"/>
            <a:t> </a:t>
          </a:r>
        </a:p>
        <a:p>
          <a:r>
            <a:rPr lang="en-US" sz="1100" b="1" i="0" u="none" strike="noStrike">
              <a:solidFill>
                <a:srgbClr val="002060"/>
              </a:solidFill>
              <a:latin typeface="+mn-lt"/>
              <a:ea typeface="+mn-ea"/>
              <a:cs typeface="+mn-cs"/>
            </a:rPr>
            <a:t>Region 1 includes Connecticut, Maine, Massachusetts, New Hampshire, New York, Rhode Island, and Vermont.</a:t>
          </a:r>
          <a:r>
            <a:rPr lang="en-US" b="1">
              <a:solidFill>
                <a:srgbClr val="002060"/>
              </a:solidFill>
            </a:rPr>
            <a:t> </a:t>
          </a:r>
        </a:p>
        <a:p>
          <a:r>
            <a:rPr lang="en-US" sz="1100" b="1" i="0" u="none" strike="noStrike">
              <a:solidFill>
                <a:srgbClr val="002060"/>
              </a:solidFill>
              <a:latin typeface="+mn-lt"/>
              <a:ea typeface="+mn-ea"/>
              <a:cs typeface="+mn-cs"/>
            </a:rPr>
            <a:t>Region 2 includes Delaware, New Jersey, Pennsylvania, and West Virginia.</a:t>
          </a:r>
          <a:r>
            <a:rPr lang="en-US" b="1">
              <a:solidFill>
                <a:srgbClr val="002060"/>
              </a:solidFill>
            </a:rPr>
            <a:t> </a:t>
          </a:r>
        </a:p>
        <a:p>
          <a:r>
            <a:rPr lang="en-US" sz="1100" b="1" i="0" u="none" strike="noStrike">
              <a:solidFill>
                <a:srgbClr val="002060"/>
              </a:solidFill>
              <a:latin typeface="+mn-lt"/>
              <a:ea typeface="+mn-ea"/>
              <a:cs typeface="+mn-cs"/>
            </a:rPr>
            <a:t>Region 3 includes District of Columbia, Maryland, North Carolina, South Carolina, and Virginia.</a:t>
          </a:r>
          <a:r>
            <a:rPr lang="en-US" b="1">
              <a:solidFill>
                <a:srgbClr val="002060"/>
              </a:solidFill>
            </a:rPr>
            <a:t> </a:t>
          </a:r>
        </a:p>
        <a:p>
          <a:r>
            <a:rPr lang="en-US" sz="1100" b="1" i="0" u="none" strike="noStrike">
              <a:solidFill>
                <a:srgbClr val="002060"/>
              </a:solidFill>
              <a:latin typeface="+mn-lt"/>
              <a:ea typeface="+mn-ea"/>
              <a:cs typeface="+mn-cs"/>
            </a:rPr>
            <a:t>Region 4 includes Alabama, Florida, Georgia, Kentucky, Mississippi, and Tennessee.</a:t>
          </a:r>
          <a:r>
            <a:rPr lang="en-US" b="1">
              <a:solidFill>
                <a:srgbClr val="002060"/>
              </a:solidFill>
            </a:rPr>
            <a:t> </a:t>
          </a:r>
        </a:p>
        <a:p>
          <a:r>
            <a:rPr lang="en-US" sz="1100" b="1" i="0" u="none" strike="noStrike">
              <a:solidFill>
                <a:srgbClr val="002060"/>
              </a:solidFill>
              <a:latin typeface="+mn-lt"/>
              <a:ea typeface="+mn-ea"/>
              <a:cs typeface="+mn-cs"/>
            </a:rPr>
            <a:t>Region 5 includes Illinois, Indiana, Iowa, Michigan, Minnesota, Ohio, and Wisconsin.</a:t>
          </a:r>
          <a:r>
            <a:rPr lang="en-US" b="1">
              <a:solidFill>
                <a:srgbClr val="002060"/>
              </a:solidFill>
            </a:rPr>
            <a:t> </a:t>
          </a:r>
        </a:p>
        <a:p>
          <a:r>
            <a:rPr lang="en-US" sz="1100" b="1" i="0" u="none" strike="noStrike">
              <a:solidFill>
                <a:srgbClr val="002060"/>
              </a:solidFill>
              <a:latin typeface="+mn-lt"/>
              <a:ea typeface="+mn-ea"/>
              <a:cs typeface="+mn-cs"/>
            </a:rPr>
            <a:t>Region 6 includes Arkansas, Louisiana, Missouri, New Mexico, Oklahoma, and Texas.</a:t>
          </a:r>
          <a:r>
            <a:rPr lang="en-US" b="1">
              <a:solidFill>
                <a:srgbClr val="002060"/>
              </a:solidFill>
            </a:rPr>
            <a:t> </a:t>
          </a:r>
        </a:p>
        <a:p>
          <a:r>
            <a:rPr lang="en-US" sz="1100" b="1" i="0" u="none" strike="noStrike">
              <a:solidFill>
                <a:srgbClr val="002060"/>
              </a:solidFill>
              <a:latin typeface="+mn-lt"/>
              <a:ea typeface="+mn-ea"/>
              <a:cs typeface="+mn-cs"/>
            </a:rPr>
            <a:t>Region 7 includes Alaska, Arizona, Colorado, Idaho, Kansas, Montana, Nebraska, Nevada, North Dakota, Oregon, South Dakota, Utah, Washington, and Wyoming.</a:t>
          </a:r>
          <a:r>
            <a:rPr lang="en-US" b="1">
              <a:solidFill>
                <a:srgbClr val="002060"/>
              </a:solidFill>
            </a:rPr>
            <a:t> </a:t>
          </a:r>
        </a:p>
        <a:p>
          <a:r>
            <a:rPr lang="en-US" sz="1100" b="1" i="0" u="none" strike="noStrike">
              <a:solidFill>
                <a:srgbClr val="002060"/>
              </a:solidFill>
              <a:latin typeface="+mn-lt"/>
              <a:ea typeface="+mn-ea"/>
              <a:cs typeface="+mn-cs"/>
            </a:rPr>
            <a:t>Region 8 includes California and Hawaii.</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system costs?  </a:t>
          </a:r>
          <a:r>
            <a:rPr lang="en-US"/>
            <a:t> </a:t>
          </a:r>
        </a:p>
        <a:p>
          <a:r>
            <a:rPr lang="en-US" sz="1100" b="1" i="0" u="none" strike="noStrike">
              <a:solidFill>
                <a:srgbClr val="002060"/>
              </a:solidFill>
              <a:latin typeface="+mn-lt"/>
              <a:ea typeface="+mn-ea"/>
              <a:cs typeface="+mn-cs"/>
            </a:rPr>
            <a:t>Default values for total installation costs for 2010 are based on analysis of program data from Barbose, G., Darghouth, N., Wiser, R, and Seel, J. 2011. </a:t>
          </a:r>
          <a:r>
            <a:rPr lang="en-US" sz="1100" b="1" i="1" u="none" strike="noStrike">
              <a:solidFill>
                <a:srgbClr val="002060"/>
              </a:solidFill>
              <a:latin typeface="+mn-lt"/>
              <a:ea typeface="+mn-ea"/>
              <a:cs typeface="+mn-cs"/>
            </a:rPr>
            <a:t>Tracking the Sun IV: The Installed Cost of </a:t>
          </a:r>
          <a:r>
            <a:rPr lang="en-US" b="1">
              <a:solidFill>
                <a:srgbClr val="002060"/>
              </a:solidFill>
            </a:rPr>
            <a:t> </a:t>
          </a:r>
          <a:r>
            <a:rPr lang="en-US" sz="1100" b="1" i="1" u="none" strike="noStrike">
              <a:solidFill>
                <a:srgbClr val="002060"/>
              </a:solidFill>
              <a:latin typeface="+mn-lt"/>
              <a:ea typeface="+mn-ea"/>
              <a:cs typeface="+mn-cs"/>
            </a:rPr>
            <a:t>Photovoltaics in the U.S. from 1998-2010</a:t>
          </a:r>
          <a:r>
            <a:rPr lang="en-US" sz="1100" b="1" i="0" u="none" strike="noStrike">
              <a:solidFill>
                <a:srgbClr val="002060"/>
              </a:solidFill>
              <a:latin typeface="+mn-lt"/>
              <a:ea typeface="+mn-ea"/>
              <a:cs typeface="+mn-cs"/>
            </a:rPr>
            <a:t>. Berkeley, CA: Lawrence Berkeley National Laboratory, provided in May 2011 (prior to the report being published). </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Detailed cost data for modules, inverters, and balance of system hardware</a:t>
          </a:r>
          <a:r>
            <a:rPr lang="en-US" sz="1100" b="1" i="0" u="none" strike="noStrike" baseline="0">
              <a:solidFill>
                <a:srgbClr val="002060"/>
              </a:solidFill>
              <a:latin typeface="+mn-lt"/>
              <a:ea typeface="+mn-ea"/>
              <a:cs typeface="+mn-cs"/>
            </a:rPr>
            <a:t> and </a:t>
          </a:r>
          <a:r>
            <a:rPr lang="en-US" sz="1100" b="1" i="0" u="none" strike="noStrike">
              <a:solidFill>
                <a:srgbClr val="002060"/>
              </a:solidFill>
              <a:latin typeface="+mn-lt"/>
              <a:ea typeface="+mn-ea"/>
              <a:cs typeface="+mn-cs"/>
            </a:rPr>
            <a:t>O&amp;M cost data is derived from data provided by John Bartlett, U.S. Dept. of Energy, Sept. 2010. Additonal system cost data is based on analysis of proprietary data provided by project installers.  In those </a:t>
          </a:r>
          <a:r>
            <a:rPr lang="en-US" b="1">
              <a:solidFill>
                <a:srgbClr val="002060"/>
              </a:solidFill>
            </a:rPr>
            <a:t> </a:t>
          </a:r>
          <a:r>
            <a:rPr lang="en-US" sz="1100" b="1" i="0" u="none" strike="noStrike">
              <a:solidFill>
                <a:srgbClr val="002060"/>
              </a:solidFill>
              <a:latin typeface="+mn-lt"/>
              <a:ea typeface="+mn-ea"/>
              <a:cs typeface="+mn-cs"/>
            </a:rPr>
            <a:t>instances where data from the sources was not an exact match for the system parameters we utilized the best available information to derive appropriate values.</a:t>
          </a:r>
          <a:r>
            <a:rPr lang="en-US" sz="1100" b="1" i="0" u="none" strike="noStrike" baseline="0">
              <a:solidFill>
                <a:srgbClr val="002060"/>
              </a:solidFill>
              <a:latin typeface="+mn-lt"/>
              <a:ea typeface="+mn-ea"/>
              <a:cs typeface="+mn-cs"/>
            </a:rPr>
            <a:t> W</a:t>
          </a:r>
          <a:r>
            <a:rPr lang="en-US" sz="1100" b="1" i="0" u="none" strike="noStrike">
              <a:solidFill>
                <a:srgbClr val="002060"/>
              </a:solidFill>
              <a:latin typeface="+mn-lt"/>
              <a:ea typeface="+mn-ea"/>
              <a:cs typeface="+mn-cs"/>
            </a:rPr>
            <a:t>here the only cost data available was from a limited number of projects (less than 30), the values were either excluded, or when appropriate </a:t>
          </a:r>
          <a:r>
            <a:rPr lang="en-US" b="1">
              <a:solidFill>
                <a:srgbClr val="002060"/>
              </a:solidFill>
            </a:rPr>
            <a:t> </a:t>
          </a:r>
          <a:r>
            <a:rPr lang="en-US" sz="1100" b="1" i="0" u="none" strike="noStrike">
              <a:solidFill>
                <a:srgbClr val="002060"/>
              </a:solidFill>
              <a:latin typeface="+mn-lt"/>
              <a:ea typeface="+mn-ea"/>
              <a:cs typeface="+mn-cs"/>
            </a:rPr>
            <a:t>included with other data to derive average values.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hourly wage and employer overhead rates?  </a:t>
          </a:r>
          <a:r>
            <a:rPr lang="en-US"/>
            <a:t> </a:t>
          </a:r>
        </a:p>
        <a:p>
          <a:r>
            <a:rPr lang="en-US" sz="1100" b="1" i="0" u="none" strike="noStrike">
              <a:solidFill>
                <a:srgbClr val="002060"/>
              </a:solidFill>
              <a:latin typeface="+mn-lt"/>
              <a:ea typeface="+mn-ea"/>
              <a:cs typeface="+mn-cs"/>
            </a:rPr>
            <a:t>Default hourly wage and overhead rates for installation and O&amp;M are based on analysis of the most current data available from the U.S. Dept. of Labor, Bureau of Labor</a:t>
          </a:r>
          <a:r>
            <a:rPr lang="en-US" b="1">
              <a:solidFill>
                <a:srgbClr val="002060"/>
              </a:solidFill>
            </a:rPr>
            <a:t> </a:t>
          </a:r>
          <a:r>
            <a:rPr lang="en-US" sz="1100" b="1" i="0" u="none" strike="noStrike">
              <a:solidFill>
                <a:srgbClr val="002060"/>
              </a:solidFill>
              <a:latin typeface="+mn-lt"/>
              <a:ea typeface="+mn-ea"/>
              <a:cs typeface="+mn-cs"/>
            </a:rPr>
            <a:t>Statistics,  Employer Costs for Employee Compensation, for 2010. The mean hourly rate for Installation, Maintenance, and Repair Occupations was used. </a:t>
          </a:r>
          <a:r>
            <a:rPr lang="en-US" b="1">
              <a:solidFill>
                <a:srgbClr val="002060"/>
              </a:solidFill>
            </a:rPr>
            <a:t> </a:t>
          </a:r>
          <a:r>
            <a:rPr lang="en-US" sz="1100" b="1" i="0" u="none" strike="noStrike">
              <a:solidFill>
                <a:srgbClr val="002060"/>
              </a:solidFill>
              <a:latin typeface="+mn-lt"/>
              <a:ea typeface="+mn-ea"/>
              <a:cs typeface="+mn-cs"/>
            </a:rPr>
            <a:t> The occupations in this sector are not specific to the solar installation industry however, they include workers involved in these type of installations or ongoing </a:t>
          </a:r>
          <a:r>
            <a:rPr lang="en-US" b="1">
              <a:solidFill>
                <a:srgbClr val="002060"/>
              </a:solidFill>
            </a:rPr>
            <a:t> </a:t>
          </a:r>
          <a:r>
            <a:rPr lang="en-US" sz="1100" b="1" i="0" u="none" strike="noStrike">
              <a:solidFill>
                <a:srgbClr val="002060"/>
              </a:solidFill>
              <a:latin typeface="+mn-lt"/>
              <a:ea typeface="+mn-ea"/>
              <a:cs typeface="+mn-cs"/>
            </a:rPr>
            <a:t>maintenance of systems.  See http://data.bls.gov/pdq/SurveyOutputServlet;jsessionid=51E8D1D27F680C84E1DFABC68EC41815.tc_instance4. </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additional technical support available?</a:t>
          </a:r>
          <a:r>
            <a:rPr lang="en-US"/>
            <a:t> </a:t>
          </a:r>
        </a:p>
        <a:p>
          <a:r>
            <a:rPr lang="en-US" sz="1100" b="1" i="0" u="none" strike="noStrike">
              <a:solidFill>
                <a:srgbClr val="002060"/>
              </a:solidFill>
              <a:latin typeface="+mn-lt"/>
              <a:ea typeface="+mn-ea"/>
              <a:cs typeface="+mn-cs"/>
            </a:rPr>
            <a:t>Yes, technical support is available by contacting Barry Friedman, program technical monitor at the National Renewable Energy Laboratory.  He can be reached </a:t>
          </a:r>
          <a:r>
            <a:rPr lang="en-US" b="1">
              <a:solidFill>
                <a:srgbClr val="002060"/>
              </a:solidFill>
            </a:rPr>
            <a:t> </a:t>
          </a:r>
          <a:r>
            <a:rPr lang="en-US" sz="1100" b="1" i="0" u="none" strike="noStrike">
              <a:solidFill>
                <a:srgbClr val="002060"/>
              </a:solidFill>
              <a:latin typeface="+mn-lt"/>
              <a:ea typeface="+mn-ea"/>
              <a:cs typeface="+mn-cs"/>
            </a:rPr>
            <a:t>at 303-384-7427 or by email at barry.friedman@nrel.gov.</a:t>
          </a:r>
          <a:r>
            <a:rPr lang="en-US" b="1">
              <a:solidFill>
                <a:srgbClr val="002060"/>
              </a:solidFill>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96"/>
  <sheetViews>
    <sheetView topLeftCell="A77" workbookViewId="0">
      <selection activeCell="A95" sqref="A95:A96"/>
    </sheetView>
  </sheetViews>
  <sheetFormatPr defaultRowHeight="12.75" x14ac:dyDescent="0.2"/>
  <sheetData>
    <row r="1" spans="1:2" x14ac:dyDescent="0.2">
      <c r="B1" s="1" t="s">
        <v>464</v>
      </c>
    </row>
    <row r="2" spans="1:2" x14ac:dyDescent="0.2">
      <c r="B2" s="1"/>
    </row>
    <row r="3" spans="1:2" x14ac:dyDescent="0.2">
      <c r="A3" s="10">
        <v>1</v>
      </c>
      <c r="B3" s="13" t="s">
        <v>465</v>
      </c>
    </row>
    <row r="4" spans="1:2" x14ac:dyDescent="0.2">
      <c r="A4" s="10">
        <f>A3+1</f>
        <v>2</v>
      </c>
      <c r="B4" s="13" t="s">
        <v>466</v>
      </c>
    </row>
    <row r="5" spans="1:2" x14ac:dyDescent="0.2">
      <c r="A5" s="10">
        <f t="shared" ref="A5:A27" si="0">A4+1</f>
        <v>3</v>
      </c>
      <c r="B5" s="13" t="s">
        <v>467</v>
      </c>
    </row>
    <row r="6" spans="1:2" x14ac:dyDescent="0.2">
      <c r="A6" s="10">
        <f t="shared" si="0"/>
        <v>4</v>
      </c>
      <c r="B6" s="13" t="s">
        <v>472</v>
      </c>
    </row>
    <row r="7" spans="1:2" x14ac:dyDescent="0.2">
      <c r="A7" s="10">
        <f t="shared" si="0"/>
        <v>5</v>
      </c>
      <c r="B7" s="13" t="s">
        <v>471</v>
      </c>
    </row>
    <row r="8" spans="1:2" x14ac:dyDescent="0.2">
      <c r="A8" s="10">
        <f t="shared" si="0"/>
        <v>6</v>
      </c>
      <c r="B8" s="13" t="s">
        <v>462</v>
      </c>
    </row>
    <row r="9" spans="1:2" x14ac:dyDescent="0.2">
      <c r="A9" s="10">
        <f t="shared" si="0"/>
        <v>7</v>
      </c>
      <c r="B9" s="13" t="s">
        <v>463</v>
      </c>
    </row>
    <row r="10" spans="1:2" x14ac:dyDescent="0.2">
      <c r="A10" s="10">
        <f t="shared" si="0"/>
        <v>8</v>
      </c>
      <c r="B10" s="13" t="s">
        <v>468</v>
      </c>
    </row>
    <row r="11" spans="1:2" x14ac:dyDescent="0.2">
      <c r="A11" s="10">
        <f t="shared" si="0"/>
        <v>9</v>
      </c>
      <c r="B11" s="13" t="s">
        <v>469</v>
      </c>
    </row>
    <row r="12" spans="1:2" x14ac:dyDescent="0.2">
      <c r="A12" s="10">
        <f t="shared" si="0"/>
        <v>10</v>
      </c>
      <c r="B12" s="13" t="s">
        <v>470</v>
      </c>
    </row>
    <row r="13" spans="1:2" x14ac:dyDescent="0.2">
      <c r="A13" s="10">
        <f t="shared" si="0"/>
        <v>11</v>
      </c>
      <c r="B13" s="13" t="s">
        <v>473</v>
      </c>
    </row>
    <row r="14" spans="1:2" x14ac:dyDescent="0.2">
      <c r="A14" s="10"/>
      <c r="B14" s="13"/>
    </row>
    <row r="15" spans="1:2" x14ac:dyDescent="0.2">
      <c r="A15" s="10"/>
      <c r="B15" s="1" t="s">
        <v>481</v>
      </c>
    </row>
    <row r="16" spans="1:2" x14ac:dyDescent="0.2">
      <c r="A16" s="10">
        <v>1</v>
      </c>
      <c r="B16" s="13" t="s">
        <v>485</v>
      </c>
    </row>
    <row r="17" spans="1:2" x14ac:dyDescent="0.2">
      <c r="A17" s="10">
        <f t="shared" si="0"/>
        <v>2</v>
      </c>
      <c r="B17" t="s">
        <v>474</v>
      </c>
    </row>
    <row r="18" spans="1:2" x14ac:dyDescent="0.2">
      <c r="A18" s="10">
        <f t="shared" si="0"/>
        <v>3</v>
      </c>
      <c r="B18" t="s">
        <v>475</v>
      </c>
    </row>
    <row r="19" spans="1:2" x14ac:dyDescent="0.2">
      <c r="A19" s="10">
        <f t="shared" si="0"/>
        <v>4</v>
      </c>
      <c r="B19" t="s">
        <v>480</v>
      </c>
    </row>
    <row r="20" spans="1:2" x14ac:dyDescent="0.2">
      <c r="A20" s="10">
        <f t="shared" si="0"/>
        <v>5</v>
      </c>
      <c r="B20" t="s">
        <v>476</v>
      </c>
    </row>
    <row r="21" spans="1:2" x14ac:dyDescent="0.2">
      <c r="A21" s="10">
        <f t="shared" si="0"/>
        <v>6</v>
      </c>
      <c r="B21" t="s">
        <v>477</v>
      </c>
    </row>
    <row r="22" spans="1:2" x14ac:dyDescent="0.2">
      <c r="A22" s="10">
        <f t="shared" si="0"/>
        <v>7</v>
      </c>
      <c r="B22" t="s">
        <v>478</v>
      </c>
    </row>
    <row r="23" spans="1:2" x14ac:dyDescent="0.2">
      <c r="A23" s="10">
        <f t="shared" si="0"/>
        <v>8</v>
      </c>
      <c r="B23" t="s">
        <v>479</v>
      </c>
    </row>
    <row r="24" spans="1:2" x14ac:dyDescent="0.2">
      <c r="A24" s="10">
        <f t="shared" si="0"/>
        <v>9</v>
      </c>
      <c r="B24" t="s">
        <v>482</v>
      </c>
    </row>
    <row r="25" spans="1:2" x14ac:dyDescent="0.2">
      <c r="A25" s="10">
        <f t="shared" si="0"/>
        <v>10</v>
      </c>
      <c r="B25" t="s">
        <v>483</v>
      </c>
    </row>
    <row r="26" spans="1:2" x14ac:dyDescent="0.2">
      <c r="A26" s="10">
        <f t="shared" si="0"/>
        <v>11</v>
      </c>
      <c r="B26" t="s">
        <v>484</v>
      </c>
    </row>
    <row r="27" spans="1:2" x14ac:dyDescent="0.2">
      <c r="A27" s="10">
        <f t="shared" si="0"/>
        <v>12</v>
      </c>
      <c r="B27" s="13" t="s">
        <v>486</v>
      </c>
    </row>
    <row r="28" spans="1:2" x14ac:dyDescent="0.2">
      <c r="A28" s="10"/>
    </row>
    <row r="29" spans="1:2" x14ac:dyDescent="0.2">
      <c r="A29" s="10"/>
      <c r="B29" s="1" t="s">
        <v>487</v>
      </c>
    </row>
    <row r="30" spans="1:2" x14ac:dyDescent="0.2">
      <c r="A30" s="10">
        <v>1</v>
      </c>
      <c r="B30" t="s">
        <v>488</v>
      </c>
    </row>
    <row r="31" spans="1:2" x14ac:dyDescent="0.2">
      <c r="A31" s="10">
        <f t="shared" ref="A31:A37" si="1">A30+1</f>
        <v>2</v>
      </c>
      <c r="B31" s="13" t="s">
        <v>503</v>
      </c>
    </row>
    <row r="32" spans="1:2" x14ac:dyDescent="0.2">
      <c r="A32" s="10">
        <f t="shared" si="1"/>
        <v>3</v>
      </c>
      <c r="B32" s="13" t="s">
        <v>489</v>
      </c>
    </row>
    <row r="33" spans="1:2" x14ac:dyDescent="0.2">
      <c r="A33" s="10">
        <f t="shared" si="1"/>
        <v>4</v>
      </c>
      <c r="B33" s="13" t="s">
        <v>490</v>
      </c>
    </row>
    <row r="34" spans="1:2" x14ac:dyDescent="0.2">
      <c r="A34" s="10">
        <f t="shared" si="1"/>
        <v>5</v>
      </c>
      <c r="B34" s="13" t="s">
        <v>499</v>
      </c>
    </row>
    <row r="35" spans="1:2" x14ac:dyDescent="0.2">
      <c r="A35" s="10">
        <f t="shared" si="1"/>
        <v>6</v>
      </c>
      <c r="B35" s="13" t="s">
        <v>500</v>
      </c>
    </row>
    <row r="36" spans="1:2" x14ac:dyDescent="0.2">
      <c r="A36" s="10">
        <f t="shared" si="1"/>
        <v>7</v>
      </c>
      <c r="B36" s="13" t="s">
        <v>501</v>
      </c>
    </row>
    <row r="37" spans="1:2" x14ac:dyDescent="0.2">
      <c r="A37" s="10">
        <f t="shared" si="1"/>
        <v>8</v>
      </c>
      <c r="B37" s="13" t="s">
        <v>504</v>
      </c>
    </row>
    <row r="39" spans="1:2" x14ac:dyDescent="0.2">
      <c r="B39" s="1" t="s">
        <v>506</v>
      </c>
    </row>
    <row r="40" spans="1:2" x14ac:dyDescent="0.2">
      <c r="A40" s="10">
        <v>1</v>
      </c>
      <c r="B40" s="459" t="s">
        <v>507</v>
      </c>
    </row>
    <row r="41" spans="1:2" x14ac:dyDescent="0.2">
      <c r="A41" s="10">
        <f t="shared" ref="A41:A51" si="2">A40+1</f>
        <v>2</v>
      </c>
      <c r="B41" s="459" t="s">
        <v>508</v>
      </c>
    </row>
    <row r="42" spans="1:2" x14ac:dyDescent="0.2">
      <c r="A42" s="10">
        <f t="shared" si="2"/>
        <v>3</v>
      </c>
      <c r="B42" s="459" t="s">
        <v>509</v>
      </c>
    </row>
    <row r="43" spans="1:2" x14ac:dyDescent="0.2">
      <c r="A43" s="10">
        <f t="shared" si="2"/>
        <v>4</v>
      </c>
      <c r="B43" s="459" t="s">
        <v>511</v>
      </c>
    </row>
    <row r="44" spans="1:2" x14ac:dyDescent="0.2">
      <c r="A44" s="10">
        <f t="shared" si="2"/>
        <v>5</v>
      </c>
      <c r="B44" s="459" t="s">
        <v>510</v>
      </c>
    </row>
    <row r="45" spans="1:2" x14ac:dyDescent="0.2">
      <c r="A45" s="10">
        <f t="shared" si="2"/>
        <v>6</v>
      </c>
      <c r="B45" s="459" t="s">
        <v>512</v>
      </c>
    </row>
    <row r="46" spans="1:2" x14ac:dyDescent="0.2">
      <c r="A46" s="10">
        <f t="shared" si="2"/>
        <v>7</v>
      </c>
      <c r="B46" s="459" t="s">
        <v>516</v>
      </c>
    </row>
    <row r="47" spans="1:2" x14ac:dyDescent="0.2">
      <c r="A47" s="10">
        <f t="shared" si="2"/>
        <v>8</v>
      </c>
      <c r="B47" s="459" t="s">
        <v>513</v>
      </c>
    </row>
    <row r="48" spans="1:2" x14ac:dyDescent="0.2">
      <c r="A48" s="10">
        <f t="shared" si="2"/>
        <v>9</v>
      </c>
      <c r="B48" s="459" t="s">
        <v>514</v>
      </c>
    </row>
    <row r="49" spans="1:2" x14ac:dyDescent="0.2">
      <c r="A49" s="10">
        <f t="shared" si="2"/>
        <v>10</v>
      </c>
      <c r="B49" s="459" t="s">
        <v>515</v>
      </c>
    </row>
    <row r="50" spans="1:2" x14ac:dyDescent="0.2">
      <c r="A50" s="10">
        <f t="shared" si="2"/>
        <v>11</v>
      </c>
      <c r="B50" s="459" t="s">
        <v>521</v>
      </c>
    </row>
    <row r="51" spans="1:2" x14ac:dyDescent="0.2">
      <c r="A51" s="10">
        <f t="shared" si="2"/>
        <v>12</v>
      </c>
      <c r="B51" s="459" t="s">
        <v>517</v>
      </c>
    </row>
    <row r="52" spans="1:2" x14ac:dyDescent="0.2">
      <c r="A52" s="10">
        <v>13</v>
      </c>
      <c r="B52" s="459" t="s">
        <v>518</v>
      </c>
    </row>
    <row r="53" spans="1:2" x14ac:dyDescent="0.2">
      <c r="A53" s="10">
        <v>14</v>
      </c>
      <c r="B53" s="459" t="s">
        <v>519</v>
      </c>
    </row>
    <row r="54" spans="1:2" x14ac:dyDescent="0.2">
      <c r="A54" s="10">
        <v>15</v>
      </c>
      <c r="B54" s="459" t="s">
        <v>522</v>
      </c>
    </row>
    <row r="55" spans="1:2" x14ac:dyDescent="0.2">
      <c r="A55" s="10">
        <v>16</v>
      </c>
      <c r="B55" s="459" t="s">
        <v>523</v>
      </c>
    </row>
    <row r="56" spans="1:2" x14ac:dyDescent="0.2">
      <c r="A56" s="10">
        <v>17</v>
      </c>
      <c r="B56" s="459" t="s">
        <v>520</v>
      </c>
    </row>
    <row r="57" spans="1:2" x14ac:dyDescent="0.2">
      <c r="A57" s="10">
        <v>18</v>
      </c>
      <c r="B57" s="459" t="s">
        <v>524</v>
      </c>
    </row>
    <row r="59" spans="1:2" x14ac:dyDescent="0.2">
      <c r="B59" s="1" t="s">
        <v>525</v>
      </c>
    </row>
    <row r="60" spans="1:2" x14ac:dyDescent="0.2">
      <c r="A60" s="10">
        <f t="shared" ref="A60:A68" si="3">A59+1</f>
        <v>1</v>
      </c>
      <c r="B60" s="459" t="s">
        <v>526</v>
      </c>
    </row>
    <row r="61" spans="1:2" s="464" customFormat="1" x14ac:dyDescent="0.2">
      <c r="A61" s="10">
        <f t="shared" si="3"/>
        <v>2</v>
      </c>
      <c r="B61" s="459" t="s">
        <v>513</v>
      </c>
    </row>
    <row r="62" spans="1:2" x14ac:dyDescent="0.2">
      <c r="A62" s="10">
        <f t="shared" si="3"/>
        <v>3</v>
      </c>
      <c r="B62" s="459" t="s">
        <v>527</v>
      </c>
    </row>
    <row r="63" spans="1:2" x14ac:dyDescent="0.2">
      <c r="A63" s="10">
        <f t="shared" si="3"/>
        <v>4</v>
      </c>
      <c r="B63" s="459" t="s">
        <v>532</v>
      </c>
    </row>
    <row r="64" spans="1:2" x14ac:dyDescent="0.2">
      <c r="A64" s="10">
        <f t="shared" si="3"/>
        <v>5</v>
      </c>
      <c r="B64" s="459" t="s">
        <v>529</v>
      </c>
    </row>
    <row r="65" spans="1:2" x14ac:dyDescent="0.2">
      <c r="A65" s="10">
        <f t="shared" si="3"/>
        <v>6</v>
      </c>
      <c r="B65" s="459" t="s">
        <v>531</v>
      </c>
    </row>
    <row r="66" spans="1:2" x14ac:dyDescent="0.2">
      <c r="A66" s="10">
        <f t="shared" si="3"/>
        <v>7</v>
      </c>
      <c r="B66" s="459" t="s">
        <v>530</v>
      </c>
    </row>
    <row r="67" spans="1:2" x14ac:dyDescent="0.2">
      <c r="A67" s="10">
        <f t="shared" si="3"/>
        <v>8</v>
      </c>
      <c r="B67" s="459" t="s">
        <v>528</v>
      </c>
    </row>
    <row r="68" spans="1:2" x14ac:dyDescent="0.2">
      <c r="A68" s="10">
        <f t="shared" si="3"/>
        <v>9</v>
      </c>
    </row>
    <row r="70" spans="1:2" x14ac:dyDescent="0.2">
      <c r="A70" s="472"/>
      <c r="B70" s="1" t="s">
        <v>533</v>
      </c>
    </row>
    <row r="71" spans="1:2" x14ac:dyDescent="0.2">
      <c r="A71" s="10">
        <f t="shared" ref="A71:A74" si="4">A70+1</f>
        <v>1</v>
      </c>
      <c r="B71" s="459" t="s">
        <v>534</v>
      </c>
    </row>
    <row r="72" spans="1:2" x14ac:dyDescent="0.2">
      <c r="A72" s="10">
        <f t="shared" si="4"/>
        <v>2</v>
      </c>
      <c r="B72" s="459" t="s">
        <v>535</v>
      </c>
    </row>
    <row r="73" spans="1:2" x14ac:dyDescent="0.2">
      <c r="A73" s="10">
        <f t="shared" si="4"/>
        <v>3</v>
      </c>
      <c r="B73" s="459" t="s">
        <v>536</v>
      </c>
    </row>
    <row r="74" spans="1:2" x14ac:dyDescent="0.2">
      <c r="A74" s="10">
        <f t="shared" si="4"/>
        <v>4</v>
      </c>
      <c r="B74" s="459"/>
    </row>
    <row r="76" spans="1:2" x14ac:dyDescent="0.2">
      <c r="A76" s="474"/>
      <c r="B76" s="1" t="s">
        <v>537</v>
      </c>
    </row>
    <row r="77" spans="1:2" x14ac:dyDescent="0.2">
      <c r="A77" s="10">
        <f t="shared" ref="A77:A83" si="5">A76+1</f>
        <v>1</v>
      </c>
      <c r="B77" s="459" t="s">
        <v>540</v>
      </c>
    </row>
    <row r="78" spans="1:2" x14ac:dyDescent="0.2">
      <c r="A78" s="10">
        <f t="shared" si="5"/>
        <v>2</v>
      </c>
      <c r="B78" s="459" t="s">
        <v>538</v>
      </c>
    </row>
    <row r="79" spans="1:2" x14ac:dyDescent="0.2">
      <c r="A79" s="10">
        <f t="shared" si="5"/>
        <v>3</v>
      </c>
      <c r="B79" s="459" t="s">
        <v>539</v>
      </c>
    </row>
    <row r="80" spans="1:2" x14ac:dyDescent="0.2">
      <c r="A80" s="10">
        <f t="shared" si="5"/>
        <v>4</v>
      </c>
      <c r="B80" s="459" t="s">
        <v>557</v>
      </c>
    </row>
    <row r="81" spans="1:2" x14ac:dyDescent="0.2">
      <c r="A81" s="10">
        <f t="shared" si="5"/>
        <v>5</v>
      </c>
      <c r="B81" s="459" t="s">
        <v>541</v>
      </c>
    </row>
    <row r="82" spans="1:2" x14ac:dyDescent="0.2">
      <c r="A82" s="10">
        <f t="shared" si="5"/>
        <v>6</v>
      </c>
      <c r="B82" s="459" t="s">
        <v>543</v>
      </c>
    </row>
    <row r="83" spans="1:2" x14ac:dyDescent="0.2">
      <c r="A83" s="10">
        <f t="shared" si="5"/>
        <v>7</v>
      </c>
      <c r="B83" s="459" t="s">
        <v>558</v>
      </c>
    </row>
    <row r="86" spans="1:2" x14ac:dyDescent="0.2">
      <c r="B86" s="1" t="s">
        <v>559</v>
      </c>
    </row>
    <row r="87" spans="1:2" x14ac:dyDescent="0.2">
      <c r="A87" s="10">
        <f t="shared" ref="A87:A93" si="6">A86+1</f>
        <v>1</v>
      </c>
      <c r="B87" s="459" t="s">
        <v>560</v>
      </c>
    </row>
    <row r="88" spans="1:2" x14ac:dyDescent="0.2">
      <c r="A88" s="10">
        <f t="shared" si="6"/>
        <v>2</v>
      </c>
      <c r="B88" s="459" t="s">
        <v>577</v>
      </c>
    </row>
    <row r="89" spans="1:2" x14ac:dyDescent="0.2">
      <c r="A89" s="10">
        <f t="shared" si="6"/>
        <v>3</v>
      </c>
      <c r="B89" s="459" t="s">
        <v>561</v>
      </c>
    </row>
    <row r="90" spans="1:2" x14ac:dyDescent="0.2">
      <c r="A90" s="10">
        <f t="shared" si="6"/>
        <v>4</v>
      </c>
      <c r="B90" s="459" t="s">
        <v>566</v>
      </c>
    </row>
    <row r="91" spans="1:2" x14ac:dyDescent="0.2">
      <c r="A91" s="10">
        <f t="shared" si="6"/>
        <v>5</v>
      </c>
      <c r="B91" s="459" t="s">
        <v>567</v>
      </c>
    </row>
    <row r="92" spans="1:2" x14ac:dyDescent="0.2">
      <c r="A92" s="10">
        <f t="shared" si="6"/>
        <v>6</v>
      </c>
      <c r="B92" s="459" t="s">
        <v>568</v>
      </c>
    </row>
    <row r="93" spans="1:2" x14ac:dyDescent="0.2">
      <c r="A93" s="10">
        <f t="shared" si="6"/>
        <v>7</v>
      </c>
      <c r="B93" s="459" t="s">
        <v>571</v>
      </c>
    </row>
    <row r="94" spans="1:2" x14ac:dyDescent="0.2">
      <c r="A94" s="10">
        <v>8</v>
      </c>
      <c r="B94" s="459" t="s">
        <v>572</v>
      </c>
    </row>
    <row r="95" spans="1:2" x14ac:dyDescent="0.2">
      <c r="A95" s="10">
        <v>9</v>
      </c>
      <c r="B95" s="459" t="s">
        <v>578</v>
      </c>
    </row>
    <row r="96" spans="1:2" x14ac:dyDescent="0.2">
      <c r="A96" s="10">
        <v>10</v>
      </c>
      <c r="B96" s="459" t="s">
        <v>580</v>
      </c>
    </row>
  </sheetData>
  <sheetProtection password="DFD3" sheet="1" objects="1" scenarios="1"/>
  <phoneticPr fontId="0"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70"/>
  <sheetViews>
    <sheetView workbookViewId="0">
      <selection activeCell="B6" sqref="B6"/>
    </sheetView>
  </sheetViews>
  <sheetFormatPr defaultRowHeight="12.75" x14ac:dyDescent="0.2"/>
  <cols>
    <col min="1" max="1" width="175.85546875" style="488" customWidth="1"/>
  </cols>
  <sheetData>
    <row r="1" spans="1:27" x14ac:dyDescent="0.2">
      <c r="A1" s="475"/>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row>
    <row r="2" spans="1:27" ht="23.25" x14ac:dyDescent="0.35">
      <c r="A2" s="168" t="s">
        <v>264</v>
      </c>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1:27" x14ac:dyDescent="0.2">
      <c r="A3" s="193"/>
      <c r="B3" s="137"/>
      <c r="C3" s="137"/>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1:27" ht="23.25" x14ac:dyDescent="0.35">
      <c r="A4" s="168" t="s">
        <v>385</v>
      </c>
      <c r="B4" s="137"/>
      <c r="C4" s="137"/>
      <c r="D4" s="137"/>
      <c r="E4" s="137"/>
      <c r="F4" s="137"/>
      <c r="G4" s="137"/>
      <c r="H4" s="137"/>
      <c r="I4" s="137"/>
      <c r="J4" s="137"/>
      <c r="K4" s="137"/>
      <c r="L4" s="137"/>
      <c r="M4" s="137"/>
      <c r="N4" s="137"/>
      <c r="O4" s="137"/>
      <c r="P4" s="137"/>
      <c r="Q4" s="137"/>
      <c r="R4" s="137"/>
      <c r="S4" s="137"/>
      <c r="T4" s="137"/>
      <c r="U4" s="137"/>
      <c r="V4" s="137"/>
      <c r="W4" s="137"/>
      <c r="X4" s="137"/>
      <c r="Y4" s="137"/>
      <c r="Z4" s="137"/>
      <c r="AA4" s="137"/>
    </row>
    <row r="5" spans="1:27" ht="23.25" x14ac:dyDescent="0.35">
      <c r="A5" s="168"/>
      <c r="B5" s="137"/>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1:27" ht="18" x14ac:dyDescent="0.25">
      <c r="A6" s="489" t="s">
        <v>581</v>
      </c>
      <c r="B6" s="137"/>
      <c r="C6" s="137"/>
      <c r="D6" s="137"/>
      <c r="E6" s="137"/>
      <c r="F6" s="137"/>
      <c r="G6" s="137"/>
      <c r="H6" s="137"/>
      <c r="I6" s="137"/>
      <c r="J6" s="137"/>
      <c r="K6" s="137"/>
      <c r="L6" s="137"/>
      <c r="M6" s="137"/>
      <c r="N6" s="137"/>
      <c r="O6" s="137"/>
      <c r="P6" s="137"/>
      <c r="Q6" s="137"/>
      <c r="R6" s="137"/>
      <c r="S6" s="137"/>
      <c r="T6" s="137"/>
      <c r="U6" s="137"/>
      <c r="V6" s="137"/>
      <c r="W6" s="137"/>
      <c r="X6" s="137"/>
      <c r="Y6" s="137"/>
      <c r="Z6" s="137"/>
      <c r="AA6" s="137"/>
    </row>
    <row r="7" spans="1:27" ht="23.25" x14ac:dyDescent="0.35">
      <c r="A7" s="490"/>
      <c r="B7" s="137"/>
      <c r="C7" s="137"/>
      <c r="D7" s="137"/>
      <c r="E7" s="137"/>
      <c r="F7" s="137"/>
      <c r="G7" s="137"/>
      <c r="H7" s="137"/>
      <c r="I7" s="137"/>
      <c r="J7" s="137"/>
      <c r="K7" s="137"/>
      <c r="L7" s="137"/>
      <c r="M7" s="137"/>
      <c r="N7" s="137"/>
      <c r="O7" s="137"/>
      <c r="P7" s="137"/>
      <c r="Q7" s="137"/>
      <c r="R7" s="137"/>
      <c r="S7" s="137"/>
      <c r="T7" s="137"/>
      <c r="U7" s="137"/>
      <c r="V7" s="137"/>
      <c r="W7" s="137"/>
      <c r="X7" s="137"/>
      <c r="Y7" s="137"/>
      <c r="Z7" s="137"/>
      <c r="AA7" s="137"/>
    </row>
    <row r="8" spans="1:27" x14ac:dyDescent="0.2">
      <c r="A8" s="475"/>
    </row>
    <row r="9" spans="1:27" x14ac:dyDescent="0.2">
      <c r="A9" s="475"/>
    </row>
    <row r="10" spans="1:27" x14ac:dyDescent="0.2">
      <c r="A10" s="475"/>
    </row>
    <row r="11" spans="1:27" x14ac:dyDescent="0.2">
      <c r="A11" s="475"/>
    </row>
    <row r="12" spans="1:27" x14ac:dyDescent="0.2">
      <c r="A12" s="475"/>
    </row>
    <row r="13" spans="1:27" x14ac:dyDescent="0.2">
      <c r="A13" s="475"/>
    </row>
    <row r="14" spans="1:27" x14ac:dyDescent="0.2">
      <c r="A14" s="475"/>
    </row>
    <row r="15" spans="1:27" x14ac:dyDescent="0.2">
      <c r="A15" s="475"/>
    </row>
    <row r="16" spans="1:27" x14ac:dyDescent="0.2">
      <c r="A16" s="475"/>
    </row>
    <row r="17" spans="1:1" x14ac:dyDescent="0.2">
      <c r="A17" s="475"/>
    </row>
    <row r="18" spans="1:1" x14ac:dyDescent="0.2">
      <c r="A18" s="475"/>
    </row>
    <row r="19" spans="1:1" x14ac:dyDescent="0.2">
      <c r="A19" s="475"/>
    </row>
    <row r="20" spans="1:1" x14ac:dyDescent="0.2">
      <c r="A20" s="475"/>
    </row>
    <row r="21" spans="1:1" x14ac:dyDescent="0.2">
      <c r="A21" s="475"/>
    </row>
    <row r="22" spans="1:1" x14ac:dyDescent="0.2">
      <c r="A22" s="475"/>
    </row>
    <row r="23" spans="1:1" x14ac:dyDescent="0.2">
      <c r="A23" s="475"/>
    </row>
    <row r="24" spans="1:1" x14ac:dyDescent="0.2">
      <c r="A24" s="475"/>
    </row>
    <row r="25" spans="1:1" x14ac:dyDescent="0.2">
      <c r="A25" s="475"/>
    </row>
    <row r="26" spans="1:1" x14ac:dyDescent="0.2">
      <c r="A26" s="475"/>
    </row>
    <row r="27" spans="1:1" x14ac:dyDescent="0.2">
      <c r="A27" s="475"/>
    </row>
    <row r="28" spans="1:1" x14ac:dyDescent="0.2">
      <c r="A28" s="475"/>
    </row>
    <row r="29" spans="1:1" ht="16.5" customHeight="1" x14ac:dyDescent="0.2">
      <c r="A29" s="475"/>
    </row>
    <row r="30" spans="1:1" x14ac:dyDescent="0.2">
      <c r="A30" s="475"/>
    </row>
    <row r="31" spans="1:1" x14ac:dyDescent="0.2">
      <c r="A31" s="475"/>
    </row>
    <row r="32" spans="1:1" x14ac:dyDescent="0.2">
      <c r="A32" s="475"/>
    </row>
    <row r="33" spans="1:1" x14ac:dyDescent="0.2">
      <c r="A33" s="475"/>
    </row>
    <row r="34" spans="1:1" x14ac:dyDescent="0.2">
      <c r="A34" s="475"/>
    </row>
    <row r="35" spans="1:1" x14ac:dyDescent="0.2">
      <c r="A35" s="475"/>
    </row>
    <row r="36" spans="1:1" x14ac:dyDescent="0.2">
      <c r="A36" s="475"/>
    </row>
    <row r="37" spans="1:1" x14ac:dyDescent="0.2">
      <c r="A37" s="475"/>
    </row>
    <row r="38" spans="1:1" x14ac:dyDescent="0.2">
      <c r="A38" s="475"/>
    </row>
    <row r="39" spans="1:1" x14ac:dyDescent="0.2">
      <c r="A39" s="475"/>
    </row>
    <row r="40" spans="1:1" x14ac:dyDescent="0.2">
      <c r="A40" s="99"/>
    </row>
    <row r="41" spans="1:1" x14ac:dyDescent="0.2">
      <c r="A41" s="99"/>
    </row>
    <row r="42" spans="1:1" x14ac:dyDescent="0.2">
      <c r="A42" s="99"/>
    </row>
    <row r="43" spans="1:1" x14ac:dyDescent="0.2">
      <c r="A43" s="99"/>
    </row>
    <row r="44" spans="1:1" x14ac:dyDescent="0.2">
      <c r="A44" s="99"/>
    </row>
    <row r="45" spans="1:1" x14ac:dyDescent="0.2">
      <c r="A45" s="99"/>
    </row>
    <row r="46" spans="1:1" x14ac:dyDescent="0.2">
      <c r="A46" s="475"/>
    </row>
    <row r="47" spans="1:1" x14ac:dyDescent="0.2">
      <c r="A47" s="475"/>
    </row>
    <row r="48" spans="1:1" x14ac:dyDescent="0.2">
      <c r="A48" s="475"/>
    </row>
    <row r="49" spans="1:1" x14ac:dyDescent="0.2">
      <c r="A49" s="475"/>
    </row>
    <row r="50" spans="1:1" x14ac:dyDescent="0.2">
      <c r="A50" s="475"/>
    </row>
    <row r="51" spans="1:1" x14ac:dyDescent="0.2">
      <c r="A51" s="475"/>
    </row>
    <row r="52" spans="1:1" x14ac:dyDescent="0.2">
      <c r="A52" s="475"/>
    </row>
    <row r="53" spans="1:1" x14ac:dyDescent="0.2">
      <c r="A53" s="475"/>
    </row>
    <row r="54" spans="1:1" x14ac:dyDescent="0.2">
      <c r="A54" s="475"/>
    </row>
    <row r="55" spans="1:1" x14ac:dyDescent="0.2">
      <c r="A55" s="475"/>
    </row>
    <row r="56" spans="1:1" x14ac:dyDescent="0.2">
      <c r="A56" s="475"/>
    </row>
    <row r="57" spans="1:1" x14ac:dyDescent="0.2">
      <c r="A57" s="475"/>
    </row>
    <row r="58" spans="1:1" x14ac:dyDescent="0.2">
      <c r="A58" s="475"/>
    </row>
    <row r="59" spans="1:1" x14ac:dyDescent="0.2">
      <c r="A59" s="475"/>
    </row>
    <row r="60" spans="1:1" x14ac:dyDescent="0.2">
      <c r="A60" s="475"/>
    </row>
    <row r="61" spans="1:1" x14ac:dyDescent="0.2">
      <c r="A61" s="475"/>
    </row>
    <row r="62" spans="1:1" x14ac:dyDescent="0.2">
      <c r="A62" s="475"/>
    </row>
    <row r="63" spans="1:1" x14ac:dyDescent="0.2">
      <c r="A63" s="475"/>
    </row>
    <row r="64" spans="1:1" x14ac:dyDescent="0.2">
      <c r="A64" s="475"/>
    </row>
    <row r="65" spans="1:1" x14ac:dyDescent="0.2">
      <c r="A65" s="475"/>
    </row>
    <row r="66" spans="1:1" x14ac:dyDescent="0.2">
      <c r="A66" s="475"/>
    </row>
    <row r="67" spans="1:1" x14ac:dyDescent="0.2">
      <c r="A67" s="475"/>
    </row>
    <row r="68" spans="1:1" x14ac:dyDescent="0.2">
      <c r="A68" s="475"/>
    </row>
    <row r="69" spans="1:1" x14ac:dyDescent="0.2">
      <c r="A69" s="475"/>
    </row>
    <row r="70" spans="1:1" x14ac:dyDescent="0.2">
      <c r="A70" s="475"/>
    </row>
  </sheetData>
  <sheetProtection password="DFD3"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5"/>
  <sheetViews>
    <sheetView tabSelected="1" workbookViewId="0">
      <selection activeCell="B1" sqref="B1"/>
    </sheetView>
  </sheetViews>
  <sheetFormatPr defaultRowHeight="12.75" x14ac:dyDescent="0.2"/>
  <cols>
    <col min="1" max="1" width="175.85546875" style="488" customWidth="1"/>
    <col min="2" max="3" width="9.140625" style="485"/>
    <col min="4" max="4" width="7.42578125" customWidth="1"/>
  </cols>
  <sheetData>
    <row r="1" spans="1:28" ht="15.75" customHeight="1" x14ac:dyDescent="0.4">
      <c r="A1" s="491"/>
      <c r="B1" s="137"/>
      <c r="C1" s="137"/>
      <c r="D1" s="137"/>
      <c r="E1" s="137"/>
      <c r="F1" s="137"/>
      <c r="G1" s="137"/>
      <c r="H1" s="137"/>
      <c r="I1" s="137"/>
      <c r="J1" s="494"/>
      <c r="K1" s="137"/>
      <c r="L1" s="137"/>
      <c r="M1" s="137"/>
      <c r="N1" s="137"/>
      <c r="O1" s="137"/>
      <c r="P1" s="137"/>
      <c r="Q1" s="137"/>
      <c r="R1" s="137"/>
      <c r="S1" s="137"/>
      <c r="T1" s="137"/>
      <c r="U1" s="137"/>
      <c r="V1" s="137"/>
      <c r="W1" s="137"/>
      <c r="X1" s="137"/>
      <c r="Y1" s="137"/>
      <c r="Z1" s="137"/>
      <c r="AA1" s="137"/>
      <c r="AB1" s="137"/>
    </row>
    <row r="2" spans="1:28" ht="60" x14ac:dyDescent="0.8">
      <c r="A2" s="492" t="s">
        <v>264</v>
      </c>
      <c r="B2" s="137"/>
      <c r="C2" s="137"/>
      <c r="D2" s="137"/>
      <c r="E2" s="495"/>
      <c r="F2" s="137"/>
      <c r="G2" s="137"/>
      <c r="H2" s="477"/>
      <c r="I2" s="137"/>
      <c r="J2" s="137"/>
      <c r="K2" s="137"/>
      <c r="L2" s="137"/>
      <c r="M2" s="137"/>
      <c r="N2" s="137"/>
      <c r="O2" s="137"/>
      <c r="P2" s="137"/>
      <c r="Q2" s="137"/>
      <c r="R2" s="137"/>
      <c r="S2" s="137"/>
      <c r="T2" s="137"/>
      <c r="U2" s="137"/>
      <c r="V2" s="137"/>
      <c r="W2" s="137"/>
      <c r="X2" s="137"/>
      <c r="Y2" s="137"/>
      <c r="Z2" s="137"/>
      <c r="AA2" s="137"/>
      <c r="AB2" s="137"/>
    </row>
    <row r="3" spans="1:28" ht="26.25" x14ac:dyDescent="0.4">
      <c r="A3" s="493" t="s">
        <v>219</v>
      </c>
      <c r="B3" s="137"/>
      <c r="C3" s="137"/>
      <c r="D3" s="137"/>
      <c r="E3" s="137"/>
      <c r="F3" s="496"/>
      <c r="G3" s="496"/>
      <c r="H3" s="137"/>
      <c r="I3" s="137"/>
      <c r="J3" s="137"/>
      <c r="K3" s="137"/>
      <c r="L3" s="137"/>
      <c r="M3" s="137"/>
      <c r="N3" s="137"/>
      <c r="O3" s="137"/>
      <c r="P3" s="137"/>
      <c r="Q3" s="137"/>
      <c r="R3" s="137"/>
      <c r="S3" s="137"/>
      <c r="T3" s="137"/>
      <c r="U3" s="137"/>
      <c r="V3" s="137"/>
      <c r="W3" s="137"/>
      <c r="X3" s="137"/>
      <c r="Y3" s="137"/>
      <c r="Z3" s="137"/>
      <c r="AA3" s="137"/>
      <c r="AB3" s="137"/>
    </row>
    <row r="4" spans="1:28" x14ac:dyDescent="0.2">
      <c r="A4" s="475"/>
      <c r="B4" s="137"/>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137"/>
    </row>
    <row r="5" spans="1:28" x14ac:dyDescent="0.2">
      <c r="A5" s="475"/>
      <c r="B5" s="137"/>
      <c r="C5" s="137"/>
      <c r="D5" s="137"/>
      <c r="E5" s="137"/>
      <c r="F5" s="137"/>
      <c r="G5" s="137"/>
      <c r="H5" s="137"/>
      <c r="I5" s="137"/>
      <c r="J5" s="137"/>
      <c r="K5" s="137"/>
      <c r="L5" s="137"/>
      <c r="M5" s="137"/>
      <c r="N5" s="137"/>
      <c r="O5" s="137"/>
      <c r="P5" s="137"/>
      <c r="Q5" s="137"/>
      <c r="R5" s="137"/>
      <c r="S5" s="137"/>
      <c r="T5" s="137"/>
      <c r="U5" s="137"/>
      <c r="V5" s="137"/>
      <c r="W5" s="137"/>
      <c r="X5" s="137"/>
      <c r="Y5" s="137"/>
      <c r="Z5" s="137"/>
      <c r="AA5" s="137"/>
      <c r="AB5" s="137"/>
    </row>
    <row r="6" spans="1:28" x14ac:dyDescent="0.2">
      <c r="A6" s="475"/>
      <c r="B6" s="137"/>
      <c r="C6" s="137"/>
      <c r="D6" s="137"/>
      <c r="E6" s="137"/>
      <c r="F6" s="137"/>
      <c r="G6" s="137"/>
      <c r="H6" s="137"/>
      <c r="I6" s="137"/>
      <c r="J6" s="137"/>
      <c r="K6" s="137"/>
      <c r="L6" s="137"/>
      <c r="M6" s="137"/>
      <c r="N6" s="137"/>
      <c r="O6" s="137"/>
      <c r="P6" s="137"/>
      <c r="Q6" s="137"/>
      <c r="R6" s="137"/>
      <c r="S6" s="137"/>
      <c r="T6" s="137"/>
      <c r="U6" s="137"/>
      <c r="V6" s="137"/>
      <c r="W6" s="137"/>
      <c r="X6" s="137"/>
      <c r="Y6" s="137"/>
      <c r="Z6" s="137"/>
      <c r="AA6" s="137"/>
      <c r="AB6" s="137"/>
    </row>
    <row r="7" spans="1:28" x14ac:dyDescent="0.2">
      <c r="A7" s="475"/>
      <c r="B7" s="137"/>
      <c r="C7" s="137"/>
      <c r="D7" s="137"/>
      <c r="E7" s="137"/>
      <c r="F7" s="137"/>
      <c r="G7" s="137"/>
      <c r="H7" s="137"/>
      <c r="I7" s="137"/>
      <c r="J7" s="137"/>
      <c r="K7" s="137"/>
      <c r="L7" s="137"/>
      <c r="M7" s="137"/>
      <c r="N7" s="137"/>
      <c r="O7" s="137"/>
      <c r="P7" s="137"/>
      <c r="Q7" s="137"/>
      <c r="R7" s="137"/>
      <c r="S7" s="137"/>
      <c r="T7" s="137"/>
      <c r="U7" s="137"/>
      <c r="V7" s="137"/>
      <c r="W7" s="137"/>
      <c r="X7" s="137"/>
      <c r="Y7" s="137"/>
      <c r="Z7" s="137"/>
      <c r="AA7" s="137"/>
      <c r="AB7" s="137"/>
    </row>
    <row r="8" spans="1:28" x14ac:dyDescent="0.2">
      <c r="A8" s="475"/>
      <c r="B8" s="137"/>
      <c r="C8" s="137"/>
      <c r="D8" s="137"/>
      <c r="E8" s="137"/>
      <c r="F8" s="137"/>
      <c r="G8" s="137"/>
      <c r="H8" s="137"/>
      <c r="I8" s="137"/>
      <c r="J8" s="137"/>
      <c r="K8" s="137"/>
      <c r="L8" s="137"/>
      <c r="M8" s="137"/>
      <c r="N8" s="137"/>
      <c r="O8" s="137"/>
      <c r="P8" s="137"/>
      <c r="Q8" s="137"/>
      <c r="R8" s="137"/>
      <c r="S8" s="137"/>
      <c r="T8" s="137"/>
      <c r="U8" s="137"/>
      <c r="V8" s="137"/>
      <c r="W8" s="137"/>
      <c r="X8" s="137"/>
      <c r="Y8" s="137"/>
      <c r="Z8" s="137"/>
      <c r="AA8" s="137"/>
      <c r="AB8" s="137"/>
    </row>
    <row r="9" spans="1:28" x14ac:dyDescent="0.2">
      <c r="A9" s="475"/>
      <c r="B9" s="137"/>
      <c r="C9" s="137"/>
      <c r="D9" s="137"/>
      <c r="E9" s="137"/>
      <c r="F9" s="137"/>
      <c r="G9" s="137"/>
      <c r="H9" s="137"/>
      <c r="I9" s="137"/>
      <c r="J9" s="137"/>
      <c r="K9" s="137"/>
      <c r="L9" s="137"/>
      <c r="M9" s="137"/>
      <c r="N9" s="137"/>
      <c r="O9" s="137"/>
      <c r="P9" s="137"/>
      <c r="Q9" s="137"/>
      <c r="R9" s="137"/>
      <c r="S9" s="137"/>
      <c r="T9" s="137"/>
      <c r="U9" s="137"/>
      <c r="V9" s="137"/>
      <c r="W9" s="137"/>
      <c r="X9" s="137"/>
      <c r="Y9" s="137"/>
      <c r="Z9" s="137"/>
      <c r="AA9" s="137"/>
      <c r="AB9" s="137"/>
    </row>
    <row r="10" spans="1:28" x14ac:dyDescent="0.2">
      <c r="A10" s="475"/>
      <c r="B10" s="137"/>
      <c r="C10" s="137"/>
      <c r="D10" s="137"/>
      <c r="E10" s="137"/>
      <c r="F10" s="137"/>
      <c r="G10" s="137"/>
      <c r="H10" s="137"/>
      <c r="I10" s="137"/>
      <c r="J10" s="137"/>
      <c r="K10" s="137"/>
      <c r="L10" s="137"/>
      <c r="M10" s="137"/>
      <c r="N10" s="137"/>
      <c r="O10" s="137"/>
      <c r="P10" s="137"/>
      <c r="Q10" s="137"/>
      <c r="R10" s="137"/>
      <c r="S10" s="137"/>
      <c r="T10" s="137"/>
      <c r="U10" s="137"/>
      <c r="V10" s="137"/>
      <c r="W10" s="137"/>
      <c r="X10" s="137"/>
      <c r="Y10" s="137"/>
      <c r="Z10" s="137"/>
      <c r="AA10" s="137"/>
      <c r="AB10" s="137"/>
    </row>
    <row r="11" spans="1:28" x14ac:dyDescent="0.2">
      <c r="A11" s="475"/>
      <c r="B11" s="137"/>
      <c r="C11" s="137"/>
      <c r="D11" s="137"/>
      <c r="E11" s="137"/>
      <c r="F11" s="137"/>
      <c r="G11" s="137"/>
      <c r="H11" s="137"/>
      <c r="I11" s="137"/>
      <c r="J11" s="137"/>
      <c r="K11" s="137"/>
      <c r="L11" s="137"/>
      <c r="M11" s="137"/>
      <c r="N11" s="137"/>
      <c r="O11" s="137"/>
      <c r="P11" s="137"/>
      <c r="Q11" s="137"/>
      <c r="R11" s="137"/>
      <c r="S11" s="137"/>
      <c r="T11" s="137"/>
      <c r="U11" s="137"/>
      <c r="V11" s="137"/>
      <c r="W11" s="137"/>
      <c r="X11" s="137"/>
      <c r="Y11" s="137"/>
      <c r="Z11" s="137"/>
      <c r="AA11" s="137"/>
      <c r="AB11" s="137"/>
    </row>
    <row r="12" spans="1:28" x14ac:dyDescent="0.2">
      <c r="A12" s="475"/>
      <c r="B12" s="137"/>
      <c r="C12" s="137"/>
      <c r="D12" s="137"/>
      <c r="E12" s="137"/>
      <c r="F12" s="137"/>
      <c r="G12" s="137"/>
      <c r="H12" s="137"/>
      <c r="I12" s="137"/>
      <c r="J12" s="137"/>
      <c r="K12" s="137"/>
      <c r="L12" s="137"/>
      <c r="M12" s="137"/>
      <c r="N12" s="137"/>
      <c r="O12" s="137"/>
      <c r="P12" s="137"/>
      <c r="Q12" s="137"/>
      <c r="R12" s="137"/>
      <c r="S12" s="137"/>
      <c r="T12" s="137"/>
      <c r="U12" s="137"/>
      <c r="V12" s="137"/>
      <c r="W12" s="137"/>
      <c r="X12" s="137"/>
      <c r="Y12" s="137"/>
      <c r="Z12" s="137"/>
      <c r="AA12" s="137"/>
      <c r="AB12" s="137"/>
    </row>
    <row r="13" spans="1:28" x14ac:dyDescent="0.2">
      <c r="A13" s="475"/>
      <c r="B13" s="137"/>
      <c r="C13" s="137"/>
      <c r="D13" s="137"/>
      <c r="E13" s="137"/>
      <c r="F13" s="137"/>
      <c r="G13" s="137"/>
      <c r="H13" s="137"/>
      <c r="I13" s="137"/>
      <c r="J13" s="137"/>
      <c r="K13" s="137"/>
      <c r="L13" s="137"/>
      <c r="M13" s="137"/>
      <c r="N13" s="137"/>
      <c r="O13" s="137"/>
      <c r="P13" s="137"/>
      <c r="Q13" s="137"/>
      <c r="R13" s="137"/>
      <c r="S13" s="137"/>
      <c r="T13" s="137"/>
      <c r="U13" s="137"/>
      <c r="V13" s="137"/>
      <c r="W13" s="137"/>
      <c r="X13" s="137"/>
      <c r="Y13" s="137"/>
      <c r="Z13" s="137"/>
      <c r="AA13" s="137"/>
      <c r="AB13" s="137"/>
    </row>
    <row r="14" spans="1:28" x14ac:dyDescent="0.2">
      <c r="A14" s="475"/>
      <c r="B14" s="137"/>
      <c r="C14" s="137"/>
      <c r="D14" s="137"/>
      <c r="E14" s="137"/>
      <c r="F14" s="137"/>
      <c r="G14" s="137"/>
      <c r="H14" s="137"/>
      <c r="I14" s="137"/>
      <c r="J14" s="137"/>
      <c r="K14" s="137"/>
      <c r="L14" s="137"/>
      <c r="M14" s="137"/>
      <c r="N14" s="137"/>
      <c r="O14" s="137"/>
      <c r="P14" s="137"/>
      <c r="Q14" s="137"/>
      <c r="R14" s="137"/>
      <c r="S14" s="137"/>
      <c r="T14" s="137"/>
      <c r="U14" s="137"/>
      <c r="V14" s="137"/>
      <c r="W14" s="137"/>
      <c r="X14" s="137"/>
      <c r="Y14" s="137"/>
      <c r="Z14" s="137"/>
      <c r="AA14" s="137"/>
      <c r="AB14" s="137"/>
    </row>
    <row r="15" spans="1:28" x14ac:dyDescent="0.2">
      <c r="A15" s="475"/>
      <c r="B15" s="137"/>
      <c r="C15" s="137"/>
      <c r="D15" s="137"/>
      <c r="E15" s="137"/>
      <c r="F15" s="137"/>
      <c r="G15" s="137"/>
      <c r="H15" s="137"/>
      <c r="I15" s="137"/>
      <c r="J15" s="137"/>
      <c r="K15" s="137"/>
      <c r="L15" s="137"/>
      <c r="M15" s="137"/>
      <c r="N15" s="137"/>
      <c r="O15" s="137"/>
      <c r="P15" s="137"/>
      <c r="Q15" s="137"/>
      <c r="R15" s="137"/>
      <c r="S15" s="137"/>
      <c r="T15" s="137"/>
      <c r="U15" s="137"/>
      <c r="V15" s="137"/>
      <c r="W15" s="137"/>
      <c r="X15" s="137"/>
      <c r="Y15" s="137"/>
      <c r="Z15" s="137"/>
      <c r="AA15" s="137"/>
      <c r="AB15" s="137"/>
    </row>
    <row r="16" spans="1:28" x14ac:dyDescent="0.2">
      <c r="A16" s="475"/>
      <c r="B16" s="137"/>
      <c r="C16" s="137"/>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7"/>
      <c r="AB16" s="137"/>
    </row>
    <row r="17" spans="1:28" x14ac:dyDescent="0.2">
      <c r="A17" s="475"/>
      <c r="B17" s="137"/>
      <c r="C17" s="137"/>
      <c r="D17" s="137"/>
      <c r="E17" s="137"/>
      <c r="F17" s="137"/>
      <c r="G17" s="137"/>
      <c r="H17" s="137"/>
      <c r="I17" s="137"/>
      <c r="J17" s="137"/>
      <c r="K17" s="137"/>
      <c r="L17" s="137"/>
      <c r="M17" s="137"/>
      <c r="N17" s="137"/>
      <c r="O17" s="137"/>
      <c r="P17" s="137"/>
      <c r="Q17" s="137"/>
      <c r="R17" s="137"/>
      <c r="S17" s="137"/>
      <c r="T17" s="137"/>
      <c r="U17" s="137"/>
      <c r="V17" s="137"/>
      <c r="W17" s="137"/>
      <c r="X17" s="137"/>
      <c r="Y17" s="137"/>
      <c r="Z17" s="137"/>
      <c r="AA17" s="137"/>
      <c r="AB17" s="137"/>
    </row>
    <row r="18" spans="1:28" x14ac:dyDescent="0.2">
      <c r="A18" s="475"/>
      <c r="B18" s="137"/>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137"/>
    </row>
    <row r="19" spans="1:28" x14ac:dyDescent="0.2">
      <c r="A19" s="475"/>
      <c r="B19" s="137"/>
      <c r="C19" s="137"/>
      <c r="D19" s="137"/>
      <c r="E19" s="137"/>
      <c r="F19" s="137"/>
      <c r="G19" s="137"/>
      <c r="H19" s="137"/>
      <c r="I19" s="137"/>
      <c r="J19" s="137"/>
      <c r="K19" s="137"/>
      <c r="L19" s="137"/>
      <c r="M19" s="137"/>
      <c r="N19" s="137"/>
      <c r="O19" s="137"/>
      <c r="P19" s="137"/>
      <c r="Q19" s="137"/>
      <c r="R19" s="137"/>
      <c r="S19" s="137"/>
      <c r="T19" s="137"/>
      <c r="U19" s="137"/>
      <c r="V19" s="137"/>
      <c r="W19" s="137"/>
      <c r="X19" s="137"/>
      <c r="Y19" s="137"/>
      <c r="Z19" s="137"/>
      <c r="AA19" s="137"/>
      <c r="AB19" s="137"/>
    </row>
    <row r="20" spans="1:28" x14ac:dyDescent="0.2">
      <c r="A20" s="475"/>
      <c r="B20" s="137"/>
      <c r="C20" s="137"/>
      <c r="D20" s="137"/>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row>
    <row r="21" spans="1:28" x14ac:dyDescent="0.2">
      <c r="A21" s="475"/>
      <c r="B21" s="137"/>
      <c r="C21" s="137"/>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row>
    <row r="22" spans="1:28" x14ac:dyDescent="0.2">
      <c r="A22" s="475"/>
      <c r="B22" s="137"/>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row>
    <row r="23" spans="1:28" x14ac:dyDescent="0.2">
      <c r="A23" s="475"/>
      <c r="B23" s="137"/>
      <c r="C23" s="137"/>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row>
    <row r="24" spans="1:28" x14ac:dyDescent="0.2">
      <c r="A24" s="475"/>
      <c r="B24" s="137"/>
      <c r="C24" s="137"/>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row>
    <row r="25" spans="1:28" x14ac:dyDescent="0.2">
      <c r="A25" s="475"/>
      <c r="B25" s="137"/>
      <c r="C25" s="137"/>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row>
    <row r="26" spans="1:28" x14ac:dyDescent="0.2">
      <c r="A26" s="475"/>
      <c r="B26" s="137"/>
      <c r="C26" s="137"/>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row>
    <row r="27" spans="1:28" x14ac:dyDescent="0.2">
      <c r="A27" s="475"/>
      <c r="B27" s="137"/>
      <c r="C27" s="137"/>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row>
    <row r="28" spans="1:28" x14ac:dyDescent="0.2">
      <c r="A28" s="475"/>
      <c r="B28" s="137"/>
      <c r="C28" s="137"/>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row>
    <row r="29" spans="1:28" x14ac:dyDescent="0.2">
      <c r="A29" s="475"/>
      <c r="B29" s="137"/>
      <c r="C29" s="137"/>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row>
    <row r="30" spans="1:28" x14ac:dyDescent="0.2">
      <c r="A30" s="475"/>
      <c r="B30" s="137"/>
      <c r="C30" s="137"/>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row>
    <row r="31" spans="1:28" x14ac:dyDescent="0.2">
      <c r="A31" s="475"/>
      <c r="B31" s="137"/>
      <c r="C31" s="137"/>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row>
    <row r="32" spans="1:28" x14ac:dyDescent="0.2">
      <c r="A32" s="475"/>
      <c r="B32" s="137"/>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row>
    <row r="33" spans="1:28" x14ac:dyDescent="0.2">
      <c r="A33" s="475"/>
      <c r="B33" s="137"/>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row>
    <row r="34" spans="1:28" x14ac:dyDescent="0.2">
      <c r="A34" s="475"/>
      <c r="B34" s="137"/>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row>
    <row r="35" spans="1:28" x14ac:dyDescent="0.2">
      <c r="A35" s="475"/>
      <c r="B35" s="137"/>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row>
    <row r="36" spans="1:28" x14ac:dyDescent="0.2">
      <c r="A36" s="475"/>
      <c r="B36" s="137"/>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row>
    <row r="37" spans="1:28" x14ac:dyDescent="0.2">
      <c r="A37" s="475"/>
      <c r="B37" s="137"/>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row>
    <row r="38" spans="1:28" x14ac:dyDescent="0.2">
      <c r="A38" s="475"/>
      <c r="B38" s="137"/>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row>
    <row r="39" spans="1:28" x14ac:dyDescent="0.2">
      <c r="A39" s="475"/>
      <c r="B39" s="137"/>
      <c r="C39" s="137"/>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row>
    <row r="40" spans="1:28" x14ac:dyDescent="0.2">
      <c r="A40" s="475"/>
      <c r="B40" s="137"/>
      <c r="C40" s="137"/>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row>
    <row r="41" spans="1:28" x14ac:dyDescent="0.2">
      <c r="A41" s="475"/>
      <c r="B41" s="137"/>
      <c r="C41" s="137"/>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row>
    <row r="42" spans="1:28" x14ac:dyDescent="0.2">
      <c r="A42" s="475"/>
      <c r="B42" s="137"/>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row>
    <row r="43" spans="1:28" x14ac:dyDescent="0.2">
      <c r="A43" s="475"/>
      <c r="B43" s="137"/>
      <c r="C43" s="137"/>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row>
    <row r="44" spans="1:28" x14ac:dyDescent="0.2">
      <c r="A44" s="475"/>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row>
    <row r="45" spans="1:28" x14ac:dyDescent="0.2">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row>
  </sheetData>
  <sheetProtection password="DFD3" sheet="1" objects="1" scenarios="1"/>
  <customSheetViews>
    <customSheetView guid="{55B80D82-F000-11D6-8735-C8E5A357943D}" showRuler="0">
      <selection activeCell="F24" sqref="F24"/>
      <pageMargins left="0.75" right="0.75" top="1" bottom="1" header="0.5" footer="0.5"/>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tart">
                <anchor moveWithCells="1" sizeWithCells="1">
                  <from>
                    <xdr:col>0</xdr:col>
                    <xdr:colOff>3867150</xdr:colOff>
                    <xdr:row>19</xdr:row>
                    <xdr:rowOff>114300</xdr:rowOff>
                  </from>
                  <to>
                    <xdr:col>0</xdr:col>
                    <xdr:colOff>5514975</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816"/>
  <sheetViews>
    <sheetView workbookViewId="0"/>
  </sheetViews>
  <sheetFormatPr defaultRowHeight="12.75" x14ac:dyDescent="0.2"/>
  <cols>
    <col min="1" max="1" width="52.28515625" customWidth="1"/>
    <col min="2" max="2" width="27.42578125" customWidth="1"/>
    <col min="3" max="3" width="9.7109375" customWidth="1"/>
    <col min="4" max="4" width="10.85546875" customWidth="1"/>
    <col min="5" max="5" width="16" customWidth="1"/>
    <col min="6" max="6" width="10.140625" customWidth="1"/>
    <col min="7" max="7" width="12.42578125" style="137" customWidth="1"/>
    <col min="8" max="8" width="12.140625" style="137" bestFit="1" customWidth="1"/>
    <col min="9" max="9" width="12.140625" style="137" customWidth="1"/>
    <col min="10" max="12" width="9.140625" style="137"/>
    <col min="13" max="13" width="10.140625" style="137" bestFit="1" customWidth="1"/>
    <col min="14" max="14" width="9.140625" style="137"/>
    <col min="15" max="15" width="24" customWidth="1"/>
    <col min="16" max="16" width="16.140625" customWidth="1"/>
    <col min="24" max="24" width="39.7109375" customWidth="1"/>
    <col min="25" max="25" width="18.42578125" customWidth="1"/>
    <col min="27" max="27" width="14" customWidth="1"/>
    <col min="28" max="28" width="11.140625" customWidth="1"/>
    <col min="29" max="29" width="10.5703125" customWidth="1"/>
  </cols>
  <sheetData>
    <row r="1" spans="1:23" ht="18" x14ac:dyDescent="0.25">
      <c r="A1" s="118" t="s">
        <v>229</v>
      </c>
      <c r="B1" s="99"/>
      <c r="C1" s="99"/>
      <c r="D1" s="99"/>
      <c r="E1" s="99"/>
      <c r="F1" s="99"/>
      <c r="G1" s="99"/>
      <c r="H1" s="99"/>
      <c r="I1" s="99"/>
      <c r="J1" s="99"/>
      <c r="K1" s="99"/>
      <c r="L1" s="99"/>
      <c r="M1" s="99"/>
      <c r="N1" s="99"/>
    </row>
    <row r="2" spans="1:23" ht="21.75" customHeight="1" x14ac:dyDescent="0.2">
      <c r="A2" s="225" t="s">
        <v>265</v>
      </c>
      <c r="B2" s="99"/>
      <c r="C2" s="99"/>
      <c r="D2" s="99"/>
      <c r="E2" s="99"/>
      <c r="F2" s="99"/>
      <c r="G2" s="99"/>
      <c r="H2" s="99"/>
      <c r="I2" s="99"/>
      <c r="J2" s="99"/>
      <c r="K2" s="99"/>
      <c r="L2" s="99"/>
      <c r="M2" s="99"/>
      <c r="N2" s="99"/>
    </row>
    <row r="3" spans="1:23" ht="13.5" customHeight="1" x14ac:dyDescent="0.2">
      <c r="A3" s="225"/>
      <c r="B3" s="99"/>
      <c r="C3" s="99"/>
      <c r="D3" s="99"/>
      <c r="E3" s="99"/>
      <c r="F3" s="99"/>
      <c r="G3" s="99"/>
      <c r="H3" s="99"/>
      <c r="I3" s="99"/>
      <c r="J3" s="99"/>
      <c r="K3" s="99"/>
      <c r="L3" s="99"/>
      <c r="M3" s="99"/>
      <c r="N3" s="99"/>
    </row>
    <row r="4" spans="1:23" ht="21" customHeight="1" x14ac:dyDescent="0.2">
      <c r="A4" s="503" t="s">
        <v>267</v>
      </c>
      <c r="B4" s="501"/>
      <c r="C4" s="501"/>
      <c r="D4" s="501"/>
      <c r="E4" s="501"/>
      <c r="F4" s="501"/>
      <c r="G4" s="501"/>
      <c r="H4" s="123"/>
      <c r="I4" s="99"/>
      <c r="J4" s="99"/>
      <c r="K4" s="99"/>
      <c r="L4" s="99"/>
      <c r="M4" s="99"/>
      <c r="N4" s="99"/>
    </row>
    <row r="5" spans="1:23" ht="32.25" customHeight="1" x14ac:dyDescent="0.2">
      <c r="A5" s="503" t="s">
        <v>279</v>
      </c>
      <c r="B5" s="501"/>
      <c r="C5" s="501"/>
      <c r="D5" s="501"/>
      <c r="E5" s="501"/>
      <c r="F5" s="501"/>
      <c r="G5" s="501"/>
      <c r="H5" s="123"/>
      <c r="I5" s="99"/>
      <c r="J5" s="99"/>
      <c r="K5" s="99"/>
      <c r="L5" s="99"/>
      <c r="M5" s="99"/>
      <c r="N5" s="99"/>
    </row>
    <row r="6" spans="1:23" ht="44.25" customHeight="1" x14ac:dyDescent="0.2">
      <c r="A6" s="504" t="s">
        <v>280</v>
      </c>
      <c r="B6" s="505"/>
      <c r="C6" s="505"/>
      <c r="D6" s="505"/>
      <c r="E6" s="505"/>
      <c r="F6" s="505"/>
      <c r="G6" s="505"/>
      <c r="H6" s="123"/>
      <c r="I6" s="99"/>
      <c r="J6" s="99"/>
      <c r="K6" s="99"/>
      <c r="L6" s="99"/>
      <c r="M6" s="99"/>
      <c r="N6" s="99"/>
    </row>
    <row r="7" spans="1:23" ht="17.25" customHeight="1" x14ac:dyDescent="0.2">
      <c r="A7" s="221" t="s">
        <v>278</v>
      </c>
      <c r="B7" s="123"/>
      <c r="C7" s="123"/>
      <c r="D7" s="123"/>
      <c r="E7" s="123"/>
      <c r="F7" s="123"/>
      <c r="G7" s="123"/>
      <c r="H7" s="123"/>
      <c r="I7" s="99"/>
      <c r="J7" s="99"/>
      <c r="K7" s="99"/>
      <c r="L7" s="99"/>
      <c r="M7" s="99"/>
      <c r="N7" s="99"/>
    </row>
    <row r="8" spans="1:23" x14ac:dyDescent="0.2">
      <c r="A8" s="506" t="s">
        <v>266</v>
      </c>
      <c r="B8" s="507"/>
      <c r="C8" s="507"/>
      <c r="D8" s="507"/>
      <c r="E8" s="507"/>
      <c r="F8" s="507"/>
      <c r="G8" s="507"/>
      <c r="H8" s="123"/>
      <c r="I8" s="99"/>
      <c r="J8" s="99"/>
      <c r="K8" s="99"/>
      <c r="L8" s="99"/>
      <c r="M8" s="99"/>
      <c r="N8" s="99"/>
    </row>
    <row r="9" spans="1:23" x14ac:dyDescent="0.2">
      <c r="A9" s="507"/>
      <c r="B9" s="507"/>
      <c r="C9" s="507"/>
      <c r="D9" s="507"/>
      <c r="E9" s="507"/>
      <c r="F9" s="507"/>
      <c r="G9" s="507"/>
      <c r="H9" s="123"/>
      <c r="I9" s="99"/>
      <c r="J9" s="99"/>
      <c r="K9" s="99"/>
      <c r="L9" s="99"/>
      <c r="M9" s="99"/>
      <c r="N9" s="99"/>
    </row>
    <row r="10" spans="1:23" x14ac:dyDescent="0.2">
      <c r="A10" s="65"/>
      <c r="B10" s="39"/>
      <c r="C10" s="39"/>
      <c r="D10" s="39"/>
      <c r="E10" s="39"/>
      <c r="F10" s="39"/>
      <c r="G10" s="99"/>
      <c r="H10" s="99"/>
      <c r="I10" s="99"/>
      <c r="J10" s="99"/>
      <c r="K10" s="99"/>
      <c r="L10" s="99"/>
      <c r="M10" s="99"/>
      <c r="N10" s="99"/>
    </row>
    <row r="11" spans="1:23" ht="15.75" x14ac:dyDescent="0.25">
      <c r="A11" s="119" t="s">
        <v>282</v>
      </c>
      <c r="B11" s="39"/>
      <c r="C11" s="237"/>
      <c r="D11" s="237"/>
      <c r="E11" s="39"/>
      <c r="F11" s="39"/>
      <c r="G11" s="99"/>
      <c r="H11" s="99"/>
      <c r="I11" s="99"/>
      <c r="J11" s="99"/>
      <c r="K11" s="99"/>
      <c r="L11" s="99"/>
      <c r="M11" s="99"/>
      <c r="N11" s="99"/>
      <c r="T11" s="209">
        <f>IF(B12="MYCOUNTY",IF(B13="",2,1),IF(B12="MYREGION",IF(B13="",2,1),0))</f>
        <v>0</v>
      </c>
      <c r="V11" s="459"/>
      <c r="W11" s="459"/>
    </row>
    <row r="12" spans="1:23" ht="15" customHeight="1" x14ac:dyDescent="0.2">
      <c r="A12" s="65" t="s">
        <v>246</v>
      </c>
      <c r="B12" s="467" t="s">
        <v>11</v>
      </c>
      <c r="C12" s="39"/>
      <c r="D12" s="163" t="str">
        <f>IF(B12="MYREGION",IF('User Add-in Location'!F33=0,"Error - No Regional multiplier data in User Add-in Location",""),IF(B12="MYCOUNTY",IF('User Add-in Location'!E33=0,"Error - No County multiplier data in User Add-in Location",""),""))</f>
        <v/>
      </c>
      <c r="E12" s="39"/>
      <c r="F12" s="39"/>
      <c r="G12" s="236"/>
      <c r="H12" s="99"/>
      <c r="I12" s="99"/>
      <c r="J12" s="99"/>
      <c r="K12" s="99"/>
      <c r="L12" s="99"/>
      <c r="M12" s="99"/>
      <c r="N12" s="99"/>
    </row>
    <row r="13" spans="1:23" ht="16.5" customHeight="1" x14ac:dyDescent="0.2">
      <c r="A13" s="197" t="s">
        <v>268</v>
      </c>
      <c r="B13" s="55"/>
      <c r="C13" s="475"/>
      <c r="D13" s="214" t="str">
        <f>IF(B12="MYREGION",IF('User Add-in Location'!F33=0,"",IF(B12="MYREGION","Enter Region Population","")),IF(B12="MYCOUNTY",IF('User Add-in Location'!E33=0,"",IF(B12="MYCOUNTY","Enter County Population","")),""))</f>
        <v/>
      </c>
      <c r="E13" s="39"/>
      <c r="F13" s="39"/>
      <c r="G13" s="236"/>
      <c r="H13" s="99"/>
      <c r="I13" s="99"/>
      <c r="J13" s="99"/>
      <c r="K13" s="99"/>
      <c r="L13" s="99"/>
      <c r="M13" s="99"/>
      <c r="N13" s="99"/>
    </row>
    <row r="14" spans="1:23" ht="18" customHeight="1" x14ac:dyDescent="0.2">
      <c r="A14" s="65" t="s">
        <v>377</v>
      </c>
      <c r="B14" s="53">
        <v>2012</v>
      </c>
      <c r="C14" s="163" t="str">
        <f>IF(D13="","",IF(B13&lt;1,"**Error - Population Data Missing**",""))</f>
        <v/>
      </c>
      <c r="D14" s="62"/>
      <c r="E14" s="39"/>
      <c r="F14" s="39"/>
      <c r="G14" s="236"/>
      <c r="H14" s="99"/>
      <c r="I14" s="99"/>
      <c r="J14" s="99"/>
      <c r="K14" s="99"/>
      <c r="L14" s="99"/>
      <c r="M14" s="99"/>
      <c r="N14" s="99"/>
    </row>
    <row r="15" spans="1:23" ht="18" customHeight="1" x14ac:dyDescent="0.2">
      <c r="A15" s="197" t="s">
        <v>404</v>
      </c>
      <c r="B15" s="465" t="s">
        <v>285</v>
      </c>
      <c r="C15" s="163"/>
      <c r="D15" s="62"/>
      <c r="E15" s="39"/>
      <c r="F15" s="39"/>
      <c r="G15" s="236"/>
      <c r="H15" s="99"/>
      <c r="I15" s="99"/>
      <c r="J15" s="99"/>
      <c r="K15" s="99"/>
      <c r="L15" s="99"/>
      <c r="M15" s="99"/>
      <c r="N15" s="99"/>
    </row>
    <row r="16" spans="1:23" ht="17.25" customHeight="1" x14ac:dyDescent="0.2">
      <c r="A16" s="197" t="s">
        <v>406</v>
      </c>
      <c r="B16" s="466" t="s">
        <v>450</v>
      </c>
      <c r="C16" s="163"/>
      <c r="D16" s="62"/>
      <c r="E16" s="39"/>
      <c r="F16" s="39"/>
      <c r="G16" s="236"/>
      <c r="H16" s="99"/>
      <c r="I16" s="99"/>
      <c r="J16" s="99"/>
      <c r="K16" s="99"/>
      <c r="L16" s="99"/>
      <c r="M16" s="99"/>
      <c r="N16" s="99"/>
    </row>
    <row r="17" spans="1:29" ht="15.75" customHeight="1" x14ac:dyDescent="0.2">
      <c r="A17" s="197" t="s">
        <v>405</v>
      </c>
      <c r="B17" s="466" t="s">
        <v>408</v>
      </c>
      <c r="C17" s="163"/>
      <c r="D17" s="62"/>
      <c r="E17" s="39"/>
      <c r="F17" s="39"/>
      <c r="G17" s="236"/>
      <c r="H17" s="99"/>
      <c r="I17" s="99"/>
      <c r="J17" s="99"/>
      <c r="K17" s="99"/>
      <c r="L17" s="99"/>
      <c r="M17" s="99"/>
      <c r="N17" s="99"/>
    </row>
    <row r="18" spans="1:29" ht="16.5" customHeight="1" x14ac:dyDescent="0.2">
      <c r="A18" s="65" t="s">
        <v>573</v>
      </c>
      <c r="B18" s="54">
        <f>DefaultData!AH15</f>
        <v>5</v>
      </c>
      <c r="C18" s="64"/>
      <c r="D18" s="163" t="str">
        <f>DefaultData!AH14</f>
        <v>Typically less than 10 kW</v>
      </c>
      <c r="E18" s="64"/>
      <c r="F18" s="39"/>
      <c r="G18" s="236"/>
      <c r="H18" s="99"/>
      <c r="I18" s="99"/>
      <c r="J18" s="99"/>
      <c r="K18" s="99"/>
      <c r="L18" s="99"/>
      <c r="M18" s="99"/>
      <c r="N18" s="99"/>
    </row>
    <row r="19" spans="1:29" ht="15" customHeight="1" x14ac:dyDescent="0.2">
      <c r="A19" s="197" t="s">
        <v>244</v>
      </c>
      <c r="B19" s="54">
        <v>100</v>
      </c>
      <c r="C19" s="39"/>
      <c r="D19" s="62"/>
      <c r="E19" s="39"/>
      <c r="F19" s="39"/>
      <c r="G19" s="99"/>
      <c r="H19" s="99"/>
      <c r="I19" s="99"/>
      <c r="J19" s="99"/>
      <c r="K19" s="99"/>
      <c r="L19" s="99"/>
      <c r="M19" s="99"/>
      <c r="N19" s="99"/>
    </row>
    <row r="20" spans="1:29" ht="14.25" customHeight="1" x14ac:dyDescent="0.2">
      <c r="A20" s="64" t="s">
        <v>574</v>
      </c>
      <c r="B20" s="278">
        <f>B18*B19</f>
        <v>500</v>
      </c>
      <c r="C20" s="39"/>
      <c r="D20" s="62"/>
      <c r="E20" s="39"/>
      <c r="F20" s="163"/>
      <c r="G20" s="99"/>
      <c r="H20" s="99"/>
      <c r="I20" s="99"/>
      <c r="J20" s="99"/>
      <c r="K20" s="99"/>
      <c r="L20" s="99"/>
      <c r="M20" s="99"/>
      <c r="N20" s="99"/>
    </row>
    <row r="21" spans="1:29" ht="1.5" customHeight="1" x14ac:dyDescent="0.2">
      <c r="A21" s="197"/>
      <c r="B21" s="293"/>
      <c r="C21" s="64"/>
      <c r="D21" s="62"/>
      <c r="E21" s="39"/>
      <c r="F21" s="39"/>
      <c r="G21" s="213"/>
      <c r="H21" s="99"/>
      <c r="I21" s="99"/>
      <c r="J21" s="99"/>
      <c r="K21" s="99"/>
      <c r="L21" s="99"/>
      <c r="M21" s="99"/>
      <c r="N21" s="99"/>
    </row>
    <row r="22" spans="1:29" ht="14.25" x14ac:dyDescent="0.25">
      <c r="A22" s="65" t="s">
        <v>575</v>
      </c>
      <c r="B22" s="458">
        <f>DefaultData!AI62</f>
        <v>6561.4009865470689</v>
      </c>
      <c r="C22" s="163" t="str">
        <f>IF(B26="N","    User Revised System Cost ($/kW)","")</f>
        <v/>
      </c>
      <c r="D22" s="39"/>
      <c r="E22" s="39"/>
      <c r="F22" s="226" t="str">
        <f>IF(B26="N",C47,"")</f>
        <v/>
      </c>
      <c r="G22" s="99"/>
      <c r="H22" s="99"/>
      <c r="I22" s="99"/>
      <c r="J22" s="99"/>
      <c r="K22" s="99"/>
      <c r="L22" s="99"/>
      <c r="M22" s="99"/>
      <c r="N22" s="99"/>
      <c r="Q22" s="10" t="s">
        <v>255</v>
      </c>
    </row>
    <row r="23" spans="1:29" ht="14.25" customHeight="1" x14ac:dyDescent="0.2">
      <c r="A23" s="65" t="s">
        <v>201</v>
      </c>
      <c r="B23" s="128">
        <f>DefaultData!AH43</f>
        <v>32.799999999999997</v>
      </c>
      <c r="C23" s="163" t="str">
        <f>IF(B26="N","    User Revised O&amp;M Cost ($/kW)","")</f>
        <v/>
      </c>
      <c r="D23" s="39"/>
      <c r="E23" s="39"/>
      <c r="F23" s="231" t="str">
        <f>IF(B26="N",(C62-C61),"")</f>
        <v/>
      </c>
      <c r="G23" s="99"/>
      <c r="H23" s="99"/>
      <c r="I23" s="99"/>
      <c r="J23" s="99"/>
      <c r="K23" s="99"/>
      <c r="L23" s="99"/>
      <c r="M23" s="99"/>
      <c r="N23" s="99"/>
      <c r="Q23" s="10" t="s">
        <v>240</v>
      </c>
    </row>
    <row r="24" spans="1:29" ht="15" customHeight="1" x14ac:dyDescent="0.2">
      <c r="A24" s="65" t="s">
        <v>505</v>
      </c>
      <c r="B24" s="53">
        <v>2010</v>
      </c>
      <c r="C24" s="39"/>
      <c r="D24" s="64"/>
      <c r="E24" s="39"/>
      <c r="F24" s="39"/>
      <c r="G24" s="99"/>
      <c r="H24" s="99"/>
      <c r="I24" s="99"/>
      <c r="J24" s="99"/>
      <c r="K24" s="99"/>
      <c r="L24" s="99"/>
      <c r="M24" s="99"/>
      <c r="N24" s="99"/>
    </row>
    <row r="25" spans="1:29" ht="14.25" customHeight="1" x14ac:dyDescent="0.25">
      <c r="A25" s="99"/>
      <c r="B25" s="162"/>
      <c r="C25" s="99"/>
      <c r="D25" s="62"/>
      <c r="E25" s="39"/>
      <c r="F25" s="39"/>
      <c r="G25" s="99"/>
      <c r="H25" s="99"/>
      <c r="I25" s="99"/>
      <c r="J25" s="99"/>
      <c r="K25" s="99"/>
      <c r="L25" s="99"/>
      <c r="M25" s="99"/>
      <c r="N25" s="99"/>
    </row>
    <row r="26" spans="1:29" ht="15.75" customHeight="1" x14ac:dyDescent="0.2">
      <c r="A26" s="502" t="s">
        <v>502</v>
      </c>
      <c r="B26" s="54" t="s">
        <v>255</v>
      </c>
      <c r="C26" s="254" t="str">
        <f>IF(B26="y","     Press 'Go To Summary Impacts' Button",IF(B26="N","Modify System Cost Data (below).","Error - Re-enter 'Y' or 'N'"))</f>
        <v xml:space="preserve">     Press 'Go To Summary Impacts' Button</v>
      </c>
      <c r="D26" s="39"/>
      <c r="E26" s="39"/>
      <c r="F26" s="163"/>
      <c r="G26" s="39"/>
      <c r="H26" s="39"/>
      <c r="I26" s="99"/>
      <c r="J26" s="99"/>
      <c r="K26" s="99"/>
      <c r="L26" s="99"/>
      <c r="M26" s="99"/>
      <c r="N26" s="99"/>
    </row>
    <row r="27" spans="1:29" ht="18.75" customHeight="1" x14ac:dyDescent="0.25">
      <c r="A27" s="503"/>
      <c r="B27" s="61"/>
      <c r="C27" s="253"/>
      <c r="D27" s="119"/>
      <c r="E27" s="39"/>
      <c r="F27" s="39"/>
      <c r="G27" s="39"/>
      <c r="H27" s="39"/>
      <c r="I27" s="99"/>
      <c r="J27" s="99"/>
      <c r="K27" s="99"/>
      <c r="L27" s="99"/>
      <c r="M27" s="99"/>
      <c r="N27" s="99"/>
    </row>
    <row r="28" spans="1:29" ht="22.5" customHeight="1" x14ac:dyDescent="0.2">
      <c r="A28" s="503"/>
      <c r="B28" s="61"/>
      <c r="C28" s="39"/>
      <c r="D28" s="163"/>
      <c r="E28" s="39"/>
      <c r="F28" s="39"/>
      <c r="G28" s="99"/>
      <c r="H28" s="99"/>
      <c r="I28" s="99"/>
      <c r="J28" s="99"/>
      <c r="K28" s="99"/>
      <c r="L28" s="99"/>
      <c r="M28" s="99"/>
      <c r="N28" s="99"/>
    </row>
    <row r="29" spans="1:29" ht="43.5" customHeight="1" x14ac:dyDescent="0.2">
      <c r="A29" s="503" t="s">
        <v>448</v>
      </c>
      <c r="B29" s="508"/>
      <c r="C29" s="508"/>
      <c r="D29" s="508"/>
      <c r="E29" s="508"/>
      <c r="F29" s="509"/>
      <c r="G29" s="99"/>
      <c r="H29" s="99"/>
      <c r="I29" s="99"/>
      <c r="J29" s="99"/>
      <c r="K29" s="99"/>
      <c r="L29" s="99"/>
      <c r="M29" s="99"/>
      <c r="N29" s="99"/>
    </row>
    <row r="30" spans="1:29" ht="29.25" customHeight="1" x14ac:dyDescent="0.25">
      <c r="A30" s="40" t="s">
        <v>281</v>
      </c>
      <c r="B30" s="497"/>
      <c r="C30" s="498"/>
      <c r="D30" s="498"/>
      <c r="E30" s="498"/>
      <c r="F30" s="498"/>
      <c r="G30" s="499"/>
      <c r="H30" s="500"/>
      <c r="I30" s="501"/>
      <c r="J30" s="501"/>
      <c r="K30" s="99"/>
      <c r="L30" s="99"/>
      <c r="M30" s="99"/>
      <c r="N30" s="99"/>
      <c r="X30" s="1"/>
    </row>
    <row r="31" spans="1:29" x14ac:dyDescent="0.2">
      <c r="A31" s="64" t="str">
        <f>DefaultData!B14</f>
        <v>Installation Costs</v>
      </c>
      <c r="B31" s="255" t="s">
        <v>111</v>
      </c>
      <c r="C31" s="100" t="s">
        <v>198</v>
      </c>
      <c r="D31" s="67" t="s">
        <v>169</v>
      </c>
      <c r="E31" s="42" t="s">
        <v>254</v>
      </c>
      <c r="F31" s="197" t="s">
        <v>252</v>
      </c>
      <c r="G31" s="99"/>
      <c r="H31" s="222"/>
      <c r="I31" s="222"/>
      <c r="J31" s="99"/>
      <c r="K31" s="99"/>
      <c r="L31" s="99"/>
      <c r="M31" s="99"/>
      <c r="N31" s="99"/>
      <c r="X31" s="76"/>
      <c r="Y31" s="167"/>
      <c r="Z31" s="167"/>
      <c r="AA31" s="147"/>
      <c r="AB31" s="167"/>
      <c r="AC31" s="235"/>
    </row>
    <row r="32" spans="1:29" ht="13.5" customHeight="1" x14ac:dyDescent="0.2">
      <c r="A32" s="64" t="str">
        <f>DefaultData!B15</f>
        <v xml:space="preserve">  Materials &amp; Equipment</v>
      </c>
      <c r="B32" s="256"/>
      <c r="C32" s="100" t="s">
        <v>576</v>
      </c>
      <c r="D32" s="67" t="s">
        <v>170</v>
      </c>
      <c r="E32" s="42" t="s">
        <v>257</v>
      </c>
      <c r="F32" s="197" t="s">
        <v>256</v>
      </c>
      <c r="G32" s="99"/>
      <c r="H32" s="99"/>
      <c r="I32" s="99"/>
      <c r="J32" s="99"/>
      <c r="K32" s="99"/>
      <c r="L32" s="99"/>
      <c r="M32" s="99"/>
      <c r="N32" s="99"/>
      <c r="X32" s="76"/>
      <c r="Y32" s="137"/>
      <c r="Z32" s="167"/>
      <c r="AA32" s="147"/>
      <c r="AB32" s="167"/>
      <c r="AC32" s="235"/>
    </row>
    <row r="33" spans="1:29" ht="15.75" customHeight="1" x14ac:dyDescent="0.2">
      <c r="A33" s="45" t="str">
        <f>DefaultData!B16</f>
        <v xml:space="preserve">    Mounting (rails, clamps, fittings, etc.)</v>
      </c>
      <c r="B33" s="44">
        <f>C33*$B$20</f>
        <v>114990.62085673495</v>
      </c>
      <c r="C33" s="261">
        <f>DefaultData!$D16</f>
        <v>229.9812417134699</v>
      </c>
      <c r="D33" s="97">
        <f>B33/(B$49)</f>
        <v>3.3764386305476075E-2</v>
      </c>
      <c r="E33" s="56">
        <f>$T33</f>
        <v>1</v>
      </c>
      <c r="F33" s="57" t="str">
        <f>DefaultData!$AG17</f>
        <v>N</v>
      </c>
      <c r="G33" s="99"/>
      <c r="H33" s="99"/>
      <c r="I33" s="99"/>
      <c r="J33" s="99"/>
      <c r="K33" s="99"/>
      <c r="L33" s="99"/>
      <c r="M33" s="99"/>
      <c r="N33" s="99"/>
      <c r="T33" s="56">
        <f>IF(T$11=0,DefaultData!$F16,IF(T$11=2,"Pop. Data Missing",IF($B$13&lt;DefaultData!$G$13,DefaultData!$G16,IF($B$13&lt;DefaultData!$H$13,DefaultData!$N16,IF($B$13&lt;DefaultData!$I$13,DefaultData!$Q16,DefaultData!$T16)))))</f>
        <v>1</v>
      </c>
      <c r="X33" s="176"/>
      <c r="Y33" s="261">
        <f>Z33*$B$20</f>
        <v>114990.62085673495</v>
      </c>
      <c r="Z33" s="261">
        <f>DefaultData!$D16</f>
        <v>229.9812417134699</v>
      </c>
      <c r="AA33" s="266">
        <f>Y33/(Y$47)</f>
        <v>3.5050630526164098E-2</v>
      </c>
      <c r="AB33" s="56">
        <f>$T33</f>
        <v>1</v>
      </c>
      <c r="AC33" s="57" t="str">
        <f>DefaultData!$AG17</f>
        <v>N</v>
      </c>
    </row>
    <row r="34" spans="1:29" x14ac:dyDescent="0.2">
      <c r="A34" s="45" t="str">
        <f>DefaultData!B17</f>
        <v xml:space="preserve">    Modules</v>
      </c>
      <c r="B34" s="44">
        <f>C34*$B$20</f>
        <v>1074912.3253999136</v>
      </c>
      <c r="C34" s="261">
        <f>DefaultData!$D17</f>
        <v>2149.8246507998274</v>
      </c>
      <c r="D34" s="97">
        <f>B34/(B$49)</f>
        <v>0.31562361111640674</v>
      </c>
      <c r="E34" s="56">
        <f>$T34</f>
        <v>1</v>
      </c>
      <c r="F34" s="57" t="str">
        <f>DefaultData!$AG18</f>
        <v>N</v>
      </c>
      <c r="G34" s="99"/>
      <c r="H34" s="99"/>
      <c r="I34" s="99"/>
      <c r="J34" s="99"/>
      <c r="K34" s="99"/>
      <c r="L34" s="99"/>
      <c r="M34" s="99"/>
      <c r="N34" s="99"/>
      <c r="T34" s="56">
        <f>IF(T$11=0,DefaultData!$F17,IF(T$11=2,"Pop. Data Missing",IF($B$13&lt;DefaultData!$G$13,DefaultData!$G17,IF($B$13&lt;DefaultData!$H$13,DefaultData!$N17,IF($B$13&lt;DefaultData!$I$13,DefaultData!$Q17,DefaultData!$T17)))))</f>
        <v>1</v>
      </c>
      <c r="X34" s="176"/>
      <c r="Y34" s="261">
        <f>Z34*$B$20</f>
        <v>1074912.3253999136</v>
      </c>
      <c r="Z34" s="261">
        <f>DefaultData!$D17</f>
        <v>2149.8246507998274</v>
      </c>
      <c r="AA34" s="266">
        <f>Y34/(Y$47)</f>
        <v>0.32764719839675133</v>
      </c>
      <c r="AB34" s="56">
        <f>$T34</f>
        <v>1</v>
      </c>
      <c r="AC34" s="57" t="str">
        <f>DefaultData!$AG18</f>
        <v>N</v>
      </c>
    </row>
    <row r="35" spans="1:29" x14ac:dyDescent="0.2">
      <c r="A35" s="45" t="str">
        <f>DefaultData!B18</f>
        <v xml:space="preserve">    Electrical (wire, connectors, breakers, etc.)</v>
      </c>
      <c r="B35" s="44">
        <f>C35*$B$20</f>
        <v>114990.62085673495</v>
      </c>
      <c r="C35" s="261">
        <f>DefaultData!$D18</f>
        <v>229.9812417134699</v>
      </c>
      <c r="D35" s="97">
        <f>B35/(B$49)</f>
        <v>3.3764386305476075E-2</v>
      </c>
      <c r="E35" s="56">
        <f>$T35</f>
        <v>1</v>
      </c>
      <c r="F35" s="57" t="str">
        <f>DefaultData!$AG19</f>
        <v>N</v>
      </c>
      <c r="G35" s="99"/>
      <c r="H35" s="99"/>
      <c r="I35" s="99"/>
      <c r="J35" s="99"/>
      <c r="K35" s="99"/>
      <c r="L35" s="99"/>
      <c r="M35" s="99"/>
      <c r="N35" s="99"/>
      <c r="T35" s="56">
        <f>IF(T$11=0,DefaultData!$F18,IF(T$11=2,"Pop. Data Missing",IF($B$13&lt;DefaultData!$G$13,DefaultData!$G18,IF($B$13&lt;DefaultData!$H$13,DefaultData!$N18,IF($B$13&lt;DefaultData!$I$13,DefaultData!$Q18,DefaultData!$T18)))))</f>
        <v>1</v>
      </c>
      <c r="X35" s="176"/>
      <c r="Y35" s="261">
        <f>Z35*$B$20</f>
        <v>114990.62085673495</v>
      </c>
      <c r="Z35" s="261">
        <f>DefaultData!$D18</f>
        <v>229.9812417134699</v>
      </c>
      <c r="AA35" s="266">
        <f>Y35/(Y$47)</f>
        <v>3.5050630526164098E-2</v>
      </c>
      <c r="AB35" s="56">
        <f>$T35</f>
        <v>1</v>
      </c>
      <c r="AC35" s="57" t="str">
        <f>DefaultData!$AG19</f>
        <v>N</v>
      </c>
    </row>
    <row r="36" spans="1:29" x14ac:dyDescent="0.2">
      <c r="A36" s="45" t="str">
        <f>DefaultData!B19</f>
        <v xml:space="preserve">    Inverter</v>
      </c>
      <c r="B36" s="44">
        <f>C36*$B$20</f>
        <v>209982.87286882036</v>
      </c>
      <c r="C36" s="261">
        <f>DefaultData!$D19</f>
        <v>419.9657457376407</v>
      </c>
      <c r="D36" s="97">
        <f>B36/(B$49)</f>
        <v>6.1656705427391094E-2</v>
      </c>
      <c r="E36" s="56">
        <f>$T36</f>
        <v>1</v>
      </c>
      <c r="F36" s="57" t="str">
        <f>DefaultData!$AG20</f>
        <v>N</v>
      </c>
      <c r="G36" s="99"/>
      <c r="H36" s="99"/>
      <c r="I36" s="99"/>
      <c r="J36" s="99"/>
      <c r="K36" s="99"/>
      <c r="L36" s="99"/>
      <c r="M36" s="99"/>
      <c r="N36" s="99"/>
      <c r="T36" s="56">
        <f>IF(T$11=0,DefaultData!$F19,IF(T$11=2,"Pop. Data Missing",IF($B$13&lt;DefaultData!$G$13,DefaultData!$G19,IF($B$13&lt;DefaultData!$H$13,DefaultData!$N19,IF($B$13&lt;DefaultData!$I$13,DefaultData!$Q19,DefaultData!$T19)))))</f>
        <v>1</v>
      </c>
      <c r="X36" s="176"/>
      <c r="Y36" s="261">
        <f>Z36*$B$20</f>
        <v>209982.87286882036</v>
      </c>
      <c r="Z36" s="261">
        <f>DefaultData!$D19</f>
        <v>419.9657457376407</v>
      </c>
      <c r="AA36" s="266">
        <f>Y36/(Y$47)</f>
        <v>6.4005499221690965E-2</v>
      </c>
      <c r="AB36" s="56">
        <f>$T36</f>
        <v>1</v>
      </c>
      <c r="AC36" s="57" t="str">
        <f>DefaultData!$AG20</f>
        <v>N</v>
      </c>
    </row>
    <row r="37" spans="1:29" x14ac:dyDescent="0.2">
      <c r="A37" s="45" t="str">
        <f>DefaultData!B20</f>
        <v xml:space="preserve">    Subtotal</v>
      </c>
      <c r="B37" s="44">
        <f>SUM(B33:B36)</f>
        <v>1514876.4399822038</v>
      </c>
      <c r="C37" s="44">
        <f>SUM(C33:C36)</f>
        <v>3029.7528799644078</v>
      </c>
      <c r="D37" s="97">
        <f>SUM(D33:D36)</f>
        <v>0.44480908915474998</v>
      </c>
      <c r="E37" s="259"/>
      <c r="F37" s="256"/>
      <c r="G37" s="99"/>
      <c r="H37" s="99"/>
      <c r="I37" s="99"/>
      <c r="J37" s="99"/>
      <c r="K37" s="99"/>
      <c r="L37" s="99"/>
      <c r="M37" s="99"/>
      <c r="N37" s="99"/>
      <c r="T37" s="56"/>
      <c r="X37" s="176"/>
      <c r="Y37" s="261">
        <f>SUM(Y33:Y36)</f>
        <v>1514876.4399822038</v>
      </c>
      <c r="Z37" s="261">
        <f>SUM(Z33:Z36)</f>
        <v>3029.7528799644078</v>
      </c>
      <c r="AA37" s="266">
        <f>SUM(AA33:AA36)</f>
        <v>0.46175395867077046</v>
      </c>
      <c r="AB37" s="56"/>
      <c r="AC37" s="151"/>
    </row>
    <row r="38" spans="1:29" x14ac:dyDescent="0.2">
      <c r="A38" s="64" t="str">
        <f>DefaultData!B21</f>
        <v xml:space="preserve">  Labor</v>
      </c>
      <c r="B38" s="47"/>
      <c r="C38" s="120"/>
      <c r="D38" s="97"/>
      <c r="E38" s="259"/>
      <c r="F38" s="256"/>
      <c r="G38" s="99"/>
      <c r="H38" s="99"/>
      <c r="I38" s="99"/>
      <c r="J38" s="99"/>
      <c r="K38" s="99"/>
      <c r="L38" s="99"/>
      <c r="M38" s="99"/>
      <c r="N38" s="99"/>
      <c r="T38" s="56"/>
      <c r="X38" s="76"/>
      <c r="Y38" s="267"/>
      <c r="Z38" s="261"/>
      <c r="AA38" s="266"/>
      <c r="AB38" s="56"/>
      <c r="AC38" s="151"/>
    </row>
    <row r="39" spans="1:29" x14ac:dyDescent="0.2">
      <c r="A39" s="45" t="str">
        <f>DefaultData!B22</f>
        <v xml:space="preserve">    Installation</v>
      </c>
      <c r="B39" s="44">
        <f>C39*$B$20</f>
        <v>275112.75532553397</v>
      </c>
      <c r="C39" s="261">
        <f>DefaultData!$D22</f>
        <v>550.22551065106791</v>
      </c>
      <c r="D39" s="97">
        <f>B39/(B$49)</f>
        <v>8.078061740312098E-2</v>
      </c>
      <c r="E39" s="56">
        <f>$T39</f>
        <v>1</v>
      </c>
      <c r="F39" s="256"/>
      <c r="G39" s="99"/>
      <c r="H39" s="99"/>
      <c r="I39" s="99"/>
      <c r="J39" s="99"/>
      <c r="K39" s="99"/>
      <c r="L39" s="99"/>
      <c r="M39" s="99"/>
      <c r="N39" s="99"/>
      <c r="T39" s="56">
        <f>IF(T$11=0,DefaultData!$F22,IF(T$11=2,"Pop. Data Missing",IF($B$13&lt;DefaultData!$G$13,DefaultData!$G22,IF($B$13&lt;DefaultData!$H$13,DefaultData!$N22,IF($B$13&lt;DefaultData!$I$13,DefaultData!$Q22,DefaultData!$T22)))))</f>
        <v>1</v>
      </c>
      <c r="X39" s="176"/>
      <c r="Y39" s="261">
        <f>Z39*$B$20</f>
        <v>275112.75532553397</v>
      </c>
      <c r="Z39" s="261">
        <f>DefaultData!$D22</f>
        <v>550.22551065106791</v>
      </c>
      <c r="AA39" s="266">
        <f>Y39/(Y$47)</f>
        <v>8.3857930917376172E-2</v>
      </c>
      <c r="AB39" s="56">
        <f>$T39</f>
        <v>1</v>
      </c>
      <c r="AC39" s="151"/>
    </row>
    <row r="40" spans="1:29" x14ac:dyDescent="0.2">
      <c r="A40" s="45" t="str">
        <f>DefaultData!B23</f>
        <v xml:space="preserve">    Subtotal</v>
      </c>
      <c r="B40" s="223">
        <f>SUM(B39:B39)</f>
        <v>275112.75532553397</v>
      </c>
      <c r="C40" s="120">
        <f>C39</f>
        <v>550.22551065106791</v>
      </c>
      <c r="D40" s="97">
        <f>D39</f>
        <v>8.078061740312098E-2</v>
      </c>
      <c r="E40" s="259"/>
      <c r="F40" s="256"/>
      <c r="G40" s="99"/>
      <c r="H40" s="99"/>
      <c r="I40" s="99"/>
      <c r="J40" s="99"/>
      <c r="K40" s="99"/>
      <c r="L40" s="99"/>
      <c r="M40" s="99"/>
      <c r="N40" s="99"/>
      <c r="T40" s="56"/>
      <c r="X40" s="176"/>
      <c r="Y40" s="261">
        <f>SUM(Y39:Y39)</f>
        <v>275112.75532553397</v>
      </c>
      <c r="Z40" s="261">
        <f>Z39</f>
        <v>550.22551065106791</v>
      </c>
      <c r="AA40" s="266">
        <f>AA39</f>
        <v>8.3857930917376172E-2</v>
      </c>
      <c r="AB40" s="56"/>
      <c r="AC40" s="151"/>
    </row>
    <row r="41" spans="1:29" x14ac:dyDescent="0.2">
      <c r="A41" s="45" t="str">
        <f>DefaultData!B24</f>
        <v xml:space="preserve">  Total</v>
      </c>
      <c r="B41" s="44">
        <f>+B40+B37</f>
        <v>1789989.1953077377</v>
      </c>
      <c r="C41" s="44">
        <f>+C40+C37</f>
        <v>3579.9783906154757</v>
      </c>
      <c r="D41" s="97">
        <f>D40+D37</f>
        <v>0.52558970655787096</v>
      </c>
      <c r="E41" s="259"/>
      <c r="F41" s="256"/>
      <c r="G41" s="99"/>
      <c r="H41" s="99"/>
      <c r="I41" s="99"/>
      <c r="J41" s="99"/>
      <c r="K41" s="99"/>
      <c r="L41" s="99"/>
      <c r="M41" s="99"/>
      <c r="N41" s="99"/>
      <c r="T41" s="56"/>
      <c r="X41" s="176"/>
      <c r="Y41" s="261">
        <f>+Y40+Y37</f>
        <v>1789989.1953077377</v>
      </c>
      <c r="Z41" s="261">
        <f>+Z40+Z37</f>
        <v>3579.9783906154757</v>
      </c>
      <c r="AA41" s="266">
        <f>AA40+AA37</f>
        <v>0.54561188958814666</v>
      </c>
      <c r="AB41" s="56"/>
      <c r="AC41" s="151"/>
    </row>
    <row r="42" spans="1:29" x14ac:dyDescent="0.2">
      <c r="A42" s="64" t="str">
        <f>DefaultData!B25</f>
        <v>Other Costs</v>
      </c>
      <c r="B42" s="47"/>
      <c r="C42" s="120"/>
      <c r="D42" s="97"/>
      <c r="E42" s="259"/>
      <c r="F42" s="256"/>
      <c r="G42" s="99"/>
      <c r="H42" s="99"/>
      <c r="I42" s="99"/>
      <c r="J42" s="99"/>
      <c r="K42" s="99"/>
      <c r="L42" s="99"/>
      <c r="M42" s="99"/>
      <c r="N42" s="99"/>
      <c r="T42" s="56"/>
      <c r="X42" s="76"/>
      <c r="Y42" s="267"/>
      <c r="Z42" s="261"/>
      <c r="AA42" s="266"/>
      <c r="AB42" s="56"/>
      <c r="AC42" s="151"/>
    </row>
    <row r="43" spans="1:29" x14ac:dyDescent="0.2">
      <c r="A43" s="45" t="str">
        <f>DefaultData!B26</f>
        <v xml:space="preserve">  Permitting</v>
      </c>
      <c r="B43" s="44">
        <f>C43*$B$20</f>
        <v>91863.275178912125</v>
      </c>
      <c r="C43" s="261">
        <f>DefaultData!$D26</f>
        <v>183.72655035782424</v>
      </c>
      <c r="D43" s="97">
        <f>B43/(B$49)</f>
        <v>2.6973566081458157E-2</v>
      </c>
      <c r="E43" s="56">
        <f>$T43</f>
        <v>1</v>
      </c>
      <c r="F43" s="256"/>
      <c r="G43" s="99"/>
      <c r="H43" s="99"/>
      <c r="I43" s="99"/>
      <c r="J43" s="99"/>
      <c r="K43" s="99"/>
      <c r="L43" s="99"/>
      <c r="M43" s="99"/>
      <c r="N43" s="99"/>
      <c r="T43" s="56">
        <f>IF(T$11=0,DefaultData!$F26,IF(T$11=2,"Pop. Data Missing",IF($B$13&lt;DefaultData!$G$13,DefaultData!$G26,IF($B$13&lt;DefaultData!$H$13,DefaultData!$N26,IF($B$13&lt;DefaultData!$I$13,DefaultData!$Q26,DefaultData!$T26)))))</f>
        <v>1</v>
      </c>
      <c r="X43" s="176"/>
      <c r="Y43" s="261">
        <f>Z43*$B$20</f>
        <v>91863.275178912125</v>
      </c>
      <c r="Z43" s="261">
        <f>DefaultData!$D26</f>
        <v>183.72655035782424</v>
      </c>
      <c r="AA43" s="266">
        <f t="shared" ref="AA43:AA48" si="0">Y43/(Y$47)</f>
        <v>2.8001116032158581E-2</v>
      </c>
      <c r="AB43" s="56">
        <f>$T43</f>
        <v>1</v>
      </c>
      <c r="AC43" s="151"/>
    </row>
    <row r="44" spans="1:29" x14ac:dyDescent="0.2">
      <c r="A44" s="45" t="str">
        <f>DefaultData!B27</f>
        <v xml:space="preserve">  Other Costs</v>
      </c>
      <c r="B44" s="44">
        <f>C44*$B$20</f>
        <v>183726.55035782425</v>
      </c>
      <c r="C44" s="261">
        <f>DefaultData!$D27</f>
        <v>367.45310071564847</v>
      </c>
      <c r="D44" s="97">
        <f>B44/(B$49)</f>
        <v>5.3947132162916314E-2</v>
      </c>
      <c r="E44" s="56">
        <f>$T44</f>
        <v>1</v>
      </c>
      <c r="F44" s="279"/>
      <c r="G44" s="99"/>
      <c r="H44" s="99"/>
      <c r="I44" s="99"/>
      <c r="J44" s="99"/>
      <c r="K44" s="99"/>
      <c r="L44" s="99"/>
      <c r="M44" s="99"/>
      <c r="N44" s="99"/>
      <c r="T44" s="56">
        <f>IF(T$11=0,DefaultData!$F27,IF(T$11=2,"Pop. Data Missing",IF($B$13&lt;DefaultData!$G$13,DefaultData!$G27,IF($B$13&lt;DefaultData!$H$13,DefaultData!$N27,IF($B$13&lt;DefaultData!$I$13,DefaultData!$Q27,DefaultData!$T27)))))</f>
        <v>1</v>
      </c>
      <c r="X44" s="176"/>
      <c r="Y44" s="261">
        <f>Z44*$B$20</f>
        <v>183726.55035782425</v>
      </c>
      <c r="Z44" s="261">
        <f>DefaultData!$D27</f>
        <v>367.45310071564847</v>
      </c>
      <c r="AA44" s="266">
        <f t="shared" si="0"/>
        <v>5.6002232064317162E-2</v>
      </c>
      <c r="AB44" s="56">
        <f>$T44</f>
        <v>1</v>
      </c>
      <c r="AC44" s="57"/>
    </row>
    <row r="45" spans="1:29" x14ac:dyDescent="0.2">
      <c r="A45" s="45" t="str">
        <f>DefaultData!B28</f>
        <v xml:space="preserve">  Business Overhead</v>
      </c>
      <c r="B45" s="44">
        <f>C45*$B$20</f>
        <v>1215121.4724290601</v>
      </c>
      <c r="C45" s="261">
        <f>DefaultData!$D28</f>
        <v>2430.2429448581202</v>
      </c>
      <c r="D45" s="97">
        <f>B45/(B$49)</f>
        <v>0.35679284534248779</v>
      </c>
      <c r="E45" s="56">
        <f>$T45</f>
        <v>1</v>
      </c>
      <c r="F45" s="279"/>
      <c r="G45" s="99"/>
      <c r="H45" s="99"/>
      <c r="I45" s="99"/>
      <c r="J45" s="99"/>
      <c r="K45" s="99"/>
      <c r="L45" s="99"/>
      <c r="M45" s="99"/>
      <c r="N45" s="99"/>
      <c r="T45" s="56">
        <f>IF(T$11=0,DefaultData!$F28,IF(T$11=2,"Pop. Data Missing",IF($B$13&lt;DefaultData!$G$13,DefaultData!$G28,IF($B$13&lt;DefaultData!$H$13,DefaultData!$N28,IF($B$13&lt;DefaultData!$I$13,DefaultData!$Q28,DefaultData!$T28)))))</f>
        <v>1</v>
      </c>
      <c r="X45" s="176"/>
      <c r="Y45" s="261">
        <f>Z45*$B$20</f>
        <v>1215121.4724290601</v>
      </c>
      <c r="Z45" s="261">
        <f>DefaultData!$D28</f>
        <v>2430.2429448581202</v>
      </c>
      <c r="AA45" s="266">
        <f t="shared" si="0"/>
        <v>0.37038476231537765</v>
      </c>
      <c r="AB45" s="56">
        <f>$T45</f>
        <v>1</v>
      </c>
      <c r="AC45" s="57"/>
    </row>
    <row r="46" spans="1:29" x14ac:dyDescent="0.2">
      <c r="A46" s="45" t="str">
        <f>DefaultData!B29</f>
        <v xml:space="preserve">  Subtotal</v>
      </c>
      <c r="B46" s="44">
        <f>SUM(B43:B45)</f>
        <v>1490711.2979657967</v>
      </c>
      <c r="C46" s="44">
        <f>SUM(C43:C45)</f>
        <v>2981.4225959315927</v>
      </c>
      <c r="D46" s="97">
        <f>B46/(B$49)</f>
        <v>0.43771354358686226</v>
      </c>
      <c r="E46" s="259"/>
      <c r="F46" s="256"/>
      <c r="G46" s="99"/>
      <c r="H46" s="99"/>
      <c r="I46" s="99"/>
      <c r="J46" s="99"/>
      <c r="K46" s="99"/>
      <c r="L46" s="99"/>
      <c r="M46" s="99"/>
      <c r="N46" s="99"/>
      <c r="T46" s="56"/>
      <c r="X46" s="176"/>
      <c r="Y46" s="261">
        <f>SUM(Y43:Y45)</f>
        <v>1490711.2979657967</v>
      </c>
      <c r="Z46" s="261">
        <f>SUM(Z43:Z45)</f>
        <v>2981.4225959315927</v>
      </c>
      <c r="AA46" s="266">
        <f t="shared" si="0"/>
        <v>0.4543881104118534</v>
      </c>
      <c r="AB46" s="56"/>
      <c r="AC46" s="151"/>
    </row>
    <row r="47" spans="1:29" x14ac:dyDescent="0.2">
      <c r="A47" s="64" t="s">
        <v>290</v>
      </c>
      <c r="B47" s="44">
        <f>B46+B41</f>
        <v>3280700.4932735343</v>
      </c>
      <c r="C47" s="44">
        <f>C46+C41</f>
        <v>6561.4009865470689</v>
      </c>
      <c r="D47" s="97">
        <f>D46+D41</f>
        <v>0.96330325014473317</v>
      </c>
      <c r="E47" s="259"/>
      <c r="F47" s="256"/>
      <c r="G47" s="99"/>
      <c r="H47" s="99"/>
      <c r="I47" s="99"/>
      <c r="J47" s="99"/>
      <c r="K47" s="99"/>
      <c r="L47" s="99"/>
      <c r="M47" s="99"/>
      <c r="N47" s="99"/>
      <c r="T47" s="56"/>
      <c r="X47" s="76"/>
      <c r="Y47" s="261">
        <f>Y46+Y41</f>
        <v>3280700.4932735343</v>
      </c>
      <c r="Z47" s="261">
        <f>Z46+Z41</f>
        <v>6561.4009865470689</v>
      </c>
      <c r="AA47" s="266">
        <f t="shared" si="0"/>
        <v>1</v>
      </c>
      <c r="AB47" s="56"/>
      <c r="AC47" s="151"/>
    </row>
    <row r="48" spans="1:29" x14ac:dyDescent="0.2">
      <c r="A48" s="428" t="s">
        <v>291</v>
      </c>
      <c r="B48" s="261">
        <f>B37*(B77*(1-B78))</f>
        <v>124977.30629853181</v>
      </c>
      <c r="C48" s="44">
        <f>B48/B$20</f>
        <v>249.95461259706363</v>
      </c>
      <c r="D48" s="97">
        <f>B48/(B$49)</f>
        <v>3.6696749855266872E-2</v>
      </c>
      <c r="E48" s="259">
        <f>$T48</f>
        <v>1</v>
      </c>
      <c r="F48" s="256"/>
      <c r="G48" s="99"/>
      <c r="H48" s="99"/>
      <c r="I48" s="99"/>
      <c r="J48" s="99"/>
      <c r="K48" s="99"/>
      <c r="L48" s="99"/>
      <c r="M48" s="99"/>
      <c r="N48" s="99"/>
      <c r="T48" s="56">
        <f>D$77</f>
        <v>1</v>
      </c>
      <c r="X48" s="76"/>
      <c r="Y48" s="261">
        <f>Y37*(Y77*(1-Y78))</f>
        <v>124977.30629853181</v>
      </c>
      <c r="Z48" s="261">
        <f>DefaultData!$D31</f>
        <v>249.95461259706363</v>
      </c>
      <c r="AA48" s="266">
        <f t="shared" si="0"/>
        <v>3.8094701590338557E-2</v>
      </c>
      <c r="AB48" s="56">
        <f>$T48</f>
        <v>1</v>
      </c>
      <c r="AC48" s="151"/>
    </row>
    <row r="49" spans="1:29" x14ac:dyDescent="0.2">
      <c r="A49" s="64" t="s">
        <v>4</v>
      </c>
      <c r="B49" s="44">
        <f>B48+B47</f>
        <v>3405677.7995720659</v>
      </c>
      <c r="C49" s="44">
        <f>B49/B$20</f>
        <v>6811.3555991441317</v>
      </c>
      <c r="D49" s="97">
        <f>D48+D47</f>
        <v>1</v>
      </c>
      <c r="E49" s="259"/>
      <c r="F49" s="256"/>
      <c r="G49" s="99"/>
      <c r="H49" s="99"/>
      <c r="I49" s="99"/>
      <c r="J49" s="99"/>
      <c r="K49" s="99"/>
      <c r="L49" s="99"/>
      <c r="M49" s="99"/>
      <c r="N49" s="99"/>
      <c r="T49" s="56"/>
      <c r="X49" s="76"/>
      <c r="Y49" s="261"/>
      <c r="Z49" s="261"/>
      <c r="AA49" s="266"/>
      <c r="AB49" s="56"/>
      <c r="AC49" s="151"/>
    </row>
    <row r="50" spans="1:29" x14ac:dyDescent="0.2">
      <c r="A50" s="45"/>
      <c r="B50" s="47"/>
      <c r="C50" s="44"/>
      <c r="D50" s="98"/>
      <c r="E50" s="259"/>
      <c r="F50" s="256"/>
      <c r="G50" s="99"/>
      <c r="H50" s="99"/>
      <c r="I50" s="99"/>
      <c r="J50" s="99"/>
      <c r="K50" s="99"/>
      <c r="L50" s="99"/>
      <c r="M50" s="99"/>
      <c r="N50" s="99"/>
      <c r="T50" s="56"/>
      <c r="X50" s="176"/>
      <c r="Y50" s="267"/>
      <c r="Z50" s="261"/>
      <c r="AA50" s="266"/>
      <c r="AB50" s="56"/>
      <c r="AC50" s="151"/>
    </row>
    <row r="51" spans="1:29" ht="15.75" x14ac:dyDescent="0.25">
      <c r="A51" s="66" t="str">
        <f>DefaultData!B33</f>
        <v>PV System Annual Operating and Maintenance Costs</v>
      </c>
      <c r="B51" s="47"/>
      <c r="C51" s="99"/>
      <c r="D51" s="48"/>
      <c r="E51" s="260"/>
      <c r="F51" s="256"/>
      <c r="G51" s="99"/>
      <c r="H51" s="99"/>
      <c r="I51" s="99"/>
      <c r="J51" s="99"/>
      <c r="K51" s="99"/>
      <c r="L51" s="99"/>
      <c r="M51" s="99"/>
      <c r="N51" s="99"/>
      <c r="T51" s="56"/>
      <c r="X51" s="227"/>
      <c r="Y51" s="267"/>
      <c r="Z51" s="151"/>
      <c r="AA51" s="268"/>
      <c r="AB51" s="268"/>
      <c r="AC51" s="151"/>
    </row>
    <row r="52" spans="1:29" x14ac:dyDescent="0.2">
      <c r="A52" s="48"/>
      <c r="B52" s="42" t="s">
        <v>111</v>
      </c>
      <c r="C52" s="100" t="s">
        <v>198</v>
      </c>
      <c r="D52" s="65" t="s">
        <v>169</v>
      </c>
      <c r="E52" s="255" t="s">
        <v>307</v>
      </c>
      <c r="F52" s="197"/>
      <c r="G52" s="99"/>
      <c r="H52" s="99"/>
      <c r="I52" s="99"/>
      <c r="J52" s="99"/>
      <c r="K52" s="99"/>
      <c r="L52" s="99"/>
      <c r="M52" s="99"/>
      <c r="N52" s="99"/>
      <c r="T52" s="56"/>
      <c r="X52" s="166"/>
      <c r="Y52" s="53"/>
      <c r="Z52" s="53"/>
      <c r="AA52" s="269"/>
      <c r="AB52" s="53"/>
      <c r="AC52" s="151"/>
    </row>
    <row r="53" spans="1:29" x14ac:dyDescent="0.2">
      <c r="A53" s="67" t="str">
        <f>DefaultData!B34</f>
        <v>Labor</v>
      </c>
      <c r="B53" s="48"/>
      <c r="C53" s="100" t="s">
        <v>576</v>
      </c>
      <c r="D53" s="65" t="s">
        <v>170</v>
      </c>
      <c r="E53" s="255" t="s">
        <v>308</v>
      </c>
      <c r="F53" s="197"/>
      <c r="G53" s="99"/>
      <c r="H53" s="99"/>
      <c r="I53" s="99"/>
      <c r="J53" s="99"/>
      <c r="K53" s="99"/>
      <c r="L53" s="99"/>
      <c r="M53" s="99"/>
      <c r="N53" s="99"/>
      <c r="T53" s="56"/>
      <c r="X53" s="228"/>
      <c r="Y53" s="268"/>
      <c r="Z53" s="53"/>
      <c r="AA53" s="269"/>
      <c r="AB53" s="53"/>
      <c r="AC53" s="151"/>
    </row>
    <row r="54" spans="1:29" x14ac:dyDescent="0.2">
      <c r="A54" s="90" t="str">
        <f>DefaultData!B35</f>
        <v xml:space="preserve">  Technicians</v>
      </c>
      <c r="B54" s="44">
        <f>C54*$B$20</f>
        <v>8965.3333333333321</v>
      </c>
      <c r="C54" s="262">
        <f>DefaultData!$D35</f>
        <v>17.930666666666664</v>
      </c>
      <c r="D54" s="98">
        <f>B54/B$62</f>
        <v>0.52695842169526375</v>
      </c>
      <c r="E54" s="56">
        <f>$T54</f>
        <v>1</v>
      </c>
      <c r="F54" s="256"/>
      <c r="G54" s="99"/>
      <c r="H54" s="99"/>
      <c r="I54" s="99"/>
      <c r="J54" s="99"/>
      <c r="K54" s="99"/>
      <c r="L54" s="99"/>
      <c r="M54" s="99"/>
      <c r="N54" s="99"/>
      <c r="T54" s="56">
        <f>IF(T$11=0,DefaultData!$F35,IF(T$11=2,"Pop. Data Missing",IF($B$13&lt;DefaultData!$G$13,DefaultData!$G35,IF($B$13&lt;DefaultData!$H$13,DefaultData!$N35,IF($B$13&lt;DefaultData!$I$13,DefaultData!$Q35,DefaultData!$T35)))))</f>
        <v>1</v>
      </c>
      <c r="X54" s="229"/>
      <c r="Y54" s="261">
        <f>Z54*$B$20</f>
        <v>8965.3333333333321</v>
      </c>
      <c r="Z54" s="262">
        <f>DefaultData!$D35</f>
        <v>17.930666666666664</v>
      </c>
      <c r="AA54" s="266">
        <f>Y54/Y$62</f>
        <v>0.54666666666666663</v>
      </c>
      <c r="AB54" s="56">
        <f>$T54</f>
        <v>1</v>
      </c>
      <c r="AC54" s="151"/>
    </row>
    <row r="55" spans="1:29" x14ac:dyDescent="0.2">
      <c r="A55" s="90" t="str">
        <f>DefaultData!B36</f>
        <v xml:space="preserve">  Subtotal</v>
      </c>
      <c r="B55" s="44">
        <f>SUM(B54:B54)</f>
        <v>8965.3333333333321</v>
      </c>
      <c r="C55" s="121">
        <f>C54</f>
        <v>17.930666666666664</v>
      </c>
      <c r="D55" s="98">
        <f>SUM(D54:D54)</f>
        <v>0.52695842169526375</v>
      </c>
      <c r="E55" s="259"/>
      <c r="F55" s="256"/>
      <c r="G55" s="99"/>
      <c r="H55" s="99"/>
      <c r="I55" s="99"/>
      <c r="J55" s="99"/>
      <c r="K55" s="99"/>
      <c r="L55" s="99"/>
      <c r="M55" s="99"/>
      <c r="N55" s="99"/>
      <c r="T55" s="56"/>
      <c r="X55" s="229"/>
      <c r="Y55" s="261">
        <f>SUM(Y54:Y54)</f>
        <v>8965.3333333333321</v>
      </c>
      <c r="Z55" s="262">
        <f>Z54</f>
        <v>17.930666666666664</v>
      </c>
      <c r="AA55" s="266">
        <f>SUM(AA54:AA54)</f>
        <v>0.54666666666666663</v>
      </c>
      <c r="AB55" s="56"/>
      <c r="AC55" s="151"/>
    </row>
    <row r="56" spans="1:29" x14ac:dyDescent="0.2">
      <c r="A56" s="90"/>
      <c r="B56" s="44"/>
      <c r="C56" s="121"/>
      <c r="D56" s="98"/>
      <c r="E56" s="255" t="s">
        <v>254</v>
      </c>
      <c r="F56" s="197" t="s">
        <v>252</v>
      </c>
      <c r="G56" s="99"/>
      <c r="H56" s="99"/>
      <c r="I56" s="99"/>
      <c r="J56" s="99"/>
      <c r="K56" s="99"/>
      <c r="L56" s="99"/>
      <c r="M56" s="99"/>
      <c r="N56" s="99"/>
      <c r="T56" s="56"/>
      <c r="X56" s="229"/>
      <c r="Y56" s="261"/>
      <c r="Z56" s="262"/>
      <c r="AA56" s="266"/>
      <c r="AB56" s="56"/>
      <c r="AC56" s="151"/>
    </row>
    <row r="57" spans="1:29" x14ac:dyDescent="0.2">
      <c r="A57" s="67" t="str">
        <f>DefaultData!B37</f>
        <v>Materials and Services</v>
      </c>
      <c r="B57" s="47"/>
      <c r="C57" s="99"/>
      <c r="D57" s="39"/>
      <c r="E57" s="42" t="s">
        <v>257</v>
      </c>
      <c r="F57" s="197" t="s">
        <v>256</v>
      </c>
      <c r="G57" s="99"/>
      <c r="H57" s="99"/>
      <c r="I57" s="99"/>
      <c r="J57" s="99"/>
      <c r="K57" s="99"/>
      <c r="L57" s="99"/>
      <c r="M57" s="99"/>
      <c r="N57" s="99"/>
      <c r="T57" s="56"/>
      <c r="X57" s="228"/>
      <c r="Y57" s="267"/>
      <c r="Z57" s="151"/>
      <c r="AA57" s="151"/>
      <c r="AB57" s="56"/>
      <c r="AC57" s="53"/>
    </row>
    <row r="58" spans="1:29" x14ac:dyDescent="0.2">
      <c r="A58" s="90" t="str">
        <f>DefaultData!B38</f>
        <v xml:space="preserve">  Materials &amp; Equipment</v>
      </c>
      <c r="B58" s="44">
        <f>C58*$B$20</f>
        <v>7434.666666666667</v>
      </c>
      <c r="C58" s="262">
        <f>DefaultData!$D38</f>
        <v>14.869333333333334</v>
      </c>
      <c r="D58" s="98">
        <f>B58/B$62</f>
        <v>0.43698991067412118</v>
      </c>
      <c r="E58" s="56">
        <f>$T58</f>
        <v>1</v>
      </c>
      <c r="F58" s="57" t="str">
        <f>DefaultData!$AG38</f>
        <v>N</v>
      </c>
      <c r="G58" s="99"/>
      <c r="H58" s="99"/>
      <c r="I58" s="99"/>
      <c r="J58" s="99"/>
      <c r="K58" s="99"/>
      <c r="L58" s="99"/>
      <c r="M58" s="99"/>
      <c r="N58" s="99"/>
      <c r="T58" s="56">
        <f>IF(T$11=0,DefaultData!$F38,IF(T$11=2,"Pop. Data Missing",IF($B$13&lt;DefaultData!$G$13,DefaultData!$G38,IF($B$13&lt;DefaultData!$H$13,DefaultData!$N38,IF($B$13&lt;DefaultData!$I$13,DefaultData!$Q38,DefaultData!$T38)))))</f>
        <v>1</v>
      </c>
      <c r="X58" s="229"/>
      <c r="Y58" s="261">
        <f>Z58*$B$20</f>
        <v>7434.666666666667</v>
      </c>
      <c r="Z58" s="262">
        <f>DefaultData!$D38</f>
        <v>14.869333333333334</v>
      </c>
      <c r="AA58" s="266">
        <f>Y58/Y$62</f>
        <v>0.45333333333333337</v>
      </c>
      <c r="AB58" s="56">
        <f>$T58</f>
        <v>1</v>
      </c>
      <c r="AC58" s="57" t="str">
        <f>DefaultData!$AG38</f>
        <v>N</v>
      </c>
    </row>
    <row r="59" spans="1:29" x14ac:dyDescent="0.2">
      <c r="A59" s="90" t="str">
        <f>DefaultData!B39</f>
        <v xml:space="preserve">  Services</v>
      </c>
      <c r="B59" s="44">
        <f>C59*$B$20</f>
        <v>0</v>
      </c>
      <c r="C59" s="262">
        <f>DefaultData!$D39</f>
        <v>0</v>
      </c>
      <c r="D59" s="98">
        <f>B59/B$62</f>
        <v>0</v>
      </c>
      <c r="E59" s="56">
        <f>$T59</f>
        <v>1</v>
      </c>
      <c r="F59" s="260"/>
      <c r="G59" s="99"/>
      <c r="H59" s="99"/>
      <c r="I59" s="99"/>
      <c r="J59" s="99"/>
      <c r="K59" s="99"/>
      <c r="L59" s="99"/>
      <c r="M59" s="99"/>
      <c r="N59" s="99"/>
      <c r="T59" s="56">
        <f>IF(T$11=0,DefaultData!$F39,IF(T$11=2,"Pop. Data Missing",IF($B$13&lt;DefaultData!$G$13,DefaultData!$G39,IF($B$13&lt;DefaultData!$H$13,DefaultData!$N39,IF($B$13&lt;DefaultData!$I$13,DefaultData!$Q39,DefaultData!$T39)))))</f>
        <v>1</v>
      </c>
      <c r="X59" s="229"/>
      <c r="Y59" s="261">
        <f>Z59*$B$20</f>
        <v>0</v>
      </c>
      <c r="Z59" s="262">
        <f>DefaultData!$D39</f>
        <v>0</v>
      </c>
      <c r="AA59" s="266">
        <f>Y59/Y$62</f>
        <v>0</v>
      </c>
      <c r="AB59" s="56">
        <f>$T59</f>
        <v>1</v>
      </c>
      <c r="AC59" s="268"/>
    </row>
    <row r="60" spans="1:29" x14ac:dyDescent="0.2">
      <c r="A60" s="90" t="str">
        <f>DefaultData!B40</f>
        <v xml:space="preserve">  Subtotal</v>
      </c>
      <c r="B60" s="44">
        <f>SUM(B58:B59)</f>
        <v>7434.666666666667</v>
      </c>
      <c r="C60" s="121">
        <f>C59+C58</f>
        <v>14.869333333333334</v>
      </c>
      <c r="D60" s="98">
        <f>SUM(D58:D59)</f>
        <v>0.43698991067412118</v>
      </c>
      <c r="E60" s="48"/>
      <c r="F60" s="48"/>
      <c r="G60" s="99"/>
      <c r="H60" s="99"/>
      <c r="I60" s="99"/>
      <c r="J60" s="99"/>
      <c r="K60" s="99"/>
      <c r="L60" s="99"/>
      <c r="M60" s="99"/>
      <c r="N60" s="99"/>
      <c r="T60" s="56"/>
      <c r="X60" s="229"/>
      <c r="Y60" s="261">
        <f>SUM(Y58:Y59)</f>
        <v>7434.666666666667</v>
      </c>
      <c r="Z60" s="262">
        <f>Z59+Z58</f>
        <v>14.869333333333334</v>
      </c>
      <c r="AA60" s="266">
        <f>SUM(AA58:AA59)</f>
        <v>0.45333333333333337</v>
      </c>
      <c r="AB60" s="268"/>
      <c r="AC60" s="268"/>
    </row>
    <row r="61" spans="1:29" x14ac:dyDescent="0.2">
      <c r="A61" s="428" t="s">
        <v>291</v>
      </c>
      <c r="B61" s="261">
        <f>B58*(B$77*(1-B$78))</f>
        <v>613.36</v>
      </c>
      <c r="C61" s="72">
        <f>B61/B$20</f>
        <v>1.22672</v>
      </c>
      <c r="D61" s="97">
        <f>B61/(B$62)</f>
        <v>3.6051667630615E-2</v>
      </c>
      <c r="E61" s="259">
        <f>$T61</f>
        <v>1</v>
      </c>
      <c r="F61" s="48"/>
      <c r="G61" s="99"/>
      <c r="H61" s="99"/>
      <c r="I61" s="99"/>
      <c r="J61" s="99"/>
      <c r="K61" s="99"/>
      <c r="L61" s="99"/>
      <c r="M61" s="99"/>
      <c r="N61" s="99"/>
      <c r="T61" s="56">
        <f>D$77</f>
        <v>1</v>
      </c>
      <c r="X61" s="229"/>
      <c r="Y61" s="261">
        <f>Y58*(Y$77*(1-Y$78))</f>
        <v>613.36</v>
      </c>
      <c r="Z61" s="262"/>
      <c r="AA61" s="266"/>
      <c r="AB61" s="268"/>
      <c r="AC61" s="268"/>
    </row>
    <row r="62" spans="1:29" x14ac:dyDescent="0.2">
      <c r="A62" s="65" t="s">
        <v>4</v>
      </c>
      <c r="B62" s="44">
        <f>B61+B60+B55</f>
        <v>17013.36</v>
      </c>
      <c r="C62" s="72">
        <f>C61+C60+C55</f>
        <v>34.026719999999997</v>
      </c>
      <c r="D62" s="98">
        <f>D61+D60+D55</f>
        <v>1</v>
      </c>
      <c r="E62" s="39"/>
      <c r="F62" s="48"/>
      <c r="G62" s="99"/>
      <c r="H62" s="99"/>
      <c r="I62" s="99"/>
      <c r="J62" s="99"/>
      <c r="K62" s="99"/>
      <c r="L62" s="99"/>
      <c r="M62" s="99"/>
      <c r="N62" s="99"/>
      <c r="T62" s="56"/>
      <c r="X62" s="147"/>
      <c r="Y62" s="261">
        <f>Y60+Y55</f>
        <v>16400</v>
      </c>
      <c r="Z62" s="262">
        <f>Z60+Z55</f>
        <v>32.799999999999997</v>
      </c>
      <c r="AA62" s="266">
        <f>AA60+AA55</f>
        <v>1</v>
      </c>
      <c r="AB62" s="151"/>
      <c r="AC62" s="268"/>
    </row>
    <row r="63" spans="1:29" x14ac:dyDescent="0.2">
      <c r="A63" s="65"/>
      <c r="B63" s="102"/>
      <c r="C63" s="121"/>
      <c r="D63" s="39"/>
      <c r="E63" s="39"/>
      <c r="F63" s="48"/>
      <c r="G63" s="99"/>
      <c r="H63" s="99"/>
      <c r="I63" s="99"/>
      <c r="J63" s="99"/>
      <c r="K63" s="99"/>
      <c r="L63" s="99"/>
      <c r="M63" s="99"/>
      <c r="N63" s="99"/>
      <c r="T63" s="56"/>
      <c r="X63" s="147"/>
      <c r="Y63" s="270"/>
      <c r="Z63" s="262"/>
      <c r="AA63" s="151"/>
      <c r="AB63" s="151"/>
      <c r="AC63" s="268"/>
    </row>
    <row r="64" spans="1:29" ht="15.75" x14ac:dyDescent="0.25">
      <c r="A64" s="68" t="str">
        <f>DefaultData!B44</f>
        <v>Other Parameters</v>
      </c>
      <c r="B64" s="39"/>
      <c r="C64" s="48"/>
      <c r="D64" s="48"/>
      <c r="E64" s="48"/>
      <c r="F64" s="48"/>
      <c r="G64" s="99"/>
      <c r="H64" s="99"/>
      <c r="I64" s="99"/>
      <c r="J64" s="99"/>
      <c r="K64" s="99"/>
      <c r="L64" s="99"/>
      <c r="M64" s="99"/>
      <c r="N64" s="99"/>
      <c r="T64" s="56"/>
      <c r="X64" s="230"/>
      <c r="Y64" s="151"/>
      <c r="Z64" s="268"/>
      <c r="AA64" s="268"/>
      <c r="AB64" s="268"/>
      <c r="AC64" s="268"/>
    </row>
    <row r="65" spans="1:29" x14ac:dyDescent="0.2">
      <c r="A65" s="64" t="str">
        <f>DefaultData!B45</f>
        <v>Financial Parameters</v>
      </c>
      <c r="B65" s="39"/>
      <c r="C65" s="48"/>
      <c r="D65" s="42" t="s">
        <v>5</v>
      </c>
      <c r="E65" s="48"/>
      <c r="F65" s="48"/>
      <c r="G65" s="99"/>
      <c r="H65" s="99"/>
      <c r="I65" s="99"/>
      <c r="J65" s="99"/>
      <c r="K65" s="99"/>
      <c r="L65" s="99"/>
      <c r="M65" s="99"/>
      <c r="N65" s="99"/>
      <c r="T65" s="56"/>
      <c r="X65" s="76"/>
      <c r="Y65" s="151"/>
      <c r="Z65" s="268"/>
      <c r="AA65" s="53"/>
      <c r="AB65" s="268"/>
      <c r="AC65" s="268"/>
    </row>
    <row r="66" spans="1:29" x14ac:dyDescent="0.2">
      <c r="A66" s="64" t="str">
        <f>DefaultData!B46</f>
        <v>Debt Financing</v>
      </c>
      <c r="B66" s="39"/>
      <c r="C66" s="48"/>
      <c r="D66" s="42"/>
      <c r="E66" s="48"/>
      <c r="F66" s="48"/>
      <c r="G66" s="99"/>
      <c r="H66" s="99"/>
      <c r="I66" s="99"/>
      <c r="J66" s="99"/>
      <c r="K66" s="99"/>
      <c r="L66" s="99"/>
      <c r="M66" s="99"/>
      <c r="N66" s="99"/>
      <c r="T66" s="56"/>
      <c r="X66" s="76"/>
      <c r="Y66" s="151"/>
      <c r="Z66" s="268"/>
      <c r="AA66" s="53"/>
      <c r="AB66" s="268"/>
      <c r="AC66" s="268"/>
    </row>
    <row r="67" spans="1:29" x14ac:dyDescent="0.2">
      <c r="A67" s="45" t="str">
        <f>DefaultData!B47</f>
        <v xml:space="preserve">  Percentage financed</v>
      </c>
      <c r="B67" s="263">
        <f>DefaultData!$C47</f>
        <v>0.8</v>
      </c>
      <c r="C67" s="215"/>
      <c r="D67" s="56">
        <f>DefaultData!$E47</f>
        <v>0</v>
      </c>
      <c r="E67" s="48"/>
      <c r="F67" s="48"/>
      <c r="G67" s="99"/>
      <c r="H67" s="99"/>
      <c r="I67" s="99"/>
      <c r="J67" s="99"/>
      <c r="K67" s="99"/>
      <c r="L67" s="99"/>
      <c r="M67" s="99"/>
      <c r="N67" s="99"/>
      <c r="T67" s="56"/>
      <c r="X67" s="176"/>
      <c r="Y67" s="263">
        <f>DefaultData!$C47</f>
        <v>0.8</v>
      </c>
      <c r="Z67" s="268"/>
      <c r="AA67" s="56">
        <f>DefaultData!$E47</f>
        <v>0</v>
      </c>
      <c r="AB67" s="268"/>
      <c r="AC67" s="268"/>
    </row>
    <row r="68" spans="1:29" x14ac:dyDescent="0.2">
      <c r="A68" s="45" t="str">
        <f>DefaultData!B48</f>
        <v xml:space="preserve">  Years financed (term)</v>
      </c>
      <c r="B68" s="264">
        <f>DefaultData!$C48</f>
        <v>10</v>
      </c>
      <c r="C68" s="215"/>
      <c r="D68" s="216"/>
      <c r="E68" s="48"/>
      <c r="F68" s="48"/>
      <c r="G68" s="99"/>
      <c r="H68" s="99"/>
      <c r="I68" s="99"/>
      <c r="J68" s="99"/>
      <c r="K68" s="99"/>
      <c r="L68" s="99"/>
      <c r="M68" s="99"/>
      <c r="N68" s="99"/>
      <c r="T68" s="56"/>
      <c r="X68" s="176"/>
      <c r="Y68" s="264">
        <f>DefaultData!$C48</f>
        <v>10</v>
      </c>
      <c r="Z68" s="268"/>
      <c r="AA68" s="57"/>
      <c r="AB68" s="268"/>
      <c r="AC68" s="268"/>
    </row>
    <row r="69" spans="1:29" x14ac:dyDescent="0.2">
      <c r="A69" s="45" t="str">
        <f>DefaultData!B49</f>
        <v xml:space="preserve">  Interest rate</v>
      </c>
      <c r="B69" s="263">
        <f>DefaultData!$C49</f>
        <v>0.1</v>
      </c>
      <c r="C69" s="215"/>
      <c r="D69" s="216"/>
      <c r="E69" s="48"/>
      <c r="F69" s="48"/>
      <c r="G69" s="99"/>
      <c r="H69" s="99"/>
      <c r="I69" s="99"/>
      <c r="J69" s="99"/>
      <c r="K69" s="99"/>
      <c r="L69" s="99"/>
      <c r="M69" s="99"/>
      <c r="N69" s="99"/>
      <c r="X69" s="176"/>
      <c r="Y69" s="263">
        <f>DefaultData!$C49</f>
        <v>0.1</v>
      </c>
      <c r="Z69" s="268"/>
      <c r="AA69" s="57"/>
      <c r="AB69" s="268"/>
      <c r="AC69" s="268"/>
    </row>
    <row r="70" spans="1:29" x14ac:dyDescent="0.2">
      <c r="A70" s="64" t="str">
        <f>DefaultData!B51</f>
        <v>Tax Parameters</v>
      </c>
      <c r="B70" s="215"/>
      <c r="C70" s="215"/>
      <c r="D70" s="215"/>
      <c r="E70" s="48"/>
      <c r="F70" s="48"/>
      <c r="G70" s="100"/>
      <c r="H70" s="99"/>
      <c r="I70" s="99"/>
      <c r="J70" s="99"/>
      <c r="K70" s="99"/>
      <c r="L70" s="99"/>
      <c r="M70" s="99"/>
      <c r="N70" s="99"/>
      <c r="T70" s="56"/>
      <c r="X70" s="76"/>
      <c r="Y70" s="268"/>
      <c r="Z70" s="268"/>
      <c r="AA70" s="268"/>
      <c r="AB70" s="268"/>
      <c r="AC70" s="268"/>
    </row>
    <row r="71" spans="1:29" x14ac:dyDescent="0.2">
      <c r="A71" s="49" t="str">
        <f>DefaultData!B52</f>
        <v xml:space="preserve">  Local Property Tax (percent of taxable value)</v>
      </c>
      <c r="B71" s="265">
        <f>DefaultData!$C52</f>
        <v>0</v>
      </c>
      <c r="C71" s="215"/>
      <c r="D71" s="216"/>
      <c r="E71" s="48"/>
      <c r="F71" s="48"/>
      <c r="G71" s="99"/>
      <c r="H71" s="99"/>
      <c r="I71" s="99"/>
      <c r="J71" s="99"/>
      <c r="K71" s="99"/>
      <c r="L71" s="99"/>
      <c r="M71" s="99"/>
      <c r="N71" s="99"/>
      <c r="T71" s="56"/>
      <c r="X71" s="125"/>
      <c r="Y71" s="265">
        <f>DefaultData!$C52</f>
        <v>0</v>
      </c>
      <c r="Z71" s="268"/>
      <c r="AA71" s="57"/>
      <c r="AB71" s="268"/>
      <c r="AC71" s="268"/>
    </row>
    <row r="72" spans="1:29" x14ac:dyDescent="0.2">
      <c r="A72" s="49" t="str">
        <f>DefaultData!B53</f>
        <v xml:space="preserve">  Assessed Value (percent of construction cost)</v>
      </c>
      <c r="B72" s="265">
        <f>DefaultData!$C53</f>
        <v>0</v>
      </c>
      <c r="C72" s="215"/>
      <c r="D72" s="216"/>
      <c r="E72" s="48"/>
      <c r="F72" s="48"/>
      <c r="G72" s="101"/>
      <c r="H72" s="99"/>
      <c r="I72" s="99"/>
      <c r="J72" s="99"/>
      <c r="K72" s="99"/>
      <c r="L72" s="99"/>
      <c r="M72" s="99"/>
      <c r="N72" s="99"/>
      <c r="T72" s="56"/>
      <c r="X72" s="125"/>
      <c r="Y72" s="265">
        <f>DefaultData!$C53</f>
        <v>0</v>
      </c>
      <c r="Z72" s="268"/>
      <c r="AA72" s="57"/>
      <c r="AB72" s="268"/>
      <c r="AC72" s="268"/>
    </row>
    <row r="73" spans="1:29" x14ac:dyDescent="0.2">
      <c r="A73" s="49" t="str">
        <f>DefaultData!B54</f>
        <v xml:space="preserve">  Taxable Value (percent of assessed value)</v>
      </c>
      <c r="B73" s="265">
        <f>DefaultData!$C54</f>
        <v>0</v>
      </c>
      <c r="C73" s="215"/>
      <c r="D73" s="216"/>
      <c r="E73" s="48"/>
      <c r="F73" s="48"/>
      <c r="G73" s="101"/>
      <c r="H73" s="99"/>
      <c r="I73" s="99"/>
      <c r="J73" s="99"/>
      <c r="K73" s="99"/>
      <c r="L73" s="99"/>
      <c r="M73" s="99"/>
      <c r="N73" s="99"/>
      <c r="T73" s="56"/>
      <c r="X73" s="125"/>
      <c r="Y73" s="265">
        <f>DefaultData!$C54</f>
        <v>0</v>
      </c>
      <c r="Z73" s="268"/>
      <c r="AA73" s="57"/>
      <c r="AB73" s="268"/>
      <c r="AC73" s="268"/>
    </row>
    <row r="74" spans="1:29" x14ac:dyDescent="0.2">
      <c r="A74" s="49" t="str">
        <f>DefaultData!B55</f>
        <v xml:space="preserve">  Taxable Value</v>
      </c>
      <c r="B74" s="261">
        <f>+B73*B72*B47</f>
        <v>0</v>
      </c>
      <c r="C74" s="215"/>
      <c r="D74" s="216"/>
      <c r="E74" s="48"/>
      <c r="F74" s="48"/>
      <c r="G74" s="101"/>
      <c r="H74" s="99"/>
      <c r="I74" s="99"/>
      <c r="J74" s="99"/>
      <c r="K74" s="99"/>
      <c r="L74" s="99"/>
      <c r="M74" s="99"/>
      <c r="N74" s="99"/>
      <c r="T74" s="56"/>
      <c r="X74" s="125"/>
      <c r="Y74" s="261">
        <f>+Y73*Y72*Y47</f>
        <v>0</v>
      </c>
      <c r="Z74" s="268"/>
      <c r="AA74" s="57"/>
      <c r="AB74" s="268"/>
      <c r="AC74" s="268"/>
    </row>
    <row r="75" spans="1:29" x14ac:dyDescent="0.2">
      <c r="A75" s="78" t="s">
        <v>363</v>
      </c>
      <c r="B75" s="265">
        <f>DefaultData!$C56</f>
        <v>1</v>
      </c>
      <c r="C75" s="215"/>
      <c r="D75" s="216"/>
      <c r="E75" s="48"/>
      <c r="F75" s="48"/>
      <c r="G75" s="101"/>
      <c r="H75" s="99"/>
      <c r="I75" s="99"/>
      <c r="J75" s="99"/>
      <c r="K75" s="99"/>
      <c r="L75" s="99"/>
      <c r="M75" s="99"/>
      <c r="N75" s="99"/>
      <c r="T75" s="56"/>
      <c r="X75" s="125"/>
      <c r="Y75" s="265">
        <f>DefaultData!$C56</f>
        <v>1</v>
      </c>
      <c r="Z75" s="268"/>
      <c r="AA75" s="57"/>
      <c r="AB75" s="268"/>
      <c r="AC75" s="268"/>
    </row>
    <row r="76" spans="1:29" x14ac:dyDescent="0.2">
      <c r="A76" s="78" t="s">
        <v>364</v>
      </c>
      <c r="B76" s="261">
        <f>B74*B71*(1-B75)</f>
        <v>0</v>
      </c>
      <c r="C76" s="215"/>
      <c r="D76" s="56">
        <f>DefaultData!$E57</f>
        <v>1</v>
      </c>
      <c r="E76" s="48"/>
      <c r="F76" s="48"/>
      <c r="G76" s="101"/>
      <c r="H76" s="99"/>
      <c r="I76" s="99"/>
      <c r="J76" s="99"/>
      <c r="K76" s="99"/>
      <c r="L76" s="99"/>
      <c r="M76" s="99"/>
      <c r="N76" s="99"/>
      <c r="T76" s="56"/>
      <c r="X76" s="125"/>
      <c r="Y76" s="261">
        <f>Y74*Y71*(1-Y75)</f>
        <v>0</v>
      </c>
      <c r="Z76" s="268"/>
      <c r="AA76" s="56">
        <f>DefaultData!$E57</f>
        <v>1</v>
      </c>
      <c r="AB76" s="268"/>
      <c r="AC76" s="268"/>
    </row>
    <row r="77" spans="1:29" x14ac:dyDescent="0.2">
      <c r="A77" s="280" t="s">
        <v>292</v>
      </c>
      <c r="B77" s="281">
        <f>DefaultData!$C58</f>
        <v>8.2500000000000004E-2</v>
      </c>
      <c r="C77" s="39"/>
      <c r="D77" s="56">
        <f>DefaultData!$E58</f>
        <v>1</v>
      </c>
      <c r="E77" s="48"/>
      <c r="F77" s="48"/>
      <c r="G77" s="101"/>
      <c r="H77" s="99"/>
      <c r="I77" s="99"/>
      <c r="J77" s="99"/>
      <c r="K77" s="99"/>
      <c r="L77" s="99"/>
      <c r="M77" s="99"/>
      <c r="N77" s="99"/>
      <c r="T77" s="56"/>
      <c r="X77" s="125"/>
      <c r="Y77" s="281">
        <f>DefaultData!$C58</f>
        <v>8.2500000000000004E-2</v>
      </c>
      <c r="Z77" s="137"/>
      <c r="AA77" s="56">
        <f>DefaultData!$E58</f>
        <v>1</v>
      </c>
      <c r="AB77" s="166"/>
      <c r="AC77" s="166"/>
    </row>
    <row r="78" spans="1:29" x14ac:dyDescent="0.2">
      <c r="A78" s="280" t="s">
        <v>447</v>
      </c>
      <c r="B78" s="265">
        <f>DefaultData!$C59</f>
        <v>0</v>
      </c>
      <c r="C78" s="39"/>
      <c r="D78" s="105"/>
      <c r="E78" s="48"/>
      <c r="F78" s="48"/>
      <c r="G78" s="101"/>
      <c r="H78" s="99"/>
      <c r="I78" s="99"/>
      <c r="J78" s="99"/>
      <c r="K78" s="99"/>
      <c r="L78" s="99"/>
      <c r="M78" s="99"/>
      <c r="N78" s="99"/>
      <c r="T78" s="56"/>
      <c r="X78" s="125"/>
      <c r="Y78" s="265">
        <f>DefaultData!$C59</f>
        <v>0</v>
      </c>
      <c r="Z78" s="137"/>
      <c r="AA78" s="56"/>
      <c r="AB78" s="166"/>
      <c r="AC78" s="166"/>
    </row>
    <row r="79" spans="1:29" x14ac:dyDescent="0.2">
      <c r="A79" s="303" t="s">
        <v>296</v>
      </c>
      <c r="B79" s="39"/>
      <c r="C79" s="39"/>
      <c r="D79" s="105"/>
      <c r="E79" s="48"/>
      <c r="F79" s="48"/>
      <c r="G79" s="101"/>
      <c r="H79" s="99"/>
      <c r="I79" s="99"/>
      <c r="J79" s="99"/>
      <c r="K79" s="99"/>
      <c r="L79" s="99"/>
      <c r="M79" s="99"/>
      <c r="N79" s="99"/>
      <c r="T79" s="56"/>
      <c r="AA79" s="15"/>
    </row>
    <row r="80" spans="1:29" ht="15" x14ac:dyDescent="0.2">
      <c r="A80" s="303" t="s">
        <v>375</v>
      </c>
      <c r="B80" s="305" t="s">
        <v>305</v>
      </c>
      <c r="C80" s="39"/>
      <c r="D80" s="318" t="s">
        <v>312</v>
      </c>
      <c r="E80" s="48"/>
      <c r="F80" s="48"/>
      <c r="G80" s="101"/>
      <c r="H80" s="99"/>
      <c r="I80" s="99"/>
      <c r="J80" s="99"/>
      <c r="K80" s="99"/>
      <c r="L80" s="99"/>
      <c r="M80" s="99"/>
      <c r="N80" s="99"/>
      <c r="O80" s="95"/>
      <c r="T80" s="56"/>
      <c r="AA80" s="15"/>
    </row>
    <row r="81" spans="1:27" x14ac:dyDescent="0.2">
      <c r="A81" s="304" t="s">
        <v>325</v>
      </c>
      <c r="B81" s="262">
        <f>Calculations!$E27</f>
        <v>21.388255479352704</v>
      </c>
      <c r="C81" s="48"/>
      <c r="D81" s="266">
        <f>Calculations!$K24</f>
        <v>0.45569999999999999</v>
      </c>
      <c r="E81" s="48"/>
      <c r="F81" s="48"/>
      <c r="G81" s="101"/>
      <c r="H81" s="99"/>
      <c r="I81" s="99"/>
      <c r="J81" s="99"/>
      <c r="K81" s="99"/>
      <c r="L81" s="99"/>
      <c r="M81" s="104"/>
      <c r="N81" s="99"/>
      <c r="T81" s="56"/>
      <c r="Y81" s="262">
        <f>Calculations!$E27</f>
        <v>21.388255479352704</v>
      </c>
      <c r="Z81" s="166"/>
      <c r="AA81" s="266">
        <f>Calculations!$K24</f>
        <v>0.45569999999999999</v>
      </c>
    </row>
    <row r="82" spans="1:27" x14ac:dyDescent="0.2">
      <c r="A82" s="303" t="s">
        <v>542</v>
      </c>
      <c r="B82" s="305" t="s">
        <v>305</v>
      </c>
      <c r="C82" s="48"/>
      <c r="D82" s="318" t="s">
        <v>312</v>
      </c>
      <c r="E82" s="48"/>
      <c r="F82" s="48"/>
      <c r="G82" s="101"/>
      <c r="H82" s="99"/>
      <c r="I82" s="99"/>
      <c r="J82" s="99"/>
      <c r="K82" s="99"/>
      <c r="L82" s="99"/>
      <c r="M82" s="104"/>
      <c r="N82" s="99"/>
      <c r="T82" s="56"/>
      <c r="Y82" s="178"/>
      <c r="Z82" s="166"/>
      <c r="AA82" s="166"/>
    </row>
    <row r="83" spans="1:27" x14ac:dyDescent="0.2">
      <c r="A83" s="39" t="s">
        <v>248</v>
      </c>
      <c r="B83" s="262">
        <f>Calculations!$E29</f>
        <v>21.388255479352704</v>
      </c>
      <c r="C83" s="39"/>
      <c r="D83" s="266">
        <f>Calculations!$K24</f>
        <v>0.45569999999999999</v>
      </c>
      <c r="E83" s="39"/>
      <c r="F83" s="48"/>
      <c r="G83" s="101"/>
      <c r="H83" s="99"/>
      <c r="I83" s="99"/>
      <c r="J83" s="99"/>
      <c r="K83" s="99"/>
      <c r="L83" s="99"/>
      <c r="M83" s="104"/>
      <c r="N83" s="99"/>
      <c r="Y83" s="262">
        <f>Calculations!$E29</f>
        <v>21.388255479352704</v>
      </c>
      <c r="Z83" s="137"/>
      <c r="AA83" s="266">
        <f>Calculations!$K24</f>
        <v>0.45569999999999999</v>
      </c>
    </row>
    <row r="84" spans="1:27" x14ac:dyDescent="0.2">
      <c r="A84" s="39"/>
      <c r="B84" s="39"/>
      <c r="C84" s="39"/>
      <c r="D84" s="39"/>
      <c r="E84" s="39"/>
      <c r="F84" s="48"/>
      <c r="G84" s="101"/>
      <c r="H84" s="99"/>
      <c r="I84" s="99"/>
      <c r="J84" s="99"/>
      <c r="K84" s="99"/>
      <c r="L84" s="99"/>
      <c r="M84" s="99"/>
      <c r="N84" s="99"/>
      <c r="Y84" s="281"/>
    </row>
    <row r="85" spans="1:27" x14ac:dyDescent="0.2">
      <c r="A85" s="39"/>
      <c r="B85" s="39"/>
      <c r="C85" s="39"/>
      <c r="D85" s="39"/>
      <c r="E85" s="39"/>
      <c r="F85" s="48"/>
      <c r="G85" s="101"/>
      <c r="H85" s="99"/>
      <c r="I85" s="99"/>
      <c r="J85" s="99"/>
      <c r="K85" s="99"/>
      <c r="L85" s="99"/>
      <c r="M85" s="99"/>
      <c r="N85" s="99"/>
      <c r="Y85" s="281"/>
    </row>
    <row r="86" spans="1:27" x14ac:dyDescent="0.2">
      <c r="A86" s="39"/>
      <c r="B86" s="39"/>
      <c r="C86" s="39"/>
      <c r="D86" s="39"/>
      <c r="E86" s="39"/>
      <c r="F86" s="48"/>
      <c r="G86" s="101"/>
      <c r="H86" s="99"/>
      <c r="I86" s="99"/>
      <c r="J86" s="99"/>
      <c r="K86" s="99"/>
      <c r="L86" s="99"/>
      <c r="M86" s="99"/>
      <c r="N86" s="99"/>
    </row>
    <row r="87" spans="1:27" x14ac:dyDescent="0.2">
      <c r="A87" s="39"/>
      <c r="B87" s="39"/>
      <c r="C87" s="39"/>
      <c r="D87" s="39"/>
      <c r="E87" s="39"/>
      <c r="F87" s="39"/>
      <c r="G87" s="101"/>
      <c r="H87" s="99"/>
      <c r="I87" s="99"/>
      <c r="J87" s="99"/>
      <c r="K87" s="99"/>
      <c r="L87" s="99"/>
      <c r="M87" s="99"/>
      <c r="N87" s="99"/>
    </row>
    <row r="88" spans="1:27" x14ac:dyDescent="0.2">
      <c r="A88" s="39"/>
      <c r="B88" s="39"/>
      <c r="C88" s="39"/>
      <c r="D88" s="39"/>
      <c r="E88" s="39"/>
      <c r="F88" s="39"/>
      <c r="G88" s="101"/>
      <c r="H88" s="99"/>
      <c r="I88" s="99"/>
      <c r="J88" s="99"/>
      <c r="K88" s="99"/>
      <c r="L88" s="99"/>
      <c r="M88" s="99"/>
      <c r="N88" s="99"/>
    </row>
    <row r="89" spans="1:27" x14ac:dyDescent="0.2">
      <c r="A89" s="39"/>
      <c r="B89" s="39"/>
      <c r="C89" s="39"/>
      <c r="D89" s="39"/>
      <c r="E89" s="39"/>
      <c r="F89" s="48"/>
      <c r="G89" s="101"/>
      <c r="H89" s="99"/>
      <c r="I89" s="99"/>
      <c r="J89" s="99"/>
      <c r="K89" s="99"/>
      <c r="L89" s="99"/>
      <c r="M89" s="99"/>
      <c r="N89" s="99"/>
    </row>
    <row r="90" spans="1:27" x14ac:dyDescent="0.2">
      <c r="A90" s="39"/>
      <c r="B90" s="39"/>
      <c r="C90" s="39"/>
      <c r="D90" s="39"/>
      <c r="E90" s="39"/>
      <c r="F90" s="48"/>
      <c r="G90" s="101"/>
      <c r="H90" s="99"/>
      <c r="I90" s="99"/>
      <c r="J90" s="99"/>
      <c r="K90" s="99"/>
      <c r="L90" s="99"/>
      <c r="M90" s="99"/>
      <c r="N90" s="99"/>
    </row>
    <row r="91" spans="1:27" x14ac:dyDescent="0.2">
      <c r="A91" s="39"/>
      <c r="B91" s="39"/>
      <c r="C91" s="39"/>
      <c r="D91" s="39"/>
      <c r="E91" s="39"/>
      <c r="F91" s="39"/>
      <c r="G91" s="101"/>
      <c r="H91" s="99"/>
      <c r="I91" s="99"/>
      <c r="J91" s="99"/>
      <c r="K91" s="99"/>
      <c r="L91" s="99"/>
      <c r="M91" s="99"/>
      <c r="N91" s="99"/>
    </row>
    <row r="92" spans="1:27" x14ac:dyDescent="0.2">
      <c r="A92" s="39"/>
      <c r="B92" s="39"/>
      <c r="C92" s="39"/>
      <c r="D92" s="39"/>
      <c r="E92" s="39"/>
      <c r="F92" s="39"/>
      <c r="G92" s="101"/>
      <c r="H92" s="99"/>
      <c r="I92" s="99"/>
      <c r="J92" s="99"/>
      <c r="K92" s="99"/>
      <c r="L92" s="99"/>
      <c r="M92" s="99"/>
      <c r="N92" s="99"/>
    </row>
    <row r="93" spans="1:27" x14ac:dyDescent="0.2">
      <c r="A93" s="39"/>
      <c r="B93" s="39"/>
      <c r="C93" s="39"/>
      <c r="D93" s="39"/>
      <c r="E93" s="39"/>
      <c r="F93" s="39"/>
      <c r="G93" s="101"/>
      <c r="H93" s="99"/>
      <c r="I93" s="99"/>
      <c r="J93" s="99"/>
      <c r="K93" s="99"/>
      <c r="L93" s="99"/>
      <c r="M93" s="99"/>
      <c r="N93" s="99"/>
    </row>
    <row r="94" spans="1:27" x14ac:dyDescent="0.2">
      <c r="A94" s="39"/>
      <c r="B94" s="39"/>
      <c r="C94" s="39"/>
      <c r="D94" s="39"/>
      <c r="E94" s="39"/>
      <c r="F94" s="39"/>
      <c r="G94" s="101"/>
      <c r="H94" s="99"/>
      <c r="I94" s="99"/>
      <c r="J94" s="99"/>
      <c r="K94" s="99"/>
      <c r="L94" s="99"/>
      <c r="M94" s="99"/>
      <c r="N94" s="99"/>
    </row>
    <row r="95" spans="1:27" x14ac:dyDescent="0.2">
      <c r="A95" s="48"/>
      <c r="B95" s="48"/>
      <c r="C95" s="48"/>
      <c r="D95" s="48"/>
      <c r="E95" s="48"/>
      <c r="F95" s="39"/>
      <c r="G95" s="101"/>
      <c r="H95" s="99"/>
      <c r="I95" s="99"/>
      <c r="J95" s="99"/>
      <c r="K95" s="99"/>
      <c r="L95" s="99"/>
      <c r="M95" s="99"/>
      <c r="N95" s="99"/>
    </row>
    <row r="96" spans="1:27" x14ac:dyDescent="0.2">
      <c r="A96" s="48"/>
      <c r="B96" s="48"/>
      <c r="C96" s="48"/>
      <c r="D96" s="48"/>
      <c r="E96" s="48"/>
      <c r="F96" s="39"/>
      <c r="G96" s="101"/>
      <c r="H96" s="99"/>
      <c r="I96" s="99"/>
      <c r="J96" s="99"/>
      <c r="K96" s="99"/>
      <c r="L96" s="99"/>
      <c r="M96" s="99"/>
      <c r="N96" s="99"/>
    </row>
    <row r="97" spans="1:14" x14ac:dyDescent="0.2">
      <c r="A97" s="39"/>
      <c r="B97" s="39"/>
      <c r="C97" s="39"/>
      <c r="D97" s="39"/>
      <c r="E97" s="39"/>
      <c r="F97" s="39"/>
      <c r="G97" s="101"/>
      <c r="H97" s="99"/>
      <c r="I97" s="99"/>
      <c r="J97" s="99"/>
      <c r="K97" s="99"/>
      <c r="L97" s="99"/>
      <c r="M97" s="99"/>
      <c r="N97" s="99"/>
    </row>
    <row r="98" spans="1:14" x14ac:dyDescent="0.2">
      <c r="A98" s="39"/>
      <c r="B98" s="39"/>
      <c r="C98" s="39"/>
      <c r="D98" s="39"/>
      <c r="E98" s="39"/>
      <c r="F98" s="39"/>
      <c r="G98" s="101"/>
      <c r="H98" s="99"/>
      <c r="I98" s="99"/>
      <c r="J98" s="99"/>
      <c r="K98" s="99"/>
      <c r="L98" s="99"/>
      <c r="M98" s="99"/>
      <c r="N98" s="99"/>
    </row>
    <row r="99" spans="1:14" x14ac:dyDescent="0.2">
      <c r="A99" s="39"/>
      <c r="B99" s="39"/>
      <c r="C99" s="39"/>
      <c r="D99" s="39"/>
      <c r="E99" s="39"/>
      <c r="F99" s="39"/>
      <c r="G99" s="101"/>
      <c r="H99" s="99"/>
      <c r="I99" s="99"/>
      <c r="J99" s="99"/>
      <c r="K99" s="99"/>
      <c r="L99" s="99"/>
      <c r="M99" s="99"/>
      <c r="N99" s="99"/>
    </row>
    <row r="100" spans="1:14" x14ac:dyDescent="0.2">
      <c r="A100" s="39"/>
      <c r="B100" s="39"/>
      <c r="C100" s="39"/>
      <c r="D100" s="39"/>
      <c r="E100" s="39"/>
      <c r="F100" s="39"/>
      <c r="G100" s="101"/>
      <c r="H100" s="99"/>
      <c r="I100" s="99"/>
      <c r="J100" s="99"/>
      <c r="K100" s="99"/>
      <c r="L100" s="99"/>
      <c r="M100" s="99"/>
      <c r="N100" s="99"/>
    </row>
    <row r="101" spans="1:14" x14ac:dyDescent="0.2">
      <c r="A101" s="39"/>
      <c r="B101" s="39"/>
      <c r="C101" s="39"/>
      <c r="D101" s="39"/>
      <c r="E101" s="39"/>
      <c r="F101" s="48"/>
      <c r="G101" s="101"/>
      <c r="H101" s="99"/>
      <c r="I101" s="99"/>
      <c r="J101" s="99"/>
      <c r="K101" s="99"/>
      <c r="L101" s="99"/>
      <c r="M101" s="99"/>
      <c r="N101" s="99"/>
    </row>
    <row r="102" spans="1:14" x14ac:dyDescent="0.2">
      <c r="A102" s="39"/>
      <c r="B102" s="39"/>
      <c r="C102" s="39"/>
      <c r="D102" s="39"/>
      <c r="E102" s="39"/>
      <c r="F102" s="39"/>
      <c r="G102" s="101"/>
      <c r="H102" s="99"/>
      <c r="I102" s="99"/>
      <c r="J102" s="99"/>
      <c r="K102" s="99"/>
      <c r="L102" s="99"/>
      <c r="M102" s="99"/>
      <c r="N102" s="99"/>
    </row>
    <row r="103" spans="1:14" x14ac:dyDescent="0.2">
      <c r="A103" s="48"/>
      <c r="B103" s="48"/>
      <c r="C103" s="48"/>
      <c r="D103" s="48"/>
      <c r="E103" s="48"/>
      <c r="F103" s="39"/>
      <c r="G103" s="101"/>
      <c r="H103" s="99"/>
      <c r="I103" s="99"/>
      <c r="J103" s="99"/>
      <c r="K103" s="99"/>
      <c r="L103" s="99"/>
      <c r="M103" s="99"/>
      <c r="N103" s="99"/>
    </row>
    <row r="104" spans="1:14" x14ac:dyDescent="0.2">
      <c r="A104" s="48"/>
      <c r="B104" s="48"/>
      <c r="C104" s="48"/>
      <c r="D104" s="48"/>
      <c r="E104" s="48"/>
      <c r="F104" s="48"/>
      <c r="G104" s="101"/>
      <c r="H104" s="99"/>
      <c r="I104" s="99"/>
      <c r="J104" s="99"/>
      <c r="K104" s="99"/>
      <c r="L104" s="99"/>
      <c r="M104" s="99"/>
      <c r="N104" s="99"/>
    </row>
    <row r="105" spans="1:14" x14ac:dyDescent="0.2">
      <c r="A105" s="48"/>
      <c r="B105" s="48"/>
      <c r="C105" s="48"/>
      <c r="D105" s="48"/>
      <c r="E105" s="48"/>
      <c r="F105" s="48"/>
      <c r="G105" s="101"/>
      <c r="H105" s="99"/>
      <c r="I105" s="99"/>
      <c r="J105" s="99"/>
      <c r="K105" s="99"/>
      <c r="L105" s="99"/>
      <c r="M105" s="99"/>
      <c r="N105" s="99"/>
    </row>
    <row r="106" spans="1:14" x14ac:dyDescent="0.2">
      <c r="A106" s="48"/>
      <c r="B106" s="48"/>
      <c r="C106" s="48"/>
      <c r="D106" s="48"/>
      <c r="E106" s="48"/>
      <c r="F106" s="48"/>
      <c r="G106" s="101"/>
      <c r="H106" s="99"/>
      <c r="I106" s="99"/>
      <c r="J106" s="99"/>
      <c r="K106" s="99"/>
      <c r="L106" s="99"/>
      <c r="M106" s="99"/>
      <c r="N106" s="99"/>
    </row>
    <row r="107" spans="1:14" x14ac:dyDescent="0.2">
      <c r="A107" s="48"/>
      <c r="B107" s="48"/>
      <c r="C107" s="48"/>
      <c r="D107" s="48"/>
      <c r="E107" s="48"/>
      <c r="F107" s="48"/>
      <c r="G107" s="101"/>
      <c r="H107" s="99"/>
      <c r="I107" s="99"/>
      <c r="J107" s="99"/>
      <c r="K107" s="99"/>
      <c r="L107" s="99"/>
      <c r="M107" s="99"/>
      <c r="N107" s="99"/>
    </row>
    <row r="108" spans="1:14" x14ac:dyDescent="0.2">
      <c r="A108" s="48"/>
      <c r="B108" s="48"/>
      <c r="C108" s="48"/>
      <c r="D108" s="48"/>
      <c r="E108" s="48"/>
      <c r="F108" s="48"/>
      <c r="G108" s="101"/>
      <c r="H108" s="99"/>
      <c r="I108" s="99"/>
      <c r="J108" s="99"/>
      <c r="K108" s="99"/>
      <c r="L108" s="99"/>
      <c r="M108" s="99"/>
      <c r="N108" s="99"/>
    </row>
    <row r="109" spans="1:14" x14ac:dyDescent="0.2">
      <c r="A109" s="48"/>
      <c r="B109" s="48"/>
      <c r="C109" s="48"/>
      <c r="D109" s="48"/>
      <c r="E109" s="48"/>
      <c r="F109" s="48"/>
      <c r="G109" s="101"/>
      <c r="H109" s="99"/>
      <c r="I109" s="99"/>
      <c r="J109" s="99"/>
      <c r="K109" s="99"/>
      <c r="L109" s="99"/>
      <c r="M109" s="99"/>
      <c r="N109" s="99"/>
    </row>
    <row r="110" spans="1:14" x14ac:dyDescent="0.2">
      <c r="A110" s="48"/>
      <c r="B110" s="48"/>
      <c r="C110" s="48"/>
      <c r="D110" s="48"/>
      <c r="E110" s="48"/>
      <c r="F110" s="48"/>
      <c r="G110" s="101"/>
      <c r="H110" s="99"/>
      <c r="I110" s="99"/>
      <c r="J110" s="99"/>
      <c r="K110" s="99"/>
      <c r="L110" s="99"/>
      <c r="M110" s="99"/>
      <c r="N110" s="99"/>
    </row>
    <row r="111" spans="1:14" x14ac:dyDescent="0.2">
      <c r="A111" s="48"/>
      <c r="B111" s="48"/>
      <c r="C111" s="48"/>
      <c r="D111" s="48"/>
      <c r="E111" s="48"/>
      <c r="F111" s="48"/>
      <c r="G111" s="101"/>
      <c r="H111" s="99"/>
      <c r="I111" s="99"/>
      <c r="J111" s="99"/>
      <c r="K111" s="99"/>
      <c r="L111" s="99"/>
      <c r="M111" s="99"/>
      <c r="N111" s="99"/>
    </row>
    <row r="112" spans="1:14" x14ac:dyDescent="0.2">
      <c r="A112" s="48"/>
      <c r="B112" s="48"/>
      <c r="C112" s="48"/>
      <c r="D112" s="48"/>
      <c r="E112" s="48"/>
      <c r="F112" s="48"/>
      <c r="G112" s="101"/>
      <c r="H112" s="99"/>
      <c r="I112" s="99"/>
      <c r="J112" s="99"/>
      <c r="K112" s="99"/>
      <c r="L112" s="99"/>
      <c r="M112" s="99"/>
      <c r="N112" s="99"/>
    </row>
    <row r="113" spans="1:14" x14ac:dyDescent="0.2">
      <c r="A113" s="48"/>
      <c r="B113" s="48"/>
      <c r="C113" s="48"/>
      <c r="D113" s="48"/>
      <c r="E113" s="48"/>
      <c r="F113" s="48"/>
      <c r="G113" s="101"/>
      <c r="H113" s="99"/>
      <c r="I113" s="99"/>
      <c r="J113" s="99"/>
      <c r="K113" s="99"/>
      <c r="L113" s="99"/>
      <c r="M113" s="99"/>
      <c r="N113" s="99"/>
    </row>
    <row r="114" spans="1:14" x14ac:dyDescent="0.2">
      <c r="A114" s="48"/>
      <c r="B114" s="48"/>
      <c r="C114" s="48"/>
      <c r="D114" s="48"/>
      <c r="E114" s="48"/>
      <c r="F114" s="48"/>
      <c r="G114" s="101"/>
      <c r="H114" s="99"/>
      <c r="I114" s="99"/>
      <c r="J114" s="99"/>
      <c r="K114" s="99"/>
      <c r="L114" s="99"/>
      <c r="M114" s="99"/>
      <c r="N114" s="99"/>
    </row>
    <row r="115" spans="1:14" x14ac:dyDescent="0.2">
      <c r="A115" s="48"/>
      <c r="B115" s="48"/>
      <c r="C115" s="48"/>
      <c r="D115" s="48"/>
      <c r="E115" s="48"/>
      <c r="F115" s="48"/>
      <c r="G115" s="101"/>
      <c r="H115" s="99"/>
      <c r="I115" s="99"/>
      <c r="J115" s="99"/>
      <c r="K115" s="99"/>
      <c r="L115" s="99"/>
      <c r="M115" s="99"/>
      <c r="N115" s="99"/>
    </row>
    <row r="116" spans="1:14" x14ac:dyDescent="0.2">
      <c r="A116" s="48"/>
      <c r="B116" s="48"/>
      <c r="C116" s="48"/>
      <c r="D116" s="48"/>
      <c r="E116" s="48"/>
      <c r="F116" s="48"/>
      <c r="G116" s="101"/>
      <c r="H116" s="99"/>
      <c r="I116" s="99"/>
      <c r="J116" s="99"/>
      <c r="K116" s="99"/>
      <c r="L116" s="99"/>
      <c r="M116" s="99"/>
      <c r="N116" s="99"/>
    </row>
    <row r="117" spans="1:14" x14ac:dyDescent="0.2">
      <c r="A117" s="48"/>
      <c r="B117" s="48"/>
      <c r="C117" s="48"/>
      <c r="D117" s="48"/>
      <c r="E117" s="48"/>
      <c r="F117" s="48"/>
      <c r="G117" s="101"/>
      <c r="H117" s="99"/>
      <c r="I117" s="99"/>
      <c r="J117" s="99"/>
      <c r="K117" s="99"/>
      <c r="L117" s="99"/>
      <c r="M117" s="99"/>
      <c r="N117" s="99"/>
    </row>
    <row r="118" spans="1:14" x14ac:dyDescent="0.2">
      <c r="A118" s="48"/>
      <c r="B118" s="48"/>
      <c r="C118" s="48"/>
      <c r="D118" s="48"/>
      <c r="E118" s="48"/>
      <c r="F118" s="48"/>
      <c r="G118" s="101"/>
      <c r="H118" s="99"/>
      <c r="I118" s="99"/>
      <c r="J118" s="99"/>
      <c r="K118" s="99"/>
      <c r="L118" s="99"/>
      <c r="M118" s="99"/>
      <c r="N118" s="99"/>
    </row>
    <row r="119" spans="1:14" x14ac:dyDescent="0.2">
      <c r="A119" s="48"/>
      <c r="B119" s="48"/>
      <c r="C119" s="48"/>
      <c r="D119" s="48"/>
      <c r="E119" s="48"/>
      <c r="F119" s="48"/>
      <c r="G119" s="101"/>
      <c r="H119" s="99"/>
      <c r="I119" s="99"/>
      <c r="J119" s="99"/>
      <c r="K119" s="99"/>
      <c r="L119" s="99"/>
      <c r="M119" s="99"/>
      <c r="N119" s="99"/>
    </row>
    <row r="120" spans="1:14" x14ac:dyDescent="0.2">
      <c r="A120" s="48"/>
      <c r="B120" s="48"/>
      <c r="C120" s="48"/>
      <c r="D120" s="48"/>
      <c r="E120" s="48"/>
      <c r="F120" s="48"/>
      <c r="G120" s="101"/>
      <c r="H120" s="99"/>
      <c r="I120" s="99"/>
      <c r="J120" s="99"/>
      <c r="K120" s="99"/>
      <c r="L120" s="99"/>
      <c r="M120" s="99"/>
      <c r="N120" s="99"/>
    </row>
    <row r="121" spans="1:14" x14ac:dyDescent="0.2">
      <c r="A121" s="48"/>
      <c r="B121" s="48"/>
      <c r="C121" s="48"/>
      <c r="D121" s="48"/>
      <c r="E121" s="48"/>
      <c r="F121" s="48"/>
      <c r="G121" s="101"/>
      <c r="H121" s="99"/>
      <c r="I121" s="99"/>
      <c r="J121" s="99"/>
      <c r="K121" s="99"/>
      <c r="L121" s="99"/>
      <c r="M121" s="99"/>
      <c r="N121" s="99"/>
    </row>
    <row r="122" spans="1:14" x14ac:dyDescent="0.2">
      <c r="A122" s="48"/>
      <c r="B122" s="48"/>
      <c r="C122" s="48"/>
      <c r="D122" s="48"/>
      <c r="E122" s="48"/>
      <c r="F122" s="48"/>
      <c r="G122" s="101"/>
      <c r="H122" s="99"/>
      <c r="I122" s="99"/>
      <c r="J122" s="99"/>
      <c r="K122" s="99"/>
      <c r="L122" s="99"/>
      <c r="M122" s="99"/>
      <c r="N122" s="99"/>
    </row>
    <row r="123" spans="1:14" x14ac:dyDescent="0.2">
      <c r="A123" s="48"/>
      <c r="B123" s="48"/>
      <c r="C123" s="48"/>
      <c r="D123" s="48"/>
      <c r="E123" s="48"/>
      <c r="F123" s="48"/>
      <c r="G123" s="99"/>
      <c r="H123" s="99"/>
      <c r="I123" s="99"/>
      <c r="J123" s="99"/>
      <c r="K123" s="99"/>
      <c r="L123" s="99"/>
      <c r="M123" s="99"/>
      <c r="N123" s="99"/>
    </row>
    <row r="124" spans="1:14" x14ac:dyDescent="0.2">
      <c r="A124" s="48"/>
      <c r="B124" s="48"/>
      <c r="C124" s="48"/>
      <c r="D124" s="48"/>
      <c r="E124" s="48"/>
      <c r="F124" s="48"/>
      <c r="G124" s="99"/>
      <c r="H124" s="99"/>
      <c r="I124" s="99"/>
      <c r="J124" s="99"/>
      <c r="K124" s="99"/>
      <c r="L124" s="99"/>
      <c r="M124" s="99"/>
      <c r="N124" s="99"/>
    </row>
    <row r="125" spans="1:14" x14ac:dyDescent="0.2">
      <c r="A125" s="48"/>
      <c r="B125" s="48"/>
      <c r="C125" s="48"/>
      <c r="D125" s="48"/>
      <c r="E125" s="48"/>
      <c r="F125" s="48"/>
      <c r="G125" s="99"/>
      <c r="H125" s="99"/>
      <c r="I125" s="99"/>
      <c r="J125" s="99"/>
      <c r="K125" s="99"/>
      <c r="L125" s="99"/>
      <c r="M125" s="99"/>
      <c r="N125" s="99"/>
    </row>
    <row r="126" spans="1:14" x14ac:dyDescent="0.2">
      <c r="A126" s="48"/>
      <c r="B126" s="48"/>
      <c r="C126" s="48"/>
      <c r="D126" s="48"/>
      <c r="E126" s="48"/>
      <c r="F126" s="48"/>
      <c r="G126" s="99"/>
      <c r="H126" s="99"/>
      <c r="I126" s="99"/>
      <c r="J126" s="99"/>
      <c r="K126" s="99"/>
      <c r="L126" s="99"/>
      <c r="M126" s="99"/>
      <c r="N126" s="99"/>
    </row>
    <row r="127" spans="1:14" x14ac:dyDescent="0.2">
      <c r="A127" s="48"/>
      <c r="B127" s="48"/>
      <c r="C127" s="48"/>
      <c r="D127" s="48"/>
      <c r="E127" s="48"/>
      <c r="F127" s="48"/>
      <c r="G127" s="99"/>
      <c r="H127" s="99"/>
      <c r="I127" s="99"/>
      <c r="J127" s="99"/>
      <c r="K127" s="99"/>
      <c r="L127" s="99"/>
      <c r="M127" s="99"/>
      <c r="N127" s="99"/>
    </row>
    <row r="128" spans="1:14" x14ac:dyDescent="0.2">
      <c r="A128" s="48"/>
      <c r="B128" s="48"/>
      <c r="C128" s="48"/>
      <c r="D128" s="48"/>
      <c r="E128" s="48"/>
      <c r="F128" s="48"/>
      <c r="G128" s="99"/>
      <c r="H128" s="99"/>
      <c r="I128" s="99"/>
      <c r="J128" s="99"/>
      <c r="K128" s="99"/>
      <c r="L128" s="99"/>
      <c r="M128" s="99"/>
      <c r="N128" s="99"/>
    </row>
    <row r="129" spans="1:14" x14ac:dyDescent="0.2">
      <c r="A129" s="48"/>
      <c r="B129" s="48"/>
      <c r="C129" s="48"/>
      <c r="D129" s="48"/>
      <c r="E129" s="48"/>
      <c r="F129" s="48"/>
      <c r="G129" s="99"/>
      <c r="H129" s="99"/>
      <c r="I129" s="99"/>
      <c r="J129" s="99"/>
      <c r="K129" s="99"/>
      <c r="L129" s="99"/>
      <c r="M129" s="99"/>
      <c r="N129" s="99"/>
    </row>
    <row r="130" spans="1:14" x14ac:dyDescent="0.2">
      <c r="A130" s="48"/>
      <c r="B130" s="48"/>
      <c r="C130" s="48"/>
      <c r="D130" s="48"/>
      <c r="E130" s="48"/>
      <c r="F130" s="48"/>
      <c r="G130" s="99"/>
      <c r="H130" s="99"/>
      <c r="I130" s="99"/>
      <c r="J130" s="99"/>
      <c r="K130" s="99"/>
      <c r="L130" s="99"/>
      <c r="M130" s="99"/>
      <c r="N130" s="99"/>
    </row>
    <row r="131" spans="1:14" x14ac:dyDescent="0.2">
      <c r="A131" s="48"/>
      <c r="B131" s="48"/>
      <c r="C131" s="48"/>
      <c r="D131" s="48"/>
      <c r="E131" s="48"/>
      <c r="F131" s="48"/>
      <c r="G131" s="99"/>
      <c r="H131" s="99"/>
      <c r="I131" s="99"/>
      <c r="J131" s="99"/>
      <c r="K131" s="99"/>
      <c r="L131" s="99"/>
      <c r="M131" s="99"/>
      <c r="N131" s="99"/>
    </row>
    <row r="132" spans="1:14" x14ac:dyDescent="0.2">
      <c r="A132" s="48"/>
      <c r="B132" s="48"/>
      <c r="C132" s="48"/>
      <c r="D132" s="48"/>
      <c r="E132" s="48"/>
      <c r="F132" s="48"/>
      <c r="G132" s="99"/>
      <c r="H132" s="99"/>
      <c r="I132" s="99"/>
      <c r="J132" s="99"/>
      <c r="K132" s="99"/>
      <c r="L132" s="99"/>
      <c r="M132" s="99"/>
      <c r="N132" s="99"/>
    </row>
    <row r="133" spans="1:14" x14ac:dyDescent="0.2">
      <c r="A133" s="48"/>
      <c r="B133" s="48"/>
      <c r="C133" s="48"/>
      <c r="D133" s="48"/>
      <c r="E133" s="48"/>
      <c r="F133" s="48"/>
      <c r="G133" s="99"/>
      <c r="H133" s="99"/>
      <c r="I133" s="99"/>
      <c r="J133" s="99"/>
      <c r="K133" s="99"/>
      <c r="L133" s="99"/>
      <c r="M133" s="99"/>
      <c r="N133" s="99"/>
    </row>
    <row r="134" spans="1:14" x14ac:dyDescent="0.2">
      <c r="A134" s="48"/>
      <c r="B134" s="48"/>
      <c r="C134" s="48"/>
      <c r="D134" s="48"/>
      <c r="E134" s="48"/>
      <c r="F134" s="48"/>
      <c r="G134" s="99"/>
      <c r="H134" s="99"/>
      <c r="I134" s="99"/>
      <c r="J134" s="99"/>
      <c r="K134" s="99"/>
      <c r="L134" s="99"/>
      <c r="M134" s="99"/>
      <c r="N134" s="99"/>
    </row>
    <row r="135" spans="1:14" x14ac:dyDescent="0.2">
      <c r="A135" s="48"/>
      <c r="B135" s="48"/>
      <c r="C135" s="48"/>
      <c r="D135" s="48"/>
      <c r="E135" s="48"/>
      <c r="F135" s="48"/>
      <c r="G135" s="99"/>
      <c r="H135" s="99"/>
      <c r="I135" s="99"/>
      <c r="J135" s="99"/>
      <c r="K135" s="99"/>
      <c r="L135" s="99"/>
      <c r="M135" s="99"/>
      <c r="N135" s="99"/>
    </row>
    <row r="136" spans="1:14" x14ac:dyDescent="0.2">
      <c r="A136" s="48"/>
      <c r="B136" s="48"/>
      <c r="C136" s="48"/>
      <c r="D136" s="48"/>
      <c r="E136" s="48"/>
      <c r="F136" s="48"/>
      <c r="G136" s="99"/>
      <c r="H136" s="99"/>
      <c r="I136" s="99"/>
      <c r="J136" s="99"/>
      <c r="K136" s="99"/>
      <c r="L136" s="99"/>
      <c r="M136" s="99"/>
      <c r="N136" s="99"/>
    </row>
    <row r="137" spans="1:14" x14ac:dyDescent="0.2">
      <c r="A137" s="48"/>
      <c r="B137" s="48"/>
      <c r="C137" s="48"/>
      <c r="D137" s="48"/>
      <c r="E137" s="48"/>
      <c r="F137" s="48"/>
      <c r="G137" s="99"/>
      <c r="H137" s="99"/>
      <c r="I137" s="99"/>
      <c r="J137" s="99"/>
      <c r="K137" s="99"/>
      <c r="L137" s="99"/>
      <c r="M137" s="99"/>
      <c r="N137" s="99"/>
    </row>
    <row r="138" spans="1:14" x14ac:dyDescent="0.2">
      <c r="A138" s="48"/>
      <c r="B138" s="48"/>
      <c r="C138" s="48"/>
      <c r="D138" s="48"/>
      <c r="E138" s="48"/>
      <c r="F138" s="48"/>
      <c r="G138" s="99"/>
      <c r="H138" s="99"/>
      <c r="I138" s="99"/>
      <c r="J138" s="99"/>
      <c r="K138" s="99"/>
      <c r="L138" s="99"/>
      <c r="M138" s="99"/>
      <c r="N138" s="99"/>
    </row>
    <row r="139" spans="1:14" x14ac:dyDescent="0.2">
      <c r="A139" s="48"/>
      <c r="B139" s="48"/>
      <c r="C139" s="48"/>
      <c r="D139" s="48"/>
      <c r="E139" s="48"/>
      <c r="F139" s="48"/>
      <c r="G139" s="99"/>
      <c r="H139" s="99"/>
      <c r="I139" s="99"/>
      <c r="J139" s="99"/>
      <c r="K139" s="99"/>
      <c r="L139" s="99"/>
      <c r="M139" s="99"/>
      <c r="N139" s="99"/>
    </row>
    <row r="140" spans="1:14" x14ac:dyDescent="0.2">
      <c r="A140" s="48"/>
      <c r="B140" s="48"/>
      <c r="C140" s="48"/>
      <c r="D140" s="48"/>
      <c r="E140" s="48"/>
      <c r="F140" s="48"/>
      <c r="G140" s="99"/>
      <c r="H140" s="99"/>
      <c r="I140" s="99"/>
      <c r="J140" s="99"/>
      <c r="K140" s="99"/>
      <c r="L140" s="99"/>
      <c r="M140" s="99"/>
      <c r="N140" s="99"/>
    </row>
    <row r="141" spans="1:14" x14ac:dyDescent="0.2">
      <c r="A141" s="48"/>
      <c r="B141" s="48"/>
      <c r="C141" s="48"/>
      <c r="D141" s="48"/>
      <c r="E141" s="48"/>
      <c r="F141" s="48"/>
      <c r="G141" s="99"/>
      <c r="H141" s="99"/>
      <c r="I141" s="99"/>
      <c r="J141" s="99"/>
      <c r="K141" s="99"/>
      <c r="L141" s="99"/>
      <c r="M141" s="99"/>
      <c r="N141" s="99"/>
    </row>
    <row r="142" spans="1:14" x14ac:dyDescent="0.2">
      <c r="A142" s="48"/>
      <c r="B142" s="48"/>
      <c r="C142" s="48"/>
      <c r="D142" s="48"/>
      <c r="E142" s="48"/>
      <c r="F142" s="48"/>
      <c r="G142" s="99"/>
      <c r="H142" s="99"/>
      <c r="I142" s="99"/>
      <c r="J142" s="99"/>
      <c r="K142" s="99"/>
      <c r="L142" s="99"/>
      <c r="M142" s="99"/>
      <c r="N142" s="99"/>
    </row>
    <row r="143" spans="1:14" x14ac:dyDescent="0.2">
      <c r="A143" s="48"/>
      <c r="B143" s="48"/>
      <c r="C143" s="48"/>
      <c r="D143" s="48"/>
      <c r="E143" s="48"/>
      <c r="F143" s="48"/>
      <c r="G143" s="99"/>
      <c r="H143" s="99"/>
      <c r="I143" s="99"/>
      <c r="J143" s="99"/>
      <c r="K143" s="99"/>
      <c r="L143" s="99"/>
      <c r="M143" s="99"/>
      <c r="N143" s="99"/>
    </row>
    <row r="144" spans="1:14" x14ac:dyDescent="0.2">
      <c r="A144" s="48"/>
      <c r="B144" s="48"/>
      <c r="C144" s="48"/>
      <c r="D144" s="48"/>
      <c r="E144" s="48"/>
      <c r="F144" s="48"/>
      <c r="G144" s="99"/>
      <c r="H144" s="99"/>
      <c r="I144" s="99"/>
      <c r="J144" s="99"/>
      <c r="K144" s="99"/>
      <c r="L144" s="99"/>
      <c r="M144" s="99"/>
      <c r="N144" s="99"/>
    </row>
    <row r="145" spans="1:14" x14ac:dyDescent="0.2">
      <c r="A145" s="48"/>
      <c r="B145" s="48"/>
      <c r="C145" s="48"/>
      <c r="D145" s="48"/>
      <c r="E145" s="48"/>
      <c r="F145" s="39"/>
      <c r="G145" s="99"/>
      <c r="H145" s="99"/>
      <c r="I145" s="99"/>
      <c r="J145" s="99"/>
      <c r="K145" s="99"/>
      <c r="L145" s="99"/>
      <c r="M145" s="99"/>
      <c r="N145" s="99"/>
    </row>
    <row r="146" spans="1:14" x14ac:dyDescent="0.2">
      <c r="A146" s="48"/>
      <c r="B146" s="48"/>
      <c r="C146" s="48"/>
      <c r="D146" s="48"/>
      <c r="E146" s="48"/>
      <c r="F146" s="39"/>
      <c r="G146" s="99"/>
      <c r="H146" s="99"/>
      <c r="I146" s="99"/>
      <c r="J146" s="99"/>
      <c r="K146" s="99"/>
      <c r="L146" s="99"/>
      <c r="M146" s="99"/>
      <c r="N146" s="99"/>
    </row>
    <row r="147" spans="1:14" x14ac:dyDescent="0.2">
      <c r="A147" s="48"/>
      <c r="B147" s="48"/>
      <c r="C147" s="48"/>
      <c r="D147" s="48"/>
      <c r="E147" s="48"/>
      <c r="F147" s="39"/>
      <c r="G147" s="99"/>
      <c r="H147" s="99"/>
      <c r="I147" s="99"/>
      <c r="J147" s="99"/>
      <c r="K147" s="99"/>
      <c r="L147" s="99"/>
      <c r="M147" s="99"/>
      <c r="N147" s="99"/>
    </row>
    <row r="148" spans="1:14" x14ac:dyDescent="0.2">
      <c r="A148" s="48"/>
      <c r="B148" s="48"/>
      <c r="C148" s="48"/>
      <c r="D148" s="48"/>
      <c r="E148" s="48"/>
      <c r="F148" s="39"/>
      <c r="G148" s="99"/>
      <c r="H148" s="99"/>
      <c r="I148" s="99"/>
      <c r="J148" s="99"/>
      <c r="K148" s="99"/>
      <c r="L148" s="99"/>
      <c r="M148" s="99"/>
      <c r="N148" s="99"/>
    </row>
    <row r="149" spans="1:14" x14ac:dyDescent="0.2">
      <c r="A149" s="48"/>
      <c r="B149" s="48"/>
      <c r="C149" s="48"/>
      <c r="D149" s="48"/>
      <c r="E149" s="48"/>
      <c r="F149" s="39"/>
      <c r="G149" s="99"/>
      <c r="H149" s="99"/>
      <c r="I149" s="99"/>
      <c r="J149" s="99"/>
      <c r="K149" s="99"/>
      <c r="L149" s="99"/>
      <c r="M149" s="99"/>
      <c r="N149" s="99"/>
    </row>
    <row r="150" spans="1:14" x14ac:dyDescent="0.2">
      <c r="A150" s="48"/>
      <c r="B150" s="48"/>
      <c r="C150" s="48"/>
      <c r="D150" s="48"/>
      <c r="E150" s="48"/>
      <c r="F150" s="48"/>
      <c r="G150" s="101"/>
      <c r="H150" s="99"/>
      <c r="I150" s="99"/>
      <c r="J150" s="99"/>
      <c r="K150" s="99"/>
      <c r="L150" s="99"/>
      <c r="M150" s="99"/>
      <c r="N150" s="99"/>
    </row>
    <row r="151" spans="1:14" x14ac:dyDescent="0.2">
      <c r="A151" s="48"/>
      <c r="B151" s="48"/>
      <c r="C151" s="48"/>
      <c r="D151" s="48"/>
      <c r="E151" s="48"/>
      <c r="F151" s="39"/>
      <c r="G151" s="99"/>
      <c r="H151" s="99"/>
      <c r="I151" s="99"/>
      <c r="J151" s="99"/>
      <c r="K151" s="99"/>
      <c r="L151" s="99"/>
      <c r="M151" s="99"/>
      <c r="N151" s="99"/>
    </row>
    <row r="152" spans="1:14" x14ac:dyDescent="0.2">
      <c r="A152" s="48"/>
      <c r="B152" s="48"/>
      <c r="C152" s="48"/>
      <c r="D152" s="48"/>
      <c r="E152" s="48"/>
      <c r="F152" s="39"/>
      <c r="G152" s="99"/>
      <c r="H152" s="99"/>
      <c r="I152" s="99"/>
      <c r="J152" s="99"/>
      <c r="K152" s="99"/>
      <c r="L152" s="99"/>
      <c r="M152" s="99"/>
      <c r="N152" s="99"/>
    </row>
    <row r="153" spans="1:14" x14ac:dyDescent="0.2">
      <c r="A153" s="48"/>
      <c r="B153" s="48"/>
      <c r="C153" s="48"/>
      <c r="D153" s="48"/>
      <c r="E153" s="48"/>
      <c r="F153" s="39"/>
      <c r="G153" s="99"/>
      <c r="H153" s="99"/>
      <c r="I153" s="99"/>
      <c r="J153" s="99"/>
      <c r="K153" s="99"/>
      <c r="L153" s="99"/>
      <c r="M153" s="99"/>
      <c r="N153" s="99"/>
    </row>
    <row r="154" spans="1:14" x14ac:dyDescent="0.2">
      <c r="A154" s="48"/>
      <c r="B154" s="48"/>
      <c r="C154" s="48"/>
      <c r="D154" s="48"/>
      <c r="E154" s="48"/>
      <c r="F154" s="39"/>
      <c r="G154" s="99"/>
      <c r="H154" s="99"/>
      <c r="I154" s="99"/>
      <c r="J154" s="99"/>
      <c r="K154" s="99"/>
      <c r="L154" s="99"/>
      <c r="M154" s="99"/>
      <c r="N154" s="99"/>
    </row>
    <row r="155" spans="1:14" x14ac:dyDescent="0.2">
      <c r="A155" s="48"/>
      <c r="B155" s="48"/>
      <c r="C155" s="48"/>
      <c r="D155" s="48"/>
      <c r="E155" s="48"/>
      <c r="F155" s="39"/>
      <c r="G155" s="99"/>
      <c r="H155" s="99"/>
      <c r="I155" s="99"/>
      <c r="J155" s="99"/>
      <c r="K155" s="99"/>
      <c r="L155" s="99"/>
      <c r="M155" s="99"/>
      <c r="N155" s="99"/>
    </row>
    <row r="183" spans="10:10" x14ac:dyDescent="0.2">
      <c r="J183" s="166"/>
    </row>
    <row r="740" spans="16:24" x14ac:dyDescent="0.2">
      <c r="V740" s="10"/>
    </row>
    <row r="742" spans="16:24" x14ac:dyDescent="0.2">
      <c r="P742" t="s">
        <v>284</v>
      </c>
      <c r="S742" t="s">
        <v>318</v>
      </c>
      <c r="T742" t="s">
        <v>284</v>
      </c>
      <c r="U742" t="s">
        <v>285</v>
      </c>
      <c r="V742" t="s">
        <v>317</v>
      </c>
      <c r="W742" t="s">
        <v>347</v>
      </c>
    </row>
    <row r="743" spans="16:24" x14ac:dyDescent="0.2">
      <c r="P743" t="s">
        <v>285</v>
      </c>
      <c r="S743" s="10" t="s">
        <v>416</v>
      </c>
      <c r="T743" s="10" t="s">
        <v>413</v>
      </c>
      <c r="U743" s="10" t="s">
        <v>414</v>
      </c>
      <c r="V743" s="10" t="s">
        <v>415</v>
      </c>
      <c r="W743" s="10" t="s">
        <v>423</v>
      </c>
      <c r="X743" s="10" t="str">
        <f>HLOOKUP($B15,S742:W743,2)</f>
        <v>RR</v>
      </c>
    </row>
    <row r="744" spans="16:24" x14ac:dyDescent="0.2">
      <c r="P744" t="s">
        <v>317</v>
      </c>
    </row>
    <row r="745" spans="16:24" x14ac:dyDescent="0.2">
      <c r="P745" t="s">
        <v>318</v>
      </c>
    </row>
    <row r="746" spans="16:24" x14ac:dyDescent="0.2">
      <c r="P746" t="s">
        <v>347</v>
      </c>
    </row>
    <row r="749" spans="16:24" x14ac:dyDescent="0.2">
      <c r="P749" t="s">
        <v>386</v>
      </c>
      <c r="S749" t="s">
        <v>450</v>
      </c>
      <c r="T749" t="s">
        <v>386</v>
      </c>
      <c r="X749" t="str">
        <f>B16</f>
        <v>Crystalline Silicon</v>
      </c>
    </row>
    <row r="750" spans="16:24" x14ac:dyDescent="0.2">
      <c r="P750" t="s">
        <v>450</v>
      </c>
      <c r="S750" s="10" t="s">
        <v>418</v>
      </c>
      <c r="T750" s="10" t="s">
        <v>417</v>
      </c>
      <c r="U750" s="10"/>
      <c r="X750" s="10" t="str">
        <f>HLOOKUP(B$16,S749:U750,2)</f>
        <v>CS</v>
      </c>
    </row>
    <row r="752" spans="16:24" x14ac:dyDescent="0.2">
      <c r="P752" t="s">
        <v>318</v>
      </c>
      <c r="Q752" t="s">
        <v>284</v>
      </c>
      <c r="R752" t="s">
        <v>285</v>
      </c>
      <c r="S752" t="s">
        <v>317</v>
      </c>
      <c r="T752" t="s">
        <v>347</v>
      </c>
      <c r="W752" t="str">
        <f>B15</f>
        <v>Residential Retrofit</v>
      </c>
    </row>
    <row r="753" spans="14:24" x14ac:dyDescent="0.2">
      <c r="P753" t="s">
        <v>408</v>
      </c>
      <c r="Q753" t="s">
        <v>408</v>
      </c>
      <c r="R753" t="s">
        <v>408</v>
      </c>
      <c r="S753" t="s">
        <v>408</v>
      </c>
      <c r="T753" t="s">
        <v>408</v>
      </c>
      <c r="W753" t="str">
        <f>HLOOKUP(B15,P$752:T$755,2)</f>
        <v>Fixed Mount</v>
      </c>
      <c r="X753" t="str">
        <f>IF(X$750="TF",W753,IF(W753=0,"",W753))</f>
        <v>Fixed Mount</v>
      </c>
    </row>
    <row r="754" spans="14:24" x14ac:dyDescent="0.2">
      <c r="P754" t="s">
        <v>387</v>
      </c>
      <c r="Q754" t="s">
        <v>387</v>
      </c>
      <c r="R754" t="s">
        <v>387</v>
      </c>
      <c r="S754" t="s">
        <v>387</v>
      </c>
      <c r="T754" t="s">
        <v>387</v>
      </c>
      <c r="W754" t="str">
        <f>HLOOKUP(B$15,P$752:T$755,3)</f>
        <v>Single Axis</v>
      </c>
      <c r="X754" t="str">
        <f>IF(X$750="TF","",IF(W754=0,"",W754))</f>
        <v>Single Axis</v>
      </c>
    </row>
    <row r="755" spans="14:24" x14ac:dyDescent="0.2">
      <c r="N755" s="486" t="s">
        <v>579</v>
      </c>
      <c r="W755">
        <f>HLOOKUP(B$15,P$752:T$755,4)</f>
        <v>0</v>
      </c>
      <c r="X755" t="str">
        <f>IF(W755=0,"",W755)</f>
        <v/>
      </c>
    </row>
    <row r="756" spans="14:24" ht="15" x14ac:dyDescent="0.2">
      <c r="N756" s="188">
        <v>2010</v>
      </c>
      <c r="O756" s="95" t="str">
        <f>UPPER('User Add-in Location'!B10)</f>
        <v>MYCOUNTY</v>
      </c>
      <c r="S756" t="s">
        <v>408</v>
      </c>
      <c r="T756" t="s">
        <v>387</v>
      </c>
      <c r="U756" t="s">
        <v>419</v>
      </c>
    </row>
    <row r="757" spans="14:24" ht="15" x14ac:dyDescent="0.2">
      <c r="N757" s="188">
        <f>N756+1</f>
        <v>2011</v>
      </c>
      <c r="O757" s="95" t="str">
        <f>UPPER('User Add-in Location'!C10)</f>
        <v>MYREGION</v>
      </c>
      <c r="S757" s="10" t="s">
        <v>420</v>
      </c>
      <c r="T757" s="10" t="s">
        <v>421</v>
      </c>
      <c r="U757" s="10" t="s">
        <v>422</v>
      </c>
      <c r="X757" s="10" t="str">
        <f>IF(X750="TF","FM",HLOOKUP(B17,S756:U757,2))</f>
        <v>FM</v>
      </c>
    </row>
    <row r="758" spans="14:24" ht="15" x14ac:dyDescent="0.2">
      <c r="N758" s="188">
        <f t="shared" ref="N758:N775" si="1">N757+1</f>
        <v>2012</v>
      </c>
      <c r="O758" s="95" t="s">
        <v>7</v>
      </c>
    </row>
    <row r="759" spans="14:24" ht="15" x14ac:dyDescent="0.2">
      <c r="N759" s="188">
        <f t="shared" si="1"/>
        <v>2013</v>
      </c>
      <c r="O759" s="95" t="s">
        <v>8</v>
      </c>
      <c r="X759" s="10" t="str">
        <f>CONCATENATE(X743,X750,X757)</f>
        <v>RRCSFM</v>
      </c>
    </row>
    <row r="760" spans="14:24" ht="15" x14ac:dyDescent="0.2">
      <c r="N760" s="188">
        <f t="shared" si="1"/>
        <v>2014</v>
      </c>
      <c r="O760" s="95" t="s">
        <v>9</v>
      </c>
    </row>
    <row r="761" spans="14:24" ht="15" x14ac:dyDescent="0.2">
      <c r="N761" s="188">
        <f t="shared" si="1"/>
        <v>2015</v>
      </c>
      <c r="O761" s="95" t="s">
        <v>10</v>
      </c>
    </row>
    <row r="762" spans="14:24" ht="15" x14ac:dyDescent="0.2">
      <c r="N762" s="188">
        <f t="shared" si="1"/>
        <v>2016</v>
      </c>
      <c r="O762" s="95" t="s">
        <v>11</v>
      </c>
    </row>
    <row r="763" spans="14:24" ht="15" x14ac:dyDescent="0.2">
      <c r="N763" s="188">
        <f t="shared" si="1"/>
        <v>2017</v>
      </c>
      <c r="O763" s="95" t="s">
        <v>12</v>
      </c>
    </row>
    <row r="764" spans="14:24" ht="15" x14ac:dyDescent="0.2">
      <c r="N764" s="188">
        <f t="shared" si="1"/>
        <v>2018</v>
      </c>
      <c r="O764" s="95" t="s">
        <v>13</v>
      </c>
    </row>
    <row r="765" spans="14:24" ht="15" x14ac:dyDescent="0.2">
      <c r="N765" s="188">
        <f t="shared" si="1"/>
        <v>2019</v>
      </c>
      <c r="O765" s="95" t="s">
        <v>14</v>
      </c>
    </row>
    <row r="766" spans="14:24" ht="15" x14ac:dyDescent="0.2">
      <c r="N766" s="188">
        <f t="shared" si="1"/>
        <v>2020</v>
      </c>
      <c r="O766" s="95" t="s">
        <v>15</v>
      </c>
    </row>
    <row r="767" spans="14:24" ht="15" x14ac:dyDescent="0.2">
      <c r="N767" s="188">
        <f t="shared" si="1"/>
        <v>2021</v>
      </c>
      <c r="O767" s="95" t="s">
        <v>16</v>
      </c>
    </row>
    <row r="768" spans="14:24" ht="15" x14ac:dyDescent="0.2">
      <c r="N768" s="188">
        <f t="shared" si="1"/>
        <v>2022</v>
      </c>
      <c r="O768" s="95" t="s">
        <v>17</v>
      </c>
    </row>
    <row r="769" spans="14:15" ht="15" x14ac:dyDescent="0.2">
      <c r="N769" s="188">
        <f t="shared" si="1"/>
        <v>2023</v>
      </c>
      <c r="O769" s="95" t="s">
        <v>18</v>
      </c>
    </row>
    <row r="770" spans="14:15" ht="15" x14ac:dyDescent="0.2">
      <c r="N770" s="188">
        <f t="shared" si="1"/>
        <v>2024</v>
      </c>
      <c r="O770" s="95" t="s">
        <v>19</v>
      </c>
    </row>
    <row r="771" spans="14:15" ht="15" x14ac:dyDescent="0.2">
      <c r="N771" s="188">
        <f t="shared" si="1"/>
        <v>2025</v>
      </c>
      <c r="O771" s="95" t="s">
        <v>20</v>
      </c>
    </row>
    <row r="772" spans="14:15" ht="15" x14ac:dyDescent="0.2">
      <c r="N772" s="188">
        <f t="shared" si="1"/>
        <v>2026</v>
      </c>
      <c r="O772" s="95" t="s">
        <v>21</v>
      </c>
    </row>
    <row r="773" spans="14:15" ht="15" x14ac:dyDescent="0.2">
      <c r="N773" s="188">
        <f t="shared" si="1"/>
        <v>2027</v>
      </c>
      <c r="O773" s="95" t="s">
        <v>261</v>
      </c>
    </row>
    <row r="774" spans="14:15" ht="15" x14ac:dyDescent="0.2">
      <c r="N774" s="188">
        <f t="shared" si="1"/>
        <v>2028</v>
      </c>
      <c r="O774" s="95" t="s">
        <v>262</v>
      </c>
    </row>
    <row r="775" spans="14:15" ht="15" x14ac:dyDescent="0.2">
      <c r="N775" s="188">
        <f t="shared" si="1"/>
        <v>2029</v>
      </c>
      <c r="O775" s="95" t="s">
        <v>22</v>
      </c>
    </row>
    <row r="776" spans="14:15" ht="15" x14ac:dyDescent="0.2">
      <c r="N776" s="188">
        <f>N775+1</f>
        <v>2030</v>
      </c>
      <c r="O776" s="95" t="s">
        <v>263</v>
      </c>
    </row>
    <row r="777" spans="14:15" ht="15" x14ac:dyDescent="0.2">
      <c r="O777" s="95" t="s">
        <v>23</v>
      </c>
    </row>
    <row r="778" spans="14:15" ht="15" x14ac:dyDescent="0.2">
      <c r="O778" s="95" t="s">
        <v>24</v>
      </c>
    </row>
    <row r="779" spans="14:15" ht="15" x14ac:dyDescent="0.2">
      <c r="O779" s="95" t="s">
        <v>25</v>
      </c>
    </row>
    <row r="780" spans="14:15" ht="15" x14ac:dyDescent="0.2">
      <c r="O780" s="95" t="s">
        <v>26</v>
      </c>
    </row>
    <row r="781" spans="14:15" ht="15" x14ac:dyDescent="0.2">
      <c r="O781" s="95" t="s">
        <v>27</v>
      </c>
    </row>
    <row r="782" spans="14:15" ht="15" x14ac:dyDescent="0.2">
      <c r="O782" s="95" t="s">
        <v>28</v>
      </c>
    </row>
    <row r="783" spans="14:15" ht="15" x14ac:dyDescent="0.2">
      <c r="O783" s="95" t="s">
        <v>29</v>
      </c>
    </row>
    <row r="784" spans="14:15" ht="15" x14ac:dyDescent="0.2">
      <c r="O784" s="95" t="s">
        <v>30</v>
      </c>
    </row>
    <row r="785" spans="15:25" ht="15" x14ac:dyDescent="0.2">
      <c r="O785" s="95" t="s">
        <v>31</v>
      </c>
    </row>
    <row r="786" spans="15:25" ht="15" x14ac:dyDescent="0.2">
      <c r="O786" s="95" t="s">
        <v>32</v>
      </c>
    </row>
    <row r="787" spans="15:25" ht="15" x14ac:dyDescent="0.2">
      <c r="O787" s="95" t="s">
        <v>33</v>
      </c>
    </row>
    <row r="788" spans="15:25" ht="15" x14ac:dyDescent="0.2">
      <c r="O788" s="95" t="s">
        <v>34</v>
      </c>
    </row>
    <row r="789" spans="15:25" ht="15" x14ac:dyDescent="0.2">
      <c r="O789" s="95" t="s">
        <v>35</v>
      </c>
    </row>
    <row r="790" spans="15:25" ht="15" x14ac:dyDescent="0.2">
      <c r="O790" s="95" t="s">
        <v>36</v>
      </c>
    </row>
    <row r="791" spans="15:25" ht="15" x14ac:dyDescent="0.2">
      <c r="O791" s="95" t="s">
        <v>37</v>
      </c>
    </row>
    <row r="792" spans="15:25" ht="15" x14ac:dyDescent="0.2">
      <c r="O792" s="95" t="s">
        <v>38</v>
      </c>
    </row>
    <row r="793" spans="15:25" ht="15" x14ac:dyDescent="0.2">
      <c r="O793" s="95" t="s">
        <v>39</v>
      </c>
    </row>
    <row r="794" spans="15:25" ht="15" x14ac:dyDescent="0.2">
      <c r="O794" s="95" t="s">
        <v>40</v>
      </c>
    </row>
    <row r="795" spans="15:25" ht="15" x14ac:dyDescent="0.2">
      <c r="O795" s="95" t="s">
        <v>41</v>
      </c>
    </row>
    <row r="796" spans="15:25" ht="15" x14ac:dyDescent="0.2">
      <c r="O796" s="95" t="s">
        <v>42</v>
      </c>
      <c r="Q796" s="440"/>
    </row>
    <row r="797" spans="15:25" ht="15.75" x14ac:dyDescent="0.25">
      <c r="O797" s="95" t="s">
        <v>43</v>
      </c>
      <c r="Q797" s="441">
        <v>1</v>
      </c>
      <c r="R797" s="440" t="s">
        <v>451</v>
      </c>
      <c r="S797" s="440" t="s">
        <v>452</v>
      </c>
      <c r="T797" s="440" t="s">
        <v>453</v>
      </c>
      <c r="U797" s="440" t="s">
        <v>454</v>
      </c>
      <c r="V797" s="440" t="s">
        <v>455</v>
      </c>
      <c r="W797" s="440" t="s">
        <v>456</v>
      </c>
      <c r="X797" s="440" t="s">
        <v>457</v>
      </c>
      <c r="Y797" s="440" t="s">
        <v>458</v>
      </c>
    </row>
    <row r="798" spans="15:25" ht="15.75" x14ac:dyDescent="0.25">
      <c r="O798" s="95" t="s">
        <v>44</v>
      </c>
      <c r="Q798" s="441">
        <v>2</v>
      </c>
      <c r="R798" s="441" t="s">
        <v>66</v>
      </c>
      <c r="S798" s="441" t="s">
        <v>67</v>
      </c>
      <c r="T798" s="441" t="s">
        <v>68</v>
      </c>
      <c r="U798" s="441" t="s">
        <v>60</v>
      </c>
      <c r="V798" s="441" t="s">
        <v>73</v>
      </c>
      <c r="W798" s="441" t="s">
        <v>63</v>
      </c>
      <c r="X798" s="441" t="s">
        <v>61</v>
      </c>
      <c r="Y798" s="441" t="s">
        <v>64</v>
      </c>
    </row>
    <row r="799" spans="15:25" ht="15.75" x14ac:dyDescent="0.25">
      <c r="O799" s="95" t="s">
        <v>45</v>
      </c>
      <c r="Q799" s="441">
        <v>3</v>
      </c>
      <c r="R799" s="441" t="s">
        <v>79</v>
      </c>
      <c r="S799" s="441" t="s">
        <v>459</v>
      </c>
      <c r="T799" s="441" t="s">
        <v>80</v>
      </c>
      <c r="U799" s="441" t="s">
        <v>69</v>
      </c>
      <c r="V799" s="441" t="s">
        <v>74</v>
      </c>
      <c r="W799" s="441" t="s">
        <v>78</v>
      </c>
      <c r="X799" s="441" t="s">
        <v>62</v>
      </c>
      <c r="Y799" s="441" t="s">
        <v>71</v>
      </c>
    </row>
    <row r="800" spans="15:25" ht="15.75" x14ac:dyDescent="0.25">
      <c r="O800" s="95" t="s">
        <v>46</v>
      </c>
      <c r="Q800" s="441">
        <v>4</v>
      </c>
      <c r="R800" s="441" t="s">
        <v>81</v>
      </c>
      <c r="S800" s="441" t="s">
        <v>98</v>
      </c>
      <c r="T800" s="441" t="s">
        <v>93</v>
      </c>
      <c r="U800" s="441" t="s">
        <v>70</v>
      </c>
      <c r="V800" s="441" t="s">
        <v>75</v>
      </c>
      <c r="W800" s="441" t="s">
        <v>85</v>
      </c>
      <c r="X800" s="441" t="s">
        <v>65</v>
      </c>
      <c r="Y800" s="441"/>
    </row>
    <row r="801" spans="15:25" ht="15.75" x14ac:dyDescent="0.25">
      <c r="O801" s="95" t="s">
        <v>47</v>
      </c>
      <c r="Q801" s="441">
        <v>5</v>
      </c>
      <c r="R801" s="441" t="s">
        <v>89</v>
      </c>
      <c r="S801" s="441" t="s">
        <v>108</v>
      </c>
      <c r="T801" s="441" t="s">
        <v>106</v>
      </c>
      <c r="U801" s="441" t="s">
        <v>77</v>
      </c>
      <c r="V801" s="441" t="s">
        <v>82</v>
      </c>
      <c r="W801" s="441" t="s">
        <v>91</v>
      </c>
      <c r="X801" s="441" t="s">
        <v>72</v>
      </c>
      <c r="Y801" s="441"/>
    </row>
    <row r="802" spans="15:25" ht="15.75" x14ac:dyDescent="0.25">
      <c r="O802" s="95" t="s">
        <v>48</v>
      </c>
      <c r="Q802" s="441">
        <v>6</v>
      </c>
      <c r="R802" s="441" t="s">
        <v>92</v>
      </c>
      <c r="S802" s="441"/>
      <c r="T802" s="441"/>
      <c r="U802" s="441" t="s">
        <v>84</v>
      </c>
      <c r="V802" s="441" t="s">
        <v>83</v>
      </c>
      <c r="W802" s="441" t="s">
        <v>96</v>
      </c>
      <c r="X802" s="441" t="s">
        <v>76</v>
      </c>
      <c r="Y802" s="441"/>
    </row>
    <row r="803" spans="15:25" ht="15.75" x14ac:dyDescent="0.25">
      <c r="O803" s="95" t="s">
        <v>49</v>
      </c>
      <c r="Q803" s="441">
        <v>7</v>
      </c>
      <c r="R803" s="441" t="s">
        <v>99</v>
      </c>
      <c r="S803" s="441"/>
      <c r="T803" s="441"/>
      <c r="U803" s="441" t="s">
        <v>460</v>
      </c>
      <c r="V803" s="441" t="s">
        <v>95</v>
      </c>
      <c r="W803" s="441" t="s">
        <v>461</v>
      </c>
      <c r="X803" s="441" t="s">
        <v>86</v>
      </c>
      <c r="Y803" s="441"/>
    </row>
    <row r="804" spans="15:25" ht="15.75" x14ac:dyDescent="0.25">
      <c r="O804" s="95" t="s">
        <v>50</v>
      </c>
      <c r="Q804" s="441">
        <v>8</v>
      </c>
      <c r="R804" s="441" t="s">
        <v>105</v>
      </c>
      <c r="S804" s="441"/>
      <c r="T804" s="441"/>
      <c r="U804" s="441"/>
      <c r="V804" s="441" t="s">
        <v>109</v>
      </c>
      <c r="W804" s="441"/>
      <c r="X804" s="441" t="s">
        <v>87</v>
      </c>
      <c r="Y804" s="441"/>
    </row>
    <row r="805" spans="15:25" ht="15.75" x14ac:dyDescent="0.25">
      <c r="O805" s="95" t="s">
        <v>51</v>
      </c>
      <c r="Q805" s="441">
        <f>Q804+1</f>
        <v>9</v>
      </c>
      <c r="R805" s="440"/>
      <c r="S805" s="441"/>
      <c r="T805" s="441"/>
      <c r="U805" s="441"/>
      <c r="V805" s="441"/>
      <c r="W805" s="441"/>
      <c r="X805" s="441" t="s">
        <v>88</v>
      </c>
      <c r="Y805" s="441"/>
    </row>
    <row r="806" spans="15:25" ht="15.75" x14ac:dyDescent="0.25">
      <c r="O806" s="95" t="s">
        <v>52</v>
      </c>
      <c r="Q806" s="441">
        <f t="shared" ref="Q806:Q811" si="2">Q805+1</f>
        <v>10</v>
      </c>
      <c r="R806" s="441"/>
      <c r="S806" s="441"/>
      <c r="T806" s="441"/>
      <c r="U806" s="441"/>
      <c r="V806" s="441"/>
      <c r="W806" s="441"/>
      <c r="X806" s="441" t="s">
        <v>94</v>
      </c>
      <c r="Y806" s="441"/>
    </row>
    <row r="807" spans="15:25" ht="15.75" x14ac:dyDescent="0.25">
      <c r="O807" s="95" t="s">
        <v>53</v>
      </c>
      <c r="Q807" s="441">
        <f t="shared" si="2"/>
        <v>11</v>
      </c>
      <c r="R807" s="441"/>
      <c r="S807" s="441"/>
      <c r="T807" s="441"/>
      <c r="U807" s="441"/>
      <c r="V807" s="441"/>
      <c r="W807" s="441"/>
      <c r="X807" s="441" t="s">
        <v>97</v>
      </c>
      <c r="Y807" s="441"/>
    </row>
    <row r="808" spans="15:25" ht="15.75" x14ac:dyDescent="0.25">
      <c r="O808" s="95" t="s">
        <v>54</v>
      </c>
      <c r="Q808" s="441">
        <f t="shared" si="2"/>
        <v>12</v>
      </c>
      <c r="R808" s="441"/>
      <c r="S808" s="441"/>
      <c r="T808" s="441"/>
      <c r="U808" s="441"/>
      <c r="V808" s="441"/>
      <c r="W808" s="441"/>
      <c r="X808" s="441" t="s">
        <v>101</v>
      </c>
      <c r="Y808" s="441"/>
    </row>
    <row r="809" spans="15:25" ht="15.75" x14ac:dyDescent="0.25">
      <c r="O809" t="s">
        <v>451</v>
      </c>
      <c r="Q809" s="441">
        <f t="shared" si="2"/>
        <v>13</v>
      </c>
      <c r="R809" s="441"/>
      <c r="S809" s="441"/>
      <c r="T809" s="441"/>
      <c r="U809" s="441"/>
      <c r="V809" s="441"/>
      <c r="W809" s="441"/>
      <c r="X809" s="441" t="s">
        <v>104</v>
      </c>
      <c r="Y809" s="441"/>
    </row>
    <row r="810" spans="15:25" ht="15.75" x14ac:dyDescent="0.25">
      <c r="O810" t="s">
        <v>452</v>
      </c>
      <c r="Q810" s="441">
        <f t="shared" si="2"/>
        <v>14</v>
      </c>
      <c r="R810" s="441"/>
      <c r="S810" s="441"/>
      <c r="T810" s="441"/>
      <c r="U810" s="441"/>
      <c r="V810" s="441"/>
      <c r="W810" s="441"/>
      <c r="X810" s="441" t="s">
        <v>107</v>
      </c>
      <c r="Y810" s="441"/>
    </row>
    <row r="811" spans="15:25" ht="15.75" x14ac:dyDescent="0.25">
      <c r="O811" t="s">
        <v>453</v>
      </c>
      <c r="Q811" s="441">
        <f t="shared" si="2"/>
        <v>15</v>
      </c>
    </row>
    <row r="812" spans="15:25" ht="15.75" x14ac:dyDescent="0.25">
      <c r="O812" t="s">
        <v>454</v>
      </c>
      <c r="Q812" s="441"/>
      <c r="S812" s="439"/>
    </row>
    <row r="813" spans="15:25" x14ac:dyDescent="0.2">
      <c r="O813" t="s">
        <v>455</v>
      </c>
    </row>
    <row r="814" spans="15:25" x14ac:dyDescent="0.2">
      <c r="O814" t="s">
        <v>456</v>
      </c>
      <c r="R814" s="439"/>
    </row>
    <row r="815" spans="15:25" x14ac:dyDescent="0.2">
      <c r="O815" t="s">
        <v>457</v>
      </c>
    </row>
    <row r="816" spans="15:25" x14ac:dyDescent="0.2">
      <c r="O816" t="s">
        <v>458</v>
      </c>
      <c r="R816" s="439"/>
    </row>
  </sheetData>
  <sheetProtection password="DFD3"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8">
    <mergeCell ref="B30:G30"/>
    <mergeCell ref="H30:J30"/>
    <mergeCell ref="A26:A28"/>
    <mergeCell ref="A4:G4"/>
    <mergeCell ref="A6:G6"/>
    <mergeCell ref="A8:G9"/>
    <mergeCell ref="A5:G5"/>
    <mergeCell ref="A29:F29"/>
  </mergeCells>
  <phoneticPr fontId="0" type="noConversion"/>
  <conditionalFormatting sqref="E59:F83 C29:C32 B82 G29:N83 E29:F32 C37:C38 C60:C83 E37:E38 C40:C42 E40:E42 B29:B47 C46:C53 E46:E53 C55:C57 F37:F57 E55:E57 B49:B60 B62:B66 D29:D66 B70 D68:D75 B79:B80 D78:D80 D82 A29:A83">
    <cfRule type="expression" dxfId="59" priority="66">
      <formula>$B$26="Y"</formula>
    </cfRule>
  </conditionalFormatting>
  <conditionalFormatting sqref="A13:B13">
    <cfRule type="expression" dxfId="58" priority="61">
      <formula>$T$12=0</formula>
    </cfRule>
  </conditionalFormatting>
  <conditionalFormatting sqref="E59:F83 C29:C32 B82 G29:N83 E29:F32 C37:C38 C60:C83 E37:E38 C40:C42 E40:E42 B29:B47 C46:C53 E46:E53 C55:C57 F37:F57 E55:E57 B49:B60 B62:B66 D29:D66 B70 D68:D75 B79:B80 D78:D80 D82 A29:A83">
    <cfRule type="expression" dxfId="57" priority="58">
      <formula>$B$26="Y"</formula>
    </cfRule>
  </conditionalFormatting>
  <conditionalFormatting sqref="Y33:AC83">
    <cfRule type="expression" dxfId="56" priority="57">
      <formula>$B$26="Y"</formula>
    </cfRule>
  </conditionalFormatting>
  <conditionalFormatting sqref="C33:C36">
    <cfRule type="expression" dxfId="55" priority="56">
      <formula>$B$26="Y"</formula>
    </cfRule>
  </conditionalFormatting>
  <conditionalFormatting sqref="E33:F36">
    <cfRule type="expression" dxfId="54" priority="55">
      <formula>$B$26="Y"</formula>
    </cfRule>
  </conditionalFormatting>
  <conditionalFormatting sqref="C39">
    <cfRule type="expression" dxfId="53" priority="54">
      <formula>$B$26="Y"</formula>
    </cfRule>
  </conditionalFormatting>
  <conditionalFormatting sqref="E39">
    <cfRule type="expression" dxfId="52" priority="53">
      <formula>$B$26="Y"</formula>
    </cfRule>
  </conditionalFormatting>
  <conditionalFormatting sqref="C43:C45">
    <cfRule type="expression" dxfId="51" priority="52">
      <formula>$B$26="Y"</formula>
    </cfRule>
  </conditionalFormatting>
  <conditionalFormatting sqref="E43:E45">
    <cfRule type="expression" dxfId="50" priority="51">
      <formula>$B$26="Y"</formula>
    </cfRule>
  </conditionalFormatting>
  <conditionalFormatting sqref="B48">
    <cfRule type="expression" dxfId="49" priority="50">
      <formula>$B$26="Y"</formula>
    </cfRule>
  </conditionalFormatting>
  <conditionalFormatting sqref="C54">
    <cfRule type="expression" dxfId="48" priority="49">
      <formula>$B$26="Y"</formula>
    </cfRule>
  </conditionalFormatting>
  <conditionalFormatting sqref="E54">
    <cfRule type="expression" dxfId="47" priority="48">
      <formula>$B$26="Y"</formula>
    </cfRule>
  </conditionalFormatting>
  <conditionalFormatting sqref="C58:C59">
    <cfRule type="expression" dxfId="46" priority="47">
      <formula>$B$26="Y"</formula>
    </cfRule>
  </conditionalFormatting>
  <conditionalFormatting sqref="E58:F58">
    <cfRule type="expression" dxfId="45" priority="46">
      <formula>$B$26="Y"</formula>
    </cfRule>
  </conditionalFormatting>
  <conditionalFormatting sqref="B61">
    <cfRule type="expression" dxfId="44" priority="45">
      <formula>$B$26="Y"</formula>
    </cfRule>
  </conditionalFormatting>
  <conditionalFormatting sqref="B67:B69">
    <cfRule type="expression" dxfId="43" priority="44">
      <formula>$B$26="Y"</formula>
    </cfRule>
  </conditionalFormatting>
  <conditionalFormatting sqref="D67">
    <cfRule type="expression" dxfId="42" priority="43">
      <formula>$B$26="Y"</formula>
    </cfRule>
  </conditionalFormatting>
  <conditionalFormatting sqref="B71:B78">
    <cfRule type="expression" dxfId="41" priority="42">
      <formula>$B$26="Y"</formula>
    </cfRule>
  </conditionalFormatting>
  <conditionalFormatting sqref="D76:D77">
    <cfRule type="expression" dxfId="40" priority="41">
      <formula>$B$26="Y"</formula>
    </cfRule>
  </conditionalFormatting>
  <conditionalFormatting sqref="B81">
    <cfRule type="expression" dxfId="39" priority="40">
      <formula>$B$26="Y"</formula>
    </cfRule>
  </conditionalFormatting>
  <conditionalFormatting sqref="D81">
    <cfRule type="expression" dxfId="38" priority="39">
      <formula>$B$26="Y"</formula>
    </cfRule>
  </conditionalFormatting>
  <conditionalFormatting sqref="B83">
    <cfRule type="expression" dxfId="37" priority="38">
      <formula>$B$26="Y"</formula>
    </cfRule>
  </conditionalFormatting>
  <conditionalFormatting sqref="D83">
    <cfRule type="expression" dxfId="36" priority="37">
      <formula>$B$26="Y"</formula>
    </cfRule>
  </conditionalFormatting>
  <conditionalFormatting sqref="C33:C36">
    <cfRule type="expression" dxfId="35" priority="36">
      <formula>$B$26="Y"</formula>
    </cfRule>
  </conditionalFormatting>
  <conditionalFormatting sqref="E33:F36">
    <cfRule type="expression" dxfId="34" priority="35">
      <formula>$B$26="Y"</formula>
    </cfRule>
  </conditionalFormatting>
  <conditionalFormatting sqref="C39">
    <cfRule type="expression" dxfId="33" priority="34">
      <formula>$B$26="Y"</formula>
    </cfRule>
  </conditionalFormatting>
  <conditionalFormatting sqref="E39">
    <cfRule type="expression" dxfId="32" priority="33">
      <formula>$B$26="Y"</formula>
    </cfRule>
  </conditionalFormatting>
  <conditionalFormatting sqref="C43:C45">
    <cfRule type="expression" dxfId="31" priority="32">
      <formula>$B$26="Y"</formula>
    </cfRule>
  </conditionalFormatting>
  <conditionalFormatting sqref="E43:E45">
    <cfRule type="expression" dxfId="30" priority="31">
      <formula>$B$26="Y"</formula>
    </cfRule>
  </conditionalFormatting>
  <conditionalFormatting sqref="B48">
    <cfRule type="expression" dxfId="29" priority="30">
      <formula>$B$26="Y"</formula>
    </cfRule>
  </conditionalFormatting>
  <conditionalFormatting sqref="C54">
    <cfRule type="expression" dxfId="28" priority="29">
      <formula>$B$26="Y"</formula>
    </cfRule>
  </conditionalFormatting>
  <conditionalFormatting sqref="E54">
    <cfRule type="expression" dxfId="27" priority="28">
      <formula>$B$26="Y"</formula>
    </cfRule>
  </conditionalFormatting>
  <conditionalFormatting sqref="C58:C59">
    <cfRule type="expression" dxfId="26" priority="27">
      <formula>$B$26="Y"</formula>
    </cfRule>
  </conditionalFormatting>
  <conditionalFormatting sqref="E58:F58">
    <cfRule type="expression" dxfId="25" priority="26">
      <formula>$B$26="Y"</formula>
    </cfRule>
  </conditionalFormatting>
  <conditionalFormatting sqref="B61">
    <cfRule type="expression" dxfId="24" priority="25">
      <formula>$B$26="Y"</formula>
    </cfRule>
  </conditionalFormatting>
  <conditionalFormatting sqref="B67:B69">
    <cfRule type="expression" dxfId="23" priority="24">
      <formula>$B$26="Y"</formula>
    </cfRule>
  </conditionalFormatting>
  <conditionalFormatting sqref="D67">
    <cfRule type="expression" dxfId="22" priority="23">
      <formula>$B$26="Y"</formula>
    </cfRule>
  </conditionalFormatting>
  <conditionalFormatting sqref="B71:B78">
    <cfRule type="expression" dxfId="21" priority="22">
      <formula>$B$26="Y"</formula>
    </cfRule>
  </conditionalFormatting>
  <conditionalFormatting sqref="D76:D77">
    <cfRule type="expression" dxfId="20" priority="21">
      <formula>$B$26="Y"</formula>
    </cfRule>
  </conditionalFormatting>
  <conditionalFormatting sqref="C33:C36">
    <cfRule type="expression" dxfId="19" priority="20">
      <formula>$B$26="Y"</formula>
    </cfRule>
  </conditionalFormatting>
  <conditionalFormatting sqref="E33:F36">
    <cfRule type="expression" dxfId="18" priority="19">
      <formula>$B$26="Y"</formula>
    </cfRule>
  </conditionalFormatting>
  <conditionalFormatting sqref="C39">
    <cfRule type="expression" dxfId="17" priority="18">
      <formula>$B$26="Y"</formula>
    </cfRule>
  </conditionalFormatting>
  <conditionalFormatting sqref="E39">
    <cfRule type="expression" dxfId="16" priority="17">
      <formula>$B$26="Y"</formula>
    </cfRule>
  </conditionalFormatting>
  <conditionalFormatting sqref="C43:C45">
    <cfRule type="expression" dxfId="15" priority="16">
      <formula>$B$26="Y"</formula>
    </cfRule>
  </conditionalFormatting>
  <conditionalFormatting sqref="E43:E45">
    <cfRule type="expression" dxfId="14" priority="15">
      <formula>$B$26="Y"</formula>
    </cfRule>
  </conditionalFormatting>
  <conditionalFormatting sqref="B48">
    <cfRule type="expression" dxfId="13" priority="14">
      <formula>$B$26="Y"</formula>
    </cfRule>
  </conditionalFormatting>
  <conditionalFormatting sqref="C54">
    <cfRule type="expression" dxfId="12" priority="13">
      <formula>$B$26="Y"</formula>
    </cfRule>
  </conditionalFormatting>
  <conditionalFormatting sqref="E54">
    <cfRule type="expression" dxfId="11" priority="12">
      <formula>$B$26="Y"</formula>
    </cfRule>
  </conditionalFormatting>
  <conditionalFormatting sqref="C58:C59">
    <cfRule type="expression" dxfId="10" priority="11">
      <formula>$B$26="Y"</formula>
    </cfRule>
  </conditionalFormatting>
  <conditionalFormatting sqref="E58:F58">
    <cfRule type="expression" dxfId="9" priority="10">
      <formula>$B$26="Y"</formula>
    </cfRule>
  </conditionalFormatting>
  <conditionalFormatting sqref="B61">
    <cfRule type="expression" dxfId="8" priority="9">
      <formula>$B$26="Y"</formula>
    </cfRule>
  </conditionalFormatting>
  <conditionalFormatting sqref="B67:B69">
    <cfRule type="expression" dxfId="7" priority="8">
      <formula>$B$26="Y"</formula>
    </cfRule>
  </conditionalFormatting>
  <conditionalFormatting sqref="D67">
    <cfRule type="expression" dxfId="6" priority="7">
      <formula>$B$26="Y"</formula>
    </cfRule>
  </conditionalFormatting>
  <conditionalFormatting sqref="B71:B78">
    <cfRule type="expression" dxfId="5" priority="6">
      <formula>$B$26="Y"</formula>
    </cfRule>
  </conditionalFormatting>
  <conditionalFormatting sqref="D76:D77">
    <cfRule type="expression" dxfId="4" priority="5">
      <formula>$B$26="Y"</formula>
    </cfRule>
  </conditionalFormatting>
  <conditionalFormatting sqref="B81">
    <cfRule type="expression" dxfId="3" priority="4">
      <formula>$B$26="Y"</formula>
    </cfRule>
  </conditionalFormatting>
  <conditionalFormatting sqref="D81">
    <cfRule type="expression" dxfId="2" priority="3">
      <formula>$B$26="Y"</formula>
    </cfRule>
  </conditionalFormatting>
  <conditionalFormatting sqref="B83">
    <cfRule type="expression" dxfId="1" priority="2">
      <formula>$B$26="Y"</formula>
    </cfRule>
  </conditionalFormatting>
  <conditionalFormatting sqref="D83">
    <cfRule type="expression" dxfId="0" priority="1">
      <formula>$B$26="Y"</formula>
    </cfRule>
  </conditionalFormatting>
  <dataValidations count="6">
    <dataValidation type="list" allowBlank="1" showInputMessage="1" showErrorMessage="1" sqref="B12">
      <formula1>Location</formula1>
    </dataValidation>
    <dataValidation type="list" allowBlank="1" showInputMessage="1" showErrorMessage="1" sqref="B15">
      <formula1>SysApp</formula1>
    </dataValidation>
    <dataValidation type="list" allowBlank="1" showInputMessage="1" showErrorMessage="1" sqref="B16">
      <formula1>Material</formula1>
    </dataValidation>
    <dataValidation type="list" allowBlank="1" showInputMessage="1" showErrorMessage="1" sqref="B17">
      <formula1>Tracking</formula1>
    </dataValidation>
    <dataValidation type="list" allowBlank="1" showInputMessage="1" showErrorMessage="1" sqref="B26">
      <formula1>YN</formula1>
    </dataValidation>
    <dataValidation type="list" allowBlank="1" showInputMessage="1" showErrorMessage="1" sqref="B14">
      <formula1>Years</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5</xdr:col>
                    <xdr:colOff>266700</xdr:colOff>
                    <xdr:row>65</xdr:row>
                    <xdr:rowOff>142875</xdr:rowOff>
                  </from>
                  <to>
                    <xdr:col>6</xdr:col>
                    <xdr:colOff>762000</xdr:colOff>
                    <xdr:row>68</xdr:row>
                    <xdr:rowOff>95250</xdr:rowOff>
                  </to>
                </anchor>
              </controlPr>
            </control>
          </mc:Choice>
        </mc:AlternateContent>
        <mc:AlternateContent xmlns:mc="http://schemas.openxmlformats.org/markup-compatibility/2006">
          <mc:Choice Requires="x14">
            <control shapeId="2091" r:id="rId6" name="Button 43">
              <controlPr defaultSize="0" print="0" autoFill="0" autoPict="0" macro="[0]!Project">
                <anchor moveWithCells="1" sizeWithCells="1">
                  <from>
                    <xdr:col>4</xdr:col>
                    <xdr:colOff>923925</xdr:colOff>
                    <xdr:row>71</xdr:row>
                    <xdr:rowOff>0</xdr:rowOff>
                  </from>
                  <to>
                    <xdr:col>7</xdr:col>
                    <xdr:colOff>314325</xdr:colOff>
                    <xdr:row>73</xdr:row>
                    <xdr:rowOff>133350</xdr:rowOff>
                  </to>
                </anchor>
              </controlPr>
            </control>
          </mc:Choice>
        </mc:AlternateContent>
        <mc:AlternateContent xmlns:mc="http://schemas.openxmlformats.org/markup-compatibility/2006">
          <mc:Choice Requires="x14">
            <control shapeId="2179" r:id="rId7" name="Button 131">
              <controlPr defaultSize="0" print="0" autoFill="0" autoPict="0" macro="[0]!ReviseDefaultData">
                <anchor moveWithCells="1" sizeWithCells="1">
                  <from>
                    <xdr:col>6</xdr:col>
                    <xdr:colOff>57150</xdr:colOff>
                    <xdr:row>28</xdr:row>
                    <xdr:rowOff>0</xdr:rowOff>
                  </from>
                  <to>
                    <xdr:col>7</xdr:col>
                    <xdr:colOff>381000</xdr:colOff>
                    <xdr:row>29</xdr:row>
                    <xdr:rowOff>171450</xdr:rowOff>
                  </to>
                </anchor>
              </controlPr>
            </control>
          </mc:Choice>
        </mc:AlternateContent>
        <mc:AlternateContent xmlns:mc="http://schemas.openxmlformats.org/markup-compatibility/2006">
          <mc:Choice Requires="x14">
            <control shapeId="2207" r:id="rId8" name="Button 159">
              <controlPr defaultSize="0" print="0" autoFill="0" autoPict="0" macro="[0]!Summary">
                <anchor moveWithCells="1" sizeWithCells="1">
                  <from>
                    <xdr:col>2</xdr:col>
                    <xdr:colOff>209550</xdr:colOff>
                    <xdr:row>26</xdr:row>
                    <xdr:rowOff>85725</xdr:rowOff>
                  </from>
                  <to>
                    <xdr:col>4</xdr:col>
                    <xdr:colOff>781050</xdr:colOff>
                    <xdr:row>27</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BM267"/>
  <sheetViews>
    <sheetView workbookViewId="0"/>
  </sheetViews>
  <sheetFormatPr defaultRowHeight="12.75" x14ac:dyDescent="0.2"/>
  <cols>
    <col min="1" max="1" width="45.28515625" customWidth="1"/>
    <col min="2" max="2" width="17.140625" customWidth="1"/>
    <col min="3" max="3" width="14.42578125" customWidth="1"/>
    <col min="4" max="4" width="13.7109375" customWidth="1"/>
    <col min="5" max="5" width="27" customWidth="1"/>
    <col min="6" max="6" width="7.7109375" customWidth="1"/>
    <col min="7" max="7" width="6.5703125" customWidth="1"/>
    <col min="10" max="17" width="9.140625" style="137"/>
    <col min="53" max="53" width="41.7109375" customWidth="1"/>
    <col min="54" max="54" width="16" customWidth="1"/>
    <col min="55" max="55" width="12" customWidth="1"/>
    <col min="56" max="57" width="14.28515625" customWidth="1"/>
    <col min="59" max="59" width="49" customWidth="1"/>
    <col min="60" max="60" width="18.42578125" customWidth="1"/>
    <col min="62" max="62" width="10.140625" customWidth="1"/>
    <col min="63" max="63" width="11" customWidth="1"/>
    <col min="64" max="64" width="14.140625" customWidth="1"/>
  </cols>
  <sheetData>
    <row r="1" spans="1:65" ht="18" x14ac:dyDescent="0.25">
      <c r="A1" s="118" t="str">
        <f>CONCATENATE("Photovoltaic - Project Data Summary based on ",$AD$48, " values")</f>
        <v>Photovoltaic - Project Data Summary based on model default values</v>
      </c>
      <c r="B1" s="39"/>
      <c r="C1" s="60"/>
      <c r="D1" s="60"/>
      <c r="E1" s="60"/>
      <c r="F1" s="39"/>
      <c r="G1" s="39"/>
      <c r="H1" s="39"/>
      <c r="I1" s="39"/>
      <c r="J1" s="99"/>
      <c r="K1" s="99"/>
      <c r="L1" s="99"/>
      <c r="M1" s="99"/>
      <c r="N1" s="99"/>
      <c r="O1" s="99"/>
      <c r="P1" s="99"/>
      <c r="Q1" s="99"/>
      <c r="R1" s="99"/>
      <c r="S1" s="99"/>
      <c r="T1" s="99"/>
      <c r="U1" s="99"/>
      <c r="V1" s="99"/>
      <c r="W1" s="99"/>
      <c r="BA1" s="174" t="str">
        <f>Summary_Results</f>
        <v>Photovoltaic - Project Data Summary based on model default values</v>
      </c>
      <c r="BB1" s="137"/>
      <c r="BC1" s="175"/>
      <c r="BD1" s="177"/>
      <c r="BE1" s="192"/>
      <c r="BG1" s="182" t="str">
        <f>Summary_Results</f>
        <v>Photovoltaic - Project Data Summary based on model default values</v>
      </c>
      <c r="BH1" s="137"/>
      <c r="BI1" s="172"/>
      <c r="BJ1" s="172"/>
      <c r="BK1" s="137"/>
      <c r="BL1" s="137"/>
      <c r="BM1" s="137"/>
    </row>
    <row r="2" spans="1:65" ht="15" x14ac:dyDescent="0.3">
      <c r="A2" s="49" t="s">
        <v>209</v>
      </c>
      <c r="B2" s="99"/>
      <c r="C2" s="46" t="str">
        <f>IF(ProjectData!B12="MyCounty",'User Add-in Location'!B3,IF(ProjectData!B12="MyRegion",'User Add-in Location'!B4,ProjectData!B12))</f>
        <v xml:space="preserve">CALIFORNIA </v>
      </c>
      <c r="D2" s="163" t="str">
        <f>ProjectData!C14</f>
        <v/>
      </c>
      <c r="E2" s="46"/>
      <c r="F2" s="39"/>
      <c r="G2" s="39"/>
      <c r="H2" s="39"/>
      <c r="I2" s="39"/>
      <c r="J2" s="99"/>
      <c r="K2" s="99"/>
      <c r="L2" s="99"/>
      <c r="M2" s="99"/>
      <c r="N2" s="99"/>
      <c r="O2" s="99"/>
      <c r="P2" s="99"/>
      <c r="Q2" s="99"/>
      <c r="R2" s="99"/>
      <c r="S2" s="99"/>
      <c r="T2" s="99"/>
      <c r="U2" s="99"/>
      <c r="V2" s="99"/>
      <c r="W2" s="99"/>
      <c r="BA2" s="125" t="s">
        <v>209</v>
      </c>
      <c r="BB2" s="137"/>
      <c r="BC2" s="348" t="str">
        <f t="shared" ref="BC2:BC9" si="0">C2</f>
        <v xml:space="preserve">CALIFORNIA </v>
      </c>
      <c r="BD2" s="177"/>
      <c r="BE2" s="192"/>
      <c r="BG2" s="112" t="s">
        <v>246</v>
      </c>
      <c r="BH2" s="374" t="str">
        <f>ProjectData!B12</f>
        <v xml:space="preserve">CALIFORNIA </v>
      </c>
      <c r="BI2" s="375"/>
      <c r="BJ2" s="376" t="str">
        <f>IF(BH2="MYREGION",IF('User Add-in Location'!BL14=0,"Error - No Regional multiplier data in User Add-in Location",""),IF(BH2="MYCOUNTY",IF('User Add-in Location'!BK14=0,"Error - No County multiplier data in User Add-in Location",""),""))</f>
        <v/>
      </c>
      <c r="BK2" s="137"/>
      <c r="BL2" s="137"/>
      <c r="BM2" s="175"/>
    </row>
    <row r="3" spans="1:65" ht="15" x14ac:dyDescent="0.3">
      <c r="A3" s="94" t="s">
        <v>376</v>
      </c>
      <c r="B3" s="99"/>
      <c r="C3" s="201">
        <f>ProjectData!B14</f>
        <v>2012</v>
      </c>
      <c r="D3" s="60"/>
      <c r="E3" s="46"/>
      <c r="F3" s="39"/>
      <c r="G3" s="39"/>
      <c r="H3" s="39"/>
      <c r="I3" s="39"/>
      <c r="J3" s="99"/>
      <c r="K3" s="99"/>
      <c r="L3" s="99"/>
      <c r="M3" s="99"/>
      <c r="N3" s="99"/>
      <c r="O3" s="99"/>
      <c r="P3" s="99"/>
      <c r="Q3" s="99"/>
      <c r="R3" s="99"/>
      <c r="S3" s="99"/>
      <c r="T3" s="99"/>
      <c r="U3" s="99"/>
      <c r="V3" s="99"/>
      <c r="W3" s="99"/>
      <c r="BA3" s="233" t="s">
        <v>376</v>
      </c>
      <c r="BB3" s="137"/>
      <c r="BC3" s="348">
        <f t="shared" si="0"/>
        <v>2012</v>
      </c>
      <c r="BD3" s="177"/>
      <c r="BE3" s="192"/>
      <c r="BG3" s="374" t="str">
        <f>IF(ProjectData!$B13&gt;0,"Population","")</f>
        <v/>
      </c>
      <c r="BH3" s="374" t="str">
        <f>IF(ProjectData!$B13&gt;0,ProjectData!B13,"")</f>
        <v/>
      </c>
      <c r="BI3" s="375"/>
      <c r="BJ3" s="377"/>
      <c r="BK3" s="137"/>
      <c r="BL3" s="137"/>
      <c r="BM3" s="175"/>
    </row>
    <row r="4" spans="1:65" ht="15" x14ac:dyDescent="0.3">
      <c r="A4" s="94" t="s">
        <v>332</v>
      </c>
      <c r="B4" s="49"/>
      <c r="C4" s="435">
        <f>ProjectData!B18</f>
        <v>5</v>
      </c>
      <c r="D4" s="194" t="str">
        <f>ProjectData!D12</f>
        <v/>
      </c>
      <c r="E4" s="46"/>
      <c r="F4" s="39"/>
      <c r="G4" s="39"/>
      <c r="H4" s="39"/>
      <c r="I4" s="39"/>
      <c r="J4" s="99"/>
      <c r="K4" s="99"/>
      <c r="L4" s="99"/>
      <c r="M4" s="99"/>
      <c r="N4" s="99"/>
      <c r="O4" s="99"/>
      <c r="P4" s="99"/>
      <c r="Q4" s="99"/>
      <c r="R4" s="99"/>
      <c r="S4" s="99"/>
      <c r="T4" s="99"/>
      <c r="U4" s="99"/>
      <c r="V4" s="99"/>
      <c r="W4" s="99"/>
      <c r="BA4" s="233" t="s">
        <v>332</v>
      </c>
      <c r="BB4" s="137"/>
      <c r="BC4" s="348">
        <f t="shared" si="0"/>
        <v>5</v>
      </c>
      <c r="BD4" s="177"/>
      <c r="BE4" s="192"/>
      <c r="BG4" s="233" t="s">
        <v>376</v>
      </c>
      <c r="BH4" s="374">
        <f>ProjectData!B14</f>
        <v>2012</v>
      </c>
      <c r="BI4" s="376" t="str">
        <f>IF(BJ3="","",IF(BH3&lt;1,"**Error - Population Data Missing**",""))</f>
        <v/>
      </c>
      <c r="BJ4" s="378"/>
      <c r="BK4" s="137"/>
      <c r="BL4" s="137"/>
      <c r="BM4" s="175"/>
    </row>
    <row r="5" spans="1:65" ht="15" x14ac:dyDescent="0.3">
      <c r="A5" s="94" t="s">
        <v>243</v>
      </c>
      <c r="B5" s="99"/>
      <c r="C5" s="204">
        <f>ProjectData!B19</f>
        <v>100</v>
      </c>
      <c r="D5" s="194"/>
      <c r="E5" s="46"/>
      <c r="F5" s="39"/>
      <c r="G5" s="39"/>
      <c r="H5" s="39"/>
      <c r="I5" s="39"/>
      <c r="J5" s="99"/>
      <c r="K5" s="99"/>
      <c r="L5" s="99"/>
      <c r="M5" s="99"/>
      <c r="N5" s="99"/>
      <c r="O5" s="99"/>
      <c r="P5" s="99"/>
      <c r="Q5" s="99"/>
      <c r="R5" s="99"/>
      <c r="S5" s="99"/>
      <c r="T5" s="99"/>
      <c r="U5" s="99"/>
      <c r="V5" s="99"/>
      <c r="W5" s="99"/>
      <c r="BA5" s="233" t="s">
        <v>243</v>
      </c>
      <c r="BB5" s="137"/>
      <c r="BC5" s="348">
        <f t="shared" si="0"/>
        <v>100</v>
      </c>
      <c r="BD5" s="177"/>
      <c r="BE5" s="192"/>
      <c r="BG5" s="233" t="s">
        <v>283</v>
      </c>
      <c r="BH5" s="397" t="str">
        <f>ProjectData!B15</f>
        <v>Residential Retrofit</v>
      </c>
      <c r="BI5" s="376"/>
      <c r="BJ5" s="378"/>
      <c r="BK5" s="76"/>
      <c r="BL5" s="137"/>
      <c r="BM5" s="175"/>
    </row>
    <row r="6" spans="1:65" ht="15" x14ac:dyDescent="0.3">
      <c r="A6" s="45" t="s">
        <v>333</v>
      </c>
      <c r="B6" s="99"/>
      <c r="C6" s="438">
        <f>ProjectData!B20</f>
        <v>500</v>
      </c>
      <c r="D6" s="194"/>
      <c r="E6" s="46"/>
      <c r="F6" s="39"/>
      <c r="G6" s="39"/>
      <c r="H6" s="39"/>
      <c r="I6" s="39"/>
      <c r="J6" s="99"/>
      <c r="K6" s="99"/>
      <c r="L6" s="99"/>
      <c r="M6" s="99"/>
      <c r="N6" s="99"/>
      <c r="O6" s="99"/>
      <c r="P6" s="99"/>
      <c r="Q6" s="99"/>
      <c r="R6" s="99"/>
      <c r="S6" s="99"/>
      <c r="T6" s="99"/>
      <c r="U6" s="99"/>
      <c r="V6" s="99"/>
      <c r="W6" s="99"/>
      <c r="BA6" s="176" t="s">
        <v>349</v>
      </c>
      <c r="BC6" s="348">
        <f t="shared" si="0"/>
        <v>500</v>
      </c>
      <c r="BE6" s="192"/>
      <c r="BG6" s="233" t="s">
        <v>442</v>
      </c>
      <c r="BH6" s="421" t="str">
        <f>ProjectData!B16</f>
        <v>Crystalline Silicon</v>
      </c>
      <c r="BI6" s="176"/>
      <c r="BJ6" s="378"/>
      <c r="BK6" s="76"/>
      <c r="BL6" s="137"/>
      <c r="BM6" s="175"/>
    </row>
    <row r="7" spans="1:65" ht="15" x14ac:dyDescent="0.3">
      <c r="A7" s="94" t="s">
        <v>442</v>
      </c>
      <c r="B7" s="99"/>
      <c r="C7" s="201" t="str">
        <f>ProjectData!B15</f>
        <v>Residential Retrofit</v>
      </c>
      <c r="D7" s="60"/>
      <c r="E7" s="46"/>
      <c r="F7" s="39"/>
      <c r="G7" s="39"/>
      <c r="H7" s="39"/>
      <c r="I7" s="39"/>
      <c r="J7" s="99"/>
      <c r="K7" s="99"/>
      <c r="L7" s="99"/>
      <c r="M7" s="99"/>
      <c r="N7" s="99"/>
      <c r="O7" s="99"/>
      <c r="P7" s="99"/>
      <c r="Q7" s="99"/>
      <c r="R7" s="99"/>
      <c r="S7" s="99"/>
      <c r="T7" s="99"/>
      <c r="U7" s="99"/>
      <c r="V7" s="99"/>
      <c r="W7" s="99"/>
      <c r="BA7" s="233" t="s">
        <v>442</v>
      </c>
      <c r="BC7" s="348" t="str">
        <f t="shared" si="0"/>
        <v>Residential Retrofit</v>
      </c>
      <c r="BE7" s="192"/>
      <c r="BG7" s="233" t="s">
        <v>444</v>
      </c>
      <c r="BH7" s="421" t="str">
        <f>ProjectData!B17</f>
        <v>Fixed Mount</v>
      </c>
      <c r="BI7" s="375"/>
      <c r="BJ7" s="378"/>
      <c r="BK7" s="137"/>
      <c r="BL7" s="137"/>
      <c r="BM7" s="137"/>
    </row>
    <row r="8" spans="1:65" ht="15" x14ac:dyDescent="0.3">
      <c r="A8" s="94" t="s">
        <v>444</v>
      </c>
      <c r="B8" s="99"/>
      <c r="C8" s="201" t="str">
        <f>ProjectData!B16</f>
        <v>Crystalline Silicon</v>
      </c>
      <c r="D8" s="60"/>
      <c r="E8" s="46"/>
      <c r="F8" s="39"/>
      <c r="G8" s="39"/>
      <c r="H8" s="39"/>
      <c r="I8" s="39"/>
      <c r="J8" s="99"/>
      <c r="K8" s="99"/>
      <c r="L8" s="99"/>
      <c r="M8" s="99"/>
      <c r="N8" s="99"/>
      <c r="O8" s="99"/>
      <c r="P8" s="99"/>
      <c r="Q8" s="99"/>
      <c r="R8" s="99"/>
      <c r="S8" s="99"/>
      <c r="T8" s="99"/>
      <c r="U8" s="99"/>
      <c r="V8" s="99"/>
      <c r="W8" s="99"/>
      <c r="BA8" s="233" t="s">
        <v>444</v>
      </c>
      <c r="BC8" s="348" t="str">
        <f t="shared" si="0"/>
        <v>Crystalline Silicon</v>
      </c>
      <c r="BE8" s="192"/>
      <c r="BG8" s="233" t="s">
        <v>443</v>
      </c>
      <c r="BH8" s="374">
        <f>ProjectData!B18</f>
        <v>5</v>
      </c>
      <c r="BI8" s="375"/>
      <c r="BJ8" s="378"/>
      <c r="BK8" s="137"/>
      <c r="BL8" s="137"/>
      <c r="BM8" s="137"/>
    </row>
    <row r="9" spans="1:65" ht="15" x14ac:dyDescent="0.3">
      <c r="A9" s="94" t="s">
        <v>443</v>
      </c>
      <c r="B9" s="99"/>
      <c r="C9" s="201" t="str">
        <f>ProjectData!B17</f>
        <v>Fixed Mount</v>
      </c>
      <c r="D9" s="60"/>
      <c r="E9" s="46"/>
      <c r="F9" s="39"/>
      <c r="G9" s="39"/>
      <c r="H9" s="39"/>
      <c r="I9" s="39"/>
      <c r="J9" s="99"/>
      <c r="K9" s="99"/>
      <c r="L9" s="99"/>
      <c r="M9" s="99"/>
      <c r="N9" s="99"/>
      <c r="O9" s="99"/>
      <c r="P9" s="99"/>
      <c r="Q9" s="99"/>
      <c r="R9" s="99"/>
      <c r="S9" s="99"/>
      <c r="T9" s="99"/>
      <c r="U9" s="99"/>
      <c r="V9" s="99"/>
      <c r="W9" s="99"/>
      <c r="BA9" s="233" t="s">
        <v>443</v>
      </c>
      <c r="BC9" s="348" t="str">
        <f t="shared" si="0"/>
        <v>Fixed Mount</v>
      </c>
      <c r="BE9" s="192"/>
      <c r="BG9" s="233" t="s">
        <v>244</v>
      </c>
      <c r="BH9" s="374">
        <f>ProjectData!B19</f>
        <v>100</v>
      </c>
      <c r="BI9" s="375"/>
      <c r="BJ9" s="378"/>
      <c r="BK9" s="137"/>
      <c r="BL9" s="137"/>
      <c r="BM9" s="137"/>
    </row>
    <row r="10" spans="1:65" ht="14.25" customHeight="1" x14ac:dyDescent="0.3">
      <c r="A10" s="94" t="s">
        <v>346</v>
      </c>
      <c r="B10" s="99"/>
      <c r="C10" s="203">
        <f>C13/C6</f>
        <v>6811.3555991441317</v>
      </c>
      <c r="D10" s="60"/>
      <c r="E10" s="46"/>
      <c r="F10" s="39"/>
      <c r="G10" s="39"/>
      <c r="H10" s="39"/>
      <c r="I10" s="39"/>
      <c r="J10" s="99"/>
      <c r="K10" s="99"/>
      <c r="L10" s="99"/>
      <c r="M10" s="99"/>
      <c r="N10" s="99"/>
      <c r="O10" s="99"/>
      <c r="P10" s="99"/>
      <c r="Q10" s="99"/>
      <c r="R10" s="99"/>
      <c r="S10" s="99"/>
      <c r="T10" s="99"/>
      <c r="U10" s="99"/>
      <c r="V10" s="99"/>
      <c r="W10" s="99"/>
      <c r="BA10" s="233" t="s">
        <v>348</v>
      </c>
      <c r="BB10" s="137"/>
      <c r="BC10" s="349">
        <f t="shared" ref="BC10:BC21" si="1">C10</f>
        <v>6811.3555991441317</v>
      </c>
      <c r="BD10" s="177"/>
      <c r="BE10" s="192"/>
      <c r="BG10" s="233" t="s">
        <v>289</v>
      </c>
      <c r="BH10" s="374">
        <f>ProjectData!B20</f>
        <v>500</v>
      </c>
      <c r="BI10" s="375"/>
      <c r="BJ10" s="378"/>
      <c r="BK10" s="137"/>
      <c r="BL10" s="175"/>
      <c r="BM10" s="137"/>
    </row>
    <row r="11" spans="1:65" ht="15.75" x14ac:dyDescent="0.3">
      <c r="A11" s="94" t="s">
        <v>334</v>
      </c>
      <c r="B11" s="99"/>
      <c r="C11" s="205">
        <f>C16/C6</f>
        <v>32.799999999999997</v>
      </c>
      <c r="D11" s="60"/>
      <c r="E11" s="44"/>
      <c r="F11" s="39"/>
      <c r="G11" s="39"/>
      <c r="H11" s="39"/>
      <c r="I11" s="39"/>
      <c r="J11" s="99"/>
      <c r="K11" s="99"/>
      <c r="L11" s="99"/>
      <c r="M11" s="99"/>
      <c r="N11" s="99"/>
      <c r="O11" s="99"/>
      <c r="P11" s="99"/>
      <c r="Q11" s="99"/>
      <c r="R11" s="99"/>
      <c r="S11" s="99"/>
      <c r="T11" s="99"/>
      <c r="U11" s="99"/>
      <c r="V11" s="99"/>
      <c r="W11" s="99"/>
      <c r="BA11" s="233" t="s">
        <v>334</v>
      </c>
      <c r="BB11" s="137"/>
      <c r="BC11" s="350">
        <f t="shared" si="1"/>
        <v>32.799999999999997</v>
      </c>
      <c r="BD11" s="177"/>
      <c r="BE11" s="192"/>
      <c r="BG11" s="112" t="s">
        <v>365</v>
      </c>
      <c r="BH11" s="379">
        <f>BC10</f>
        <v>6811.3555991441317</v>
      </c>
      <c r="BI11" s="376"/>
      <c r="BJ11" s="375"/>
      <c r="BK11" s="137"/>
      <c r="BL11" s="368"/>
      <c r="BM11" s="367"/>
    </row>
    <row r="12" spans="1:65" ht="15" x14ac:dyDescent="0.3">
      <c r="A12" s="94" t="s">
        <v>335</v>
      </c>
      <c r="B12" s="99"/>
      <c r="C12" s="202">
        <f>ProjectData!B24</f>
        <v>2010</v>
      </c>
      <c r="D12" s="60"/>
      <c r="E12" s="44"/>
      <c r="F12" s="39"/>
      <c r="G12" s="39"/>
      <c r="H12" s="39"/>
      <c r="I12" s="39"/>
      <c r="J12" s="99"/>
      <c r="K12" s="99"/>
      <c r="L12" s="99"/>
      <c r="M12" s="99"/>
      <c r="N12" s="99"/>
      <c r="O12" s="99"/>
      <c r="P12" s="99"/>
      <c r="Q12" s="99"/>
      <c r="R12" s="99"/>
      <c r="S12" s="99"/>
      <c r="T12" s="99"/>
      <c r="U12" s="99"/>
      <c r="V12" s="99"/>
      <c r="W12" s="99"/>
      <c r="BA12" s="233" t="s">
        <v>335</v>
      </c>
      <c r="BB12" s="137"/>
      <c r="BC12" s="348">
        <f t="shared" si="1"/>
        <v>2010</v>
      </c>
      <c r="BD12" s="177"/>
      <c r="BE12" s="192"/>
      <c r="BG12" s="112" t="s">
        <v>201</v>
      </c>
      <c r="BH12" s="380">
        <f>BC11</f>
        <v>32.799999999999997</v>
      </c>
      <c r="BI12" s="376"/>
      <c r="BJ12" s="375"/>
      <c r="BK12" s="137"/>
      <c r="BL12" s="369"/>
      <c r="BM12" s="137"/>
    </row>
    <row r="13" spans="1:65" ht="15" x14ac:dyDescent="0.3">
      <c r="A13" s="49" t="s">
        <v>378</v>
      </c>
      <c r="B13" s="99"/>
      <c r="C13" s="44">
        <f>Calculations!D23</f>
        <v>3405677.7995720659</v>
      </c>
      <c r="D13" s="60"/>
      <c r="E13" s="44"/>
      <c r="F13" s="39"/>
      <c r="G13" s="39"/>
      <c r="H13" s="39"/>
      <c r="I13" s="39"/>
      <c r="J13" s="99"/>
      <c r="K13" s="99"/>
      <c r="L13" s="99"/>
      <c r="M13" s="99"/>
      <c r="N13" s="99"/>
      <c r="O13" s="99"/>
      <c r="P13" s="99"/>
      <c r="Q13" s="99"/>
      <c r="R13" s="99"/>
      <c r="S13" s="99"/>
      <c r="T13" s="99"/>
      <c r="U13" s="99"/>
      <c r="V13" s="99"/>
      <c r="W13" s="99"/>
      <c r="BA13" s="125" t="s">
        <v>378</v>
      </c>
      <c r="BB13" s="137"/>
      <c r="BC13" s="349">
        <f t="shared" si="1"/>
        <v>3405677.7995720659</v>
      </c>
      <c r="BD13" s="177"/>
      <c r="BE13" s="192"/>
      <c r="BG13" s="112" t="s">
        <v>206</v>
      </c>
      <c r="BH13" s="374">
        <f>ProjectData!B24</f>
        <v>2010</v>
      </c>
      <c r="BI13" s="375"/>
      <c r="BJ13" s="176"/>
      <c r="BK13" s="137"/>
      <c r="BL13" s="137"/>
      <c r="BM13" s="137"/>
    </row>
    <row r="14" spans="1:65" x14ac:dyDescent="0.2">
      <c r="A14" s="49" t="s">
        <v>138</v>
      </c>
      <c r="B14" s="99"/>
      <c r="C14" s="44">
        <f>+Calculations!F61</f>
        <v>2193776.6475863028</v>
      </c>
      <c r="D14" s="364"/>
      <c r="E14" s="44"/>
      <c r="F14" s="39"/>
      <c r="G14" s="39"/>
      <c r="H14" s="39"/>
      <c r="I14" s="39"/>
      <c r="J14" s="99"/>
      <c r="K14" s="99"/>
      <c r="L14" s="99"/>
      <c r="M14" s="99"/>
      <c r="N14" s="99"/>
      <c r="O14" s="99"/>
      <c r="P14" s="99"/>
      <c r="Q14" s="99"/>
      <c r="R14" s="99"/>
      <c r="S14" s="99"/>
      <c r="T14" s="99"/>
      <c r="U14" s="99"/>
      <c r="V14" s="99"/>
      <c r="W14" s="99"/>
      <c r="BA14" s="125" t="s">
        <v>138</v>
      </c>
      <c r="BB14" s="137"/>
      <c r="BC14" s="349">
        <f t="shared" si="1"/>
        <v>2193776.6475863028</v>
      </c>
      <c r="BD14" s="177"/>
      <c r="BE14" s="192"/>
      <c r="BG14" s="375"/>
      <c r="BH14" s="381"/>
      <c r="BI14" s="377"/>
      <c r="BJ14" s="176"/>
      <c r="BK14" s="137"/>
      <c r="BL14" s="137"/>
      <c r="BM14" s="137"/>
    </row>
    <row r="15" spans="1:65" ht="15.75" x14ac:dyDescent="0.25">
      <c r="A15" s="49" t="s">
        <v>197</v>
      </c>
      <c r="B15" s="99"/>
      <c r="C15" s="44">
        <f>C16+C18</f>
        <v>397574.61721973005</v>
      </c>
      <c r="D15" s="364"/>
      <c r="E15" s="44"/>
      <c r="F15" s="39"/>
      <c r="G15" s="39"/>
      <c r="H15" s="39"/>
      <c r="I15" s="39"/>
      <c r="J15" s="99"/>
      <c r="K15" s="99"/>
      <c r="L15" s="99"/>
      <c r="M15" s="99"/>
      <c r="N15" s="99"/>
      <c r="O15" s="99"/>
      <c r="P15" s="99"/>
      <c r="Q15" s="99"/>
      <c r="R15" s="99"/>
      <c r="S15" s="99"/>
      <c r="T15" s="99"/>
      <c r="U15" s="99"/>
      <c r="V15" s="99"/>
      <c r="W15" s="99"/>
      <c r="BA15" s="125" t="s">
        <v>197</v>
      </c>
      <c r="BB15" s="137"/>
      <c r="BC15" s="349">
        <f t="shared" si="1"/>
        <v>397574.61721973005</v>
      </c>
      <c r="BD15" s="177"/>
      <c r="BE15" s="192"/>
      <c r="BG15" s="174" t="s">
        <v>281</v>
      </c>
      <c r="BH15" s="382"/>
      <c r="BI15" s="384"/>
      <c r="BJ15" s="384"/>
      <c r="BK15" s="372"/>
      <c r="BL15" s="372"/>
      <c r="BM15" s="137"/>
    </row>
    <row r="16" spans="1:65" x14ac:dyDescent="0.2">
      <c r="A16" s="49" t="s">
        <v>196</v>
      </c>
      <c r="B16" s="99"/>
      <c r="C16" s="44">
        <f>Calculations!D78</f>
        <v>16400</v>
      </c>
      <c r="D16" s="364"/>
      <c r="E16" s="44"/>
      <c r="F16" s="39"/>
      <c r="G16" s="39"/>
      <c r="H16" s="39"/>
      <c r="I16" s="39"/>
      <c r="J16" s="99"/>
      <c r="K16" s="99"/>
      <c r="L16" s="99"/>
      <c r="M16" s="99"/>
      <c r="N16" s="99"/>
      <c r="O16" s="99"/>
      <c r="P16" s="99"/>
      <c r="Q16" s="99"/>
      <c r="R16" s="99"/>
      <c r="S16" s="99"/>
      <c r="T16" s="99"/>
      <c r="U16" s="99"/>
      <c r="V16" s="99"/>
      <c r="W16" s="99"/>
      <c r="BA16" s="125" t="s">
        <v>196</v>
      </c>
      <c r="BB16" s="137"/>
      <c r="BC16" s="349">
        <f t="shared" si="1"/>
        <v>16400</v>
      </c>
      <c r="BD16" s="177"/>
      <c r="BE16" s="192"/>
      <c r="BG16" s="76" t="str">
        <f>ProjectData!A31</f>
        <v>Installation Costs</v>
      </c>
      <c r="BH16" s="167" t="str">
        <f>ProjectData!B31</f>
        <v>Cost</v>
      </c>
      <c r="BI16" s="167" t="str">
        <f>ProjectData!C31</f>
        <v xml:space="preserve">Cost </v>
      </c>
      <c r="BJ16" s="76" t="str">
        <f>ProjectData!D31</f>
        <v>Percent of</v>
      </c>
      <c r="BK16" s="76" t="str">
        <f>ProjectData!E31</f>
        <v>Purchased</v>
      </c>
      <c r="BL16" s="76" t="str">
        <f>ProjectData!F31</f>
        <v>Manufactured</v>
      </c>
      <c r="BM16" s="137"/>
    </row>
    <row r="17" spans="1:65" ht="12.75" customHeight="1" x14ac:dyDescent="0.2">
      <c r="A17" s="49" t="s">
        <v>190</v>
      </c>
      <c r="B17" s="99"/>
      <c r="C17" s="44">
        <f>Calculations!G78</f>
        <v>14913.066666666666</v>
      </c>
      <c r="D17" s="364"/>
      <c r="E17" s="44"/>
      <c r="F17" s="39"/>
      <c r="G17" s="39"/>
      <c r="H17" s="39"/>
      <c r="I17" s="39"/>
      <c r="J17" s="99"/>
      <c r="K17" s="99"/>
      <c r="L17" s="99"/>
      <c r="M17" s="99"/>
      <c r="N17" s="99"/>
      <c r="O17" s="99"/>
      <c r="P17" s="99"/>
      <c r="Q17" s="99"/>
      <c r="R17" s="99"/>
      <c r="S17" s="99"/>
      <c r="T17" s="99"/>
      <c r="U17" s="99"/>
      <c r="V17" s="99"/>
      <c r="W17" s="99"/>
      <c r="BA17" s="125" t="s">
        <v>190</v>
      </c>
      <c r="BB17" s="137"/>
      <c r="BC17" s="349">
        <f t="shared" si="1"/>
        <v>14913.066666666666</v>
      </c>
      <c r="BD17" s="177"/>
      <c r="BE17" s="192"/>
      <c r="BG17" s="176" t="str">
        <f>ProjectData!A32</f>
        <v xml:space="preserve">  Materials &amp; Equipment</v>
      </c>
      <c r="BH17" s="76"/>
      <c r="BI17" s="167" t="str">
        <f>ProjectData!C32</f>
        <v>Per kW</v>
      </c>
      <c r="BJ17" s="76" t="str">
        <f>ProjectData!D32</f>
        <v>Total Cost</v>
      </c>
      <c r="BK17" s="76" t="str">
        <f>ProjectData!E32</f>
        <v>Locally (%)</v>
      </c>
      <c r="BL17" s="76" t="str">
        <f>ProjectData!F32</f>
        <v>Locally (Y or N)</v>
      </c>
      <c r="BM17" s="137"/>
    </row>
    <row r="18" spans="1:65" x14ac:dyDescent="0.2">
      <c r="A18" s="49" t="s">
        <v>191</v>
      </c>
      <c r="B18" s="99"/>
      <c r="C18" s="44">
        <f>Calculations!E78</f>
        <v>381174.61721973005</v>
      </c>
      <c r="D18" s="364"/>
      <c r="E18" s="44"/>
      <c r="F18" s="39"/>
      <c r="G18" s="39"/>
      <c r="H18" s="39"/>
      <c r="I18" s="39"/>
      <c r="J18" s="99"/>
      <c r="K18" s="99"/>
      <c r="L18" s="99"/>
      <c r="M18" s="99"/>
      <c r="N18" s="99"/>
      <c r="O18" s="99"/>
      <c r="P18" s="99"/>
      <c r="Q18" s="99"/>
      <c r="R18" s="99"/>
      <c r="S18" s="99"/>
      <c r="T18" s="99"/>
      <c r="U18" s="99"/>
      <c r="V18" s="99"/>
      <c r="W18" s="99"/>
      <c r="BA18" s="125" t="s">
        <v>191</v>
      </c>
      <c r="BB18" s="137"/>
      <c r="BC18" s="349">
        <f t="shared" si="1"/>
        <v>381174.61721973005</v>
      </c>
      <c r="BD18" s="177"/>
      <c r="BE18" s="192"/>
      <c r="BG18" s="176" t="str">
        <f>ProjectData!A33</f>
        <v xml:space="preserve">    Mounting (rails, clamps, fittings, etc.)</v>
      </c>
      <c r="BH18" s="385">
        <f>BB59</f>
        <v>114990.62085673495</v>
      </c>
      <c r="BI18" s="385">
        <f>BH18/BH$10</f>
        <v>229.9812417134699</v>
      </c>
      <c r="BJ18" s="386">
        <f>BH18/BH$34</f>
        <v>3.3764386305476075E-2</v>
      </c>
      <c r="BK18" s="386">
        <f t="shared" ref="BK18:BL21" si="2">BC59</f>
        <v>1</v>
      </c>
      <c r="BL18" s="348" t="str">
        <f t="shared" si="2"/>
        <v>N</v>
      </c>
      <c r="BM18" s="137"/>
    </row>
    <row r="19" spans="1:65" x14ac:dyDescent="0.2">
      <c r="A19" s="49" t="s">
        <v>190</v>
      </c>
      <c r="B19" s="99"/>
      <c r="C19" s="44">
        <f>Calculations!H78</f>
        <v>613.36000000000058</v>
      </c>
      <c r="D19" s="364"/>
      <c r="E19" s="44"/>
      <c r="F19" s="39"/>
      <c r="G19" s="39"/>
      <c r="H19" s="39"/>
      <c r="I19" s="39"/>
      <c r="J19" s="99"/>
      <c r="K19" s="99"/>
      <c r="L19" s="99"/>
      <c r="M19" s="99"/>
      <c r="N19" s="99"/>
      <c r="O19" s="99"/>
      <c r="P19" s="99"/>
      <c r="Q19" s="99"/>
      <c r="R19" s="99"/>
      <c r="S19" s="99"/>
      <c r="T19" s="99"/>
      <c r="U19" s="99"/>
      <c r="V19" s="99"/>
      <c r="W19" s="99"/>
      <c r="BA19" s="125" t="s">
        <v>190</v>
      </c>
      <c r="BB19" s="137"/>
      <c r="BC19" s="349">
        <f t="shared" si="1"/>
        <v>613.36000000000058</v>
      </c>
      <c r="BD19" s="177"/>
      <c r="BE19" s="192"/>
      <c r="BG19" s="176" t="str">
        <f>ProjectData!A34</f>
        <v xml:space="preserve">    Modules</v>
      </c>
      <c r="BH19" s="385">
        <f>BB60</f>
        <v>1074912.3253999136</v>
      </c>
      <c r="BI19" s="385">
        <f t="shared" ref="BI19:BI24" si="3">BH19/BH$10</f>
        <v>2149.8246507998274</v>
      </c>
      <c r="BJ19" s="386">
        <f>BH19/BH$34</f>
        <v>0.31562361111640674</v>
      </c>
      <c r="BK19" s="386">
        <f t="shared" si="2"/>
        <v>1</v>
      </c>
      <c r="BL19" s="348" t="str">
        <f t="shared" si="2"/>
        <v>N</v>
      </c>
      <c r="BM19" s="137"/>
    </row>
    <row r="20" spans="1:65" ht="12.75" customHeight="1" x14ac:dyDescent="0.2">
      <c r="A20" s="49" t="s">
        <v>250</v>
      </c>
      <c r="B20" s="99"/>
      <c r="C20" s="44">
        <f>SUM(Calculations!G75:G75)</f>
        <v>0</v>
      </c>
      <c r="D20" s="364"/>
      <c r="E20" s="44"/>
      <c r="F20" s="39"/>
      <c r="G20" s="39"/>
      <c r="H20" s="39"/>
      <c r="I20" s="39"/>
      <c r="J20" s="99"/>
      <c r="K20" s="99"/>
      <c r="L20" s="99"/>
      <c r="M20" s="99"/>
      <c r="N20" s="99"/>
      <c r="O20" s="99"/>
      <c r="P20" s="99"/>
      <c r="Q20" s="99"/>
      <c r="R20" s="99"/>
      <c r="S20" s="99"/>
      <c r="T20" s="99"/>
      <c r="U20" s="99"/>
      <c r="V20" s="99"/>
      <c r="W20" s="99"/>
      <c r="BA20" s="125" t="s">
        <v>250</v>
      </c>
      <c r="BB20" s="137"/>
      <c r="BC20" s="349">
        <f t="shared" si="1"/>
        <v>0</v>
      </c>
      <c r="BD20" s="177"/>
      <c r="BE20" s="192"/>
      <c r="BG20" s="176" t="str">
        <f>ProjectData!A35</f>
        <v xml:space="preserve">    Electrical (wire, connectors, breakers, etc.)</v>
      </c>
      <c r="BH20" s="385">
        <f>BB61</f>
        <v>114990.62085673495</v>
      </c>
      <c r="BI20" s="385">
        <f t="shared" si="3"/>
        <v>229.9812417134699</v>
      </c>
      <c r="BJ20" s="386">
        <f>BH20/BH$34</f>
        <v>3.3764386305476075E-2</v>
      </c>
      <c r="BK20" s="386">
        <f t="shared" si="2"/>
        <v>1</v>
      </c>
      <c r="BL20" s="348" t="str">
        <f t="shared" si="2"/>
        <v>N</v>
      </c>
      <c r="BM20" s="137"/>
    </row>
    <row r="21" spans="1:65" x14ac:dyDescent="0.2">
      <c r="A21" s="49" t="s">
        <v>192</v>
      </c>
      <c r="B21" s="99"/>
      <c r="C21" s="44">
        <f>Calculations!G76</f>
        <v>0</v>
      </c>
      <c r="D21" s="364"/>
      <c r="E21" s="44"/>
      <c r="F21" s="39"/>
      <c r="G21" s="39"/>
      <c r="H21" s="39"/>
      <c r="I21" s="39"/>
      <c r="J21" s="99"/>
      <c r="K21" s="99"/>
      <c r="L21" s="99"/>
      <c r="M21" s="99"/>
      <c r="N21" s="99"/>
      <c r="O21" s="99"/>
      <c r="P21" s="99"/>
      <c r="Q21" s="99"/>
      <c r="R21" s="99"/>
      <c r="S21" s="99"/>
      <c r="T21" s="99"/>
      <c r="U21" s="99"/>
      <c r="V21" s="99"/>
      <c r="W21" s="99"/>
      <c r="BA21" s="125" t="s">
        <v>192</v>
      </c>
      <c r="BB21" s="137"/>
      <c r="BC21" s="349">
        <f t="shared" si="1"/>
        <v>0</v>
      </c>
      <c r="BD21" s="177"/>
      <c r="BE21" s="192"/>
      <c r="BG21" s="176" t="str">
        <f>ProjectData!A36</f>
        <v xml:space="preserve">    Inverter</v>
      </c>
      <c r="BH21" s="385">
        <f>BB62</f>
        <v>209982.87286882036</v>
      </c>
      <c r="BI21" s="385">
        <f t="shared" si="3"/>
        <v>419.9657457376407</v>
      </c>
      <c r="BJ21" s="386">
        <f>BH21/BH$34</f>
        <v>6.1656705427391094E-2</v>
      </c>
      <c r="BK21" s="386">
        <f t="shared" si="2"/>
        <v>1</v>
      </c>
      <c r="BL21" s="348" t="str">
        <f t="shared" si="2"/>
        <v>N</v>
      </c>
      <c r="BM21" s="137"/>
    </row>
    <row r="22" spans="1:65" x14ac:dyDescent="0.2">
      <c r="A22" s="163"/>
      <c r="B22" s="163"/>
      <c r="C22" s="163"/>
      <c r="D22" s="47"/>
      <c r="E22" s="44"/>
      <c r="F22" s="39"/>
      <c r="G22" s="39"/>
      <c r="H22" s="39"/>
      <c r="I22" s="39"/>
      <c r="J22" s="99"/>
      <c r="K22" s="99"/>
      <c r="L22" s="99"/>
      <c r="M22" s="99"/>
      <c r="N22" s="99"/>
      <c r="O22" s="99"/>
      <c r="P22" s="99"/>
      <c r="Q22" s="99"/>
      <c r="R22" s="99"/>
      <c r="S22" s="99"/>
      <c r="T22" s="99"/>
      <c r="U22" s="99"/>
      <c r="V22" s="99"/>
      <c r="W22" s="99"/>
      <c r="BD22" s="137"/>
      <c r="BE22" s="192"/>
      <c r="BG22" s="176" t="str">
        <f>ProjectData!A37</f>
        <v xml:space="preserve">    Subtotal</v>
      </c>
      <c r="BH22" s="385">
        <f>BB63</f>
        <v>1514876.4399822038</v>
      </c>
      <c r="BI22" s="385">
        <f t="shared" si="3"/>
        <v>3029.7528799644074</v>
      </c>
      <c r="BJ22" s="386">
        <f>BH22/BH$34</f>
        <v>0.44480908915474998</v>
      </c>
      <c r="BK22" s="386"/>
      <c r="BL22" s="176"/>
      <c r="BM22" s="137"/>
    </row>
    <row r="23" spans="1:65" x14ac:dyDescent="0.2">
      <c r="A23" s="163"/>
      <c r="B23" s="59"/>
      <c r="C23" s="195"/>
      <c r="D23" s="39"/>
      <c r="E23" s="44"/>
      <c r="F23" s="39"/>
      <c r="G23" s="39"/>
      <c r="H23" s="39"/>
      <c r="I23" s="39"/>
      <c r="J23" s="99"/>
      <c r="K23" s="99"/>
      <c r="L23" s="99"/>
      <c r="M23" s="99"/>
      <c r="N23" s="99"/>
      <c r="O23" s="99"/>
      <c r="P23" s="99"/>
      <c r="Q23" s="99"/>
      <c r="R23" s="99"/>
      <c r="S23" s="99"/>
      <c r="T23" s="99"/>
      <c r="U23" s="99"/>
      <c r="V23" s="99"/>
      <c r="W23" s="99"/>
      <c r="BA23" s="175"/>
      <c r="BB23" s="167"/>
      <c r="BC23" s="167"/>
      <c r="BD23" s="167"/>
      <c r="BG23" s="176" t="str">
        <f>ProjectData!A38</f>
        <v xml:space="preserve">  Labor</v>
      </c>
      <c r="BH23" s="385"/>
      <c r="BI23" s="385"/>
      <c r="BJ23" s="386"/>
      <c r="BK23" s="386"/>
      <c r="BL23" s="176"/>
      <c r="BM23" s="137"/>
    </row>
    <row r="24" spans="1:65" ht="15.75" x14ac:dyDescent="0.25">
      <c r="A24" s="40" t="s">
        <v>148</v>
      </c>
      <c r="B24" s="42"/>
      <c r="C24" s="42"/>
      <c r="D24" s="42"/>
      <c r="E24" s="42"/>
      <c r="F24" s="42"/>
      <c r="G24" s="42"/>
      <c r="H24" s="39"/>
      <c r="I24" s="39"/>
      <c r="J24" s="99"/>
      <c r="K24" s="99"/>
      <c r="L24" s="99"/>
      <c r="M24" s="99"/>
      <c r="N24" s="99"/>
      <c r="O24" s="99"/>
      <c r="P24" s="99"/>
      <c r="Q24" s="99"/>
      <c r="R24" s="99"/>
      <c r="S24" s="99"/>
      <c r="T24" s="99"/>
      <c r="U24" s="99"/>
      <c r="V24" s="99"/>
      <c r="W24" s="99"/>
      <c r="BA24" s="174" t="s">
        <v>148</v>
      </c>
      <c r="BG24" s="176" t="str">
        <f>ProjectData!A39</f>
        <v xml:space="preserve">    Installation</v>
      </c>
      <c r="BH24" s="385">
        <f>BB65</f>
        <v>275112.75532553397</v>
      </c>
      <c r="BI24" s="385">
        <f t="shared" si="3"/>
        <v>550.22551065106791</v>
      </c>
      <c r="BJ24" s="386">
        <f>BH24/BH$34</f>
        <v>8.078061740312098E-2</v>
      </c>
      <c r="BK24" s="386">
        <f>BC65</f>
        <v>1</v>
      </c>
      <c r="BL24" s="176"/>
      <c r="BM24" s="137"/>
    </row>
    <row r="25" spans="1:65" x14ac:dyDescent="0.2">
      <c r="A25" s="42"/>
      <c r="B25" s="42" t="s">
        <v>55</v>
      </c>
      <c r="C25" s="42" t="s">
        <v>146</v>
      </c>
      <c r="D25" s="42" t="s">
        <v>147</v>
      </c>
      <c r="E25" s="39"/>
      <c r="F25" s="39"/>
      <c r="G25" s="39"/>
      <c r="H25" s="39"/>
      <c r="I25" s="39"/>
      <c r="J25" s="99"/>
      <c r="K25" s="99"/>
      <c r="L25" s="99"/>
      <c r="M25" s="99"/>
      <c r="N25" s="99"/>
      <c r="O25" s="99"/>
      <c r="P25" s="99"/>
      <c r="Q25" s="99"/>
      <c r="R25" s="99"/>
      <c r="S25" s="99"/>
      <c r="T25" s="99"/>
      <c r="U25" s="99"/>
      <c r="V25" s="99"/>
      <c r="W25" s="99"/>
      <c r="BA25" s="167"/>
      <c r="BB25" s="167" t="s">
        <v>55</v>
      </c>
      <c r="BC25" s="167" t="s">
        <v>146</v>
      </c>
      <c r="BD25" s="167" t="s">
        <v>147</v>
      </c>
      <c r="BG25" s="176" t="str">
        <f>ProjectData!A40</f>
        <v xml:space="preserve">    Subtotal</v>
      </c>
      <c r="BH25" s="385">
        <f>BB66</f>
        <v>275112.75532553397</v>
      </c>
      <c r="BI25" s="385">
        <f>BH25/BH$10</f>
        <v>550.22551065106791</v>
      </c>
      <c r="BJ25" s="386">
        <f>BH25/BH$34</f>
        <v>8.078061740312098E-2</v>
      </c>
      <c r="BK25" s="386"/>
      <c r="BL25" s="176"/>
      <c r="BM25" s="137"/>
    </row>
    <row r="26" spans="1:65" x14ac:dyDescent="0.2">
      <c r="A26" s="197" t="s">
        <v>371</v>
      </c>
      <c r="B26" s="39"/>
      <c r="C26" s="232" t="str">
        <f>CONCATENATE("$000 (",$C12,")")</f>
        <v>$000 (2010)</v>
      </c>
      <c r="D26" s="232" t="str">
        <f>CONCATENATE("$000 (",$C12,")")</f>
        <v>$000 (2010)</v>
      </c>
      <c r="E26" s="50"/>
      <c r="F26" s="51"/>
      <c r="G26" s="51"/>
      <c r="H26" s="39"/>
      <c r="I26" s="39"/>
      <c r="J26" s="99"/>
      <c r="K26" s="99"/>
      <c r="L26" s="99"/>
      <c r="M26" s="99"/>
      <c r="N26" s="99"/>
      <c r="O26" s="99"/>
      <c r="P26" s="99"/>
      <c r="Q26" s="99"/>
      <c r="R26" s="99"/>
      <c r="S26" s="99"/>
      <c r="T26" s="99"/>
      <c r="U26" s="99"/>
      <c r="V26" s="99"/>
      <c r="W26" s="99"/>
      <c r="BA26" s="235" t="s">
        <v>371</v>
      </c>
      <c r="BB26" s="137"/>
      <c r="BC26" s="179" t="str">
        <f t="shared" ref="BC26:BD40" si="4">C26</f>
        <v>$000 (2010)</v>
      </c>
      <c r="BD26" s="179" t="str">
        <f t="shared" si="4"/>
        <v>$000 (2010)</v>
      </c>
      <c r="BG26" s="176" t="str">
        <f>ProjectData!A41</f>
        <v xml:space="preserve">  Total</v>
      </c>
      <c r="BH26" s="385">
        <f>BB67</f>
        <v>1789989.1953077377</v>
      </c>
      <c r="BI26" s="385">
        <f>BH26/BH$10</f>
        <v>3579.9783906154753</v>
      </c>
      <c r="BJ26" s="386">
        <f>BH26/BH$34</f>
        <v>0.52558970655787096</v>
      </c>
      <c r="BK26" s="386"/>
      <c r="BL26" s="176"/>
      <c r="BM26" s="137"/>
    </row>
    <row r="27" spans="1:65" ht="14.25" customHeight="1" x14ac:dyDescent="0.2">
      <c r="A27" s="390" t="s">
        <v>380</v>
      </c>
      <c r="B27" s="43"/>
      <c r="C27" s="51"/>
      <c r="D27" s="51"/>
      <c r="E27" s="50"/>
      <c r="F27" s="51"/>
      <c r="G27" s="51"/>
      <c r="H27" s="39"/>
      <c r="I27" s="39"/>
      <c r="J27" s="99"/>
      <c r="K27" s="99"/>
      <c r="L27" s="99"/>
      <c r="M27" s="99"/>
      <c r="N27" s="99"/>
      <c r="O27" s="99"/>
      <c r="P27" s="99"/>
      <c r="Q27" s="99"/>
      <c r="R27" s="99"/>
      <c r="S27" s="99"/>
      <c r="T27" s="99"/>
      <c r="U27" s="99"/>
      <c r="V27" s="99"/>
      <c r="W27" s="99"/>
      <c r="BA27" s="243" t="s">
        <v>380</v>
      </c>
      <c r="BB27" s="351"/>
      <c r="BC27" s="394"/>
      <c r="BD27" s="394"/>
      <c r="BG27" s="76" t="str">
        <f>ProjectData!A42</f>
        <v>Other Costs</v>
      </c>
      <c r="BH27" s="385"/>
      <c r="BI27" s="385"/>
      <c r="BJ27" s="386"/>
      <c r="BK27" s="386"/>
      <c r="BL27" s="176"/>
      <c r="BM27" s="137"/>
    </row>
    <row r="28" spans="1:65" x14ac:dyDescent="0.2">
      <c r="A28" s="391" t="s">
        <v>381</v>
      </c>
      <c r="B28" s="43">
        <f>Calculations!AH38</f>
        <v>4.248152967945571</v>
      </c>
      <c r="C28" s="51">
        <f>Calculations!AI38</f>
        <v>275.1127553255339</v>
      </c>
      <c r="D28" s="51"/>
      <c r="E28" s="82"/>
      <c r="F28" s="82"/>
      <c r="G28" s="51"/>
      <c r="H28" s="39"/>
      <c r="I28" s="39"/>
      <c r="J28" s="99"/>
      <c r="K28" s="99"/>
      <c r="L28" s="99"/>
      <c r="M28" s="99"/>
      <c r="N28" s="99"/>
      <c r="O28" s="99"/>
      <c r="P28" s="99"/>
      <c r="Q28" s="99"/>
      <c r="R28" s="99"/>
      <c r="S28" s="99"/>
      <c r="T28" s="99"/>
      <c r="U28" s="99"/>
      <c r="V28" s="99"/>
      <c r="W28" s="99"/>
      <c r="BA28" s="392" t="s">
        <v>381</v>
      </c>
      <c r="BB28" s="351">
        <f t="shared" ref="BB28:BB40" si="5">B28</f>
        <v>4.248152967945571</v>
      </c>
      <c r="BC28" s="394">
        <f t="shared" si="4"/>
        <v>275.1127553255339</v>
      </c>
      <c r="BD28" s="394"/>
      <c r="BG28" s="176" t="str">
        <f>ProjectData!A43</f>
        <v xml:space="preserve">  Permitting</v>
      </c>
      <c r="BH28" s="385">
        <f t="shared" ref="BH28:BH34" si="6">BB69</f>
        <v>91863.275178912125</v>
      </c>
      <c r="BI28" s="385">
        <f t="shared" ref="BI28:BI29" si="7">BH28/BH$10</f>
        <v>183.72655035782424</v>
      </c>
      <c r="BJ28" s="386">
        <f t="shared" ref="BJ28:BJ34" si="8">BH28/BH$34</f>
        <v>2.6973566081458157E-2</v>
      </c>
      <c r="BK28" s="386">
        <f>BC69</f>
        <v>1</v>
      </c>
      <c r="BL28" s="176"/>
      <c r="BM28" s="137"/>
    </row>
    <row r="29" spans="1:65" ht="13.5" customHeight="1" x14ac:dyDescent="0.2">
      <c r="A29" s="390" t="s">
        <v>382</v>
      </c>
      <c r="B29" s="43">
        <f>Calculations!AH39</f>
        <v>6.7317111822133002</v>
      </c>
      <c r="C29" s="51">
        <f>Calculations!AI39</f>
        <v>313.85487402903442</v>
      </c>
      <c r="D29" s="51"/>
      <c r="E29" s="82"/>
      <c r="F29" s="82"/>
      <c r="G29" s="51"/>
      <c r="H29" s="39"/>
      <c r="I29" s="39"/>
      <c r="J29" s="99"/>
      <c r="K29" s="99"/>
      <c r="L29" s="99"/>
      <c r="M29" s="99"/>
      <c r="N29" s="99"/>
      <c r="O29" s="99"/>
      <c r="P29" s="99"/>
      <c r="Q29" s="99"/>
      <c r="R29" s="99"/>
      <c r="S29" s="99"/>
      <c r="T29" s="99"/>
      <c r="U29" s="99"/>
      <c r="V29" s="99"/>
      <c r="W29" s="99"/>
      <c r="BA29" s="243" t="s">
        <v>382</v>
      </c>
      <c r="BB29" s="351">
        <f t="shared" si="5"/>
        <v>6.7317111822133002</v>
      </c>
      <c r="BC29" s="394">
        <f>C29</f>
        <v>313.85487402903442</v>
      </c>
      <c r="BD29" s="394"/>
      <c r="BG29" s="176" t="str">
        <f>ProjectData!A44</f>
        <v xml:space="preserve">  Other Costs</v>
      </c>
      <c r="BH29" s="385">
        <f t="shared" si="6"/>
        <v>183726.55035782425</v>
      </c>
      <c r="BI29" s="385">
        <f t="shared" si="7"/>
        <v>367.45310071564847</v>
      </c>
      <c r="BJ29" s="386">
        <f t="shared" si="8"/>
        <v>5.3947132162916314E-2</v>
      </c>
      <c r="BK29" s="386">
        <f>BC70</f>
        <v>1</v>
      </c>
      <c r="BL29" s="176"/>
      <c r="BM29" s="137"/>
    </row>
    <row r="30" spans="1:65" s="474" customFormat="1" ht="13.5" customHeight="1" x14ac:dyDescent="0.2">
      <c r="A30" s="390" t="s">
        <v>554</v>
      </c>
      <c r="B30" s="43">
        <f>Calculations!AH40</f>
        <v>10.979864150158871</v>
      </c>
      <c r="C30" s="51">
        <f>Calculations!AI40</f>
        <v>588.96762935456832</v>
      </c>
      <c r="D30" s="51">
        <f>Calculations!AJ40</f>
        <v>1048.0273868621057</v>
      </c>
      <c r="E30" s="82"/>
      <c r="F30" s="82"/>
      <c r="G30" s="51"/>
      <c r="H30" s="473"/>
      <c r="I30" s="473"/>
      <c r="J30" s="99"/>
      <c r="K30" s="99"/>
      <c r="L30" s="99"/>
      <c r="M30" s="99"/>
      <c r="N30" s="99"/>
      <c r="O30" s="99"/>
      <c r="P30" s="99"/>
      <c r="Q30" s="99"/>
      <c r="R30" s="99"/>
      <c r="S30" s="99"/>
      <c r="T30" s="99"/>
      <c r="U30" s="99"/>
      <c r="V30" s="99"/>
      <c r="W30" s="99"/>
      <c r="BA30" s="243" t="s">
        <v>554</v>
      </c>
      <c r="BB30" s="351">
        <f t="shared" ref="BB30" si="9">B30</f>
        <v>10.979864150158871</v>
      </c>
      <c r="BC30" s="394">
        <f>C30</f>
        <v>588.96762935456832</v>
      </c>
      <c r="BD30" s="394">
        <f>D30</f>
        <v>1048.0273868621057</v>
      </c>
      <c r="BG30" s="176" t="str">
        <f>ProjectData!A45</f>
        <v xml:space="preserve">  Business Overhead</v>
      </c>
      <c r="BH30" s="385">
        <f t="shared" si="6"/>
        <v>1215121.4724290601</v>
      </c>
      <c r="BI30" s="385">
        <f>BH30/BH$10</f>
        <v>2430.2429448581202</v>
      </c>
      <c r="BJ30" s="386">
        <f t="shared" si="8"/>
        <v>0.35679284534248779</v>
      </c>
      <c r="BK30" s="386">
        <f>BC71</f>
        <v>1</v>
      </c>
      <c r="BL30" s="176"/>
      <c r="BM30" s="137"/>
    </row>
    <row r="31" spans="1:65" x14ac:dyDescent="0.2">
      <c r="A31" s="280" t="s">
        <v>383</v>
      </c>
      <c r="B31" s="43"/>
      <c r="C31" s="51"/>
      <c r="D31" s="51"/>
      <c r="E31" s="50"/>
      <c r="F31" s="51"/>
      <c r="G31" s="51"/>
      <c r="H31" s="39"/>
      <c r="I31" s="39"/>
      <c r="J31" s="99"/>
      <c r="K31" s="99"/>
      <c r="L31" s="99"/>
      <c r="M31" s="99"/>
      <c r="N31" s="99"/>
      <c r="O31" s="99"/>
      <c r="P31" s="99"/>
      <c r="Q31" s="99"/>
      <c r="R31" s="99"/>
      <c r="S31" s="99"/>
      <c r="T31" s="99"/>
      <c r="U31" s="99"/>
      <c r="V31" s="99"/>
      <c r="W31" s="99"/>
      <c r="BA31" s="393" t="s">
        <v>383</v>
      </c>
      <c r="BB31" s="351"/>
      <c r="BC31" s="394"/>
      <c r="BD31" s="394"/>
      <c r="BG31" s="176" t="str">
        <f>ProjectData!A46</f>
        <v xml:space="preserve">  Subtotal</v>
      </c>
      <c r="BH31" s="385">
        <f t="shared" si="6"/>
        <v>1490711.2979657967</v>
      </c>
      <c r="BI31" s="385">
        <f>BH31/BH$10</f>
        <v>2981.4225959315932</v>
      </c>
      <c r="BJ31" s="386">
        <f t="shared" si="8"/>
        <v>0.43771354358686226</v>
      </c>
      <c r="BK31" s="386"/>
      <c r="BL31" s="176"/>
      <c r="BM31" s="137"/>
    </row>
    <row r="32" spans="1:65" x14ac:dyDescent="0.2">
      <c r="A32" s="39" t="s">
        <v>441</v>
      </c>
      <c r="B32" s="43">
        <f>Calculations!AH42</f>
        <v>0</v>
      </c>
      <c r="C32" s="51">
        <f>Calculations!AI42</f>
        <v>0</v>
      </c>
      <c r="D32" s="51">
        <f>Calculations!AJ42</f>
        <v>0</v>
      </c>
      <c r="E32" s="50"/>
      <c r="F32" s="51"/>
      <c r="G32" s="51"/>
      <c r="H32" s="39"/>
      <c r="I32" s="39"/>
      <c r="J32" s="99"/>
      <c r="K32" s="99"/>
      <c r="L32" s="99"/>
      <c r="M32" s="99"/>
      <c r="N32" s="99"/>
      <c r="O32" s="99"/>
      <c r="P32" s="99"/>
      <c r="Q32" s="99"/>
      <c r="R32" s="99"/>
      <c r="S32" s="99"/>
      <c r="T32" s="99"/>
      <c r="U32" s="99"/>
      <c r="V32" s="99"/>
      <c r="W32" s="99"/>
      <c r="BA32" s="459" t="s">
        <v>556</v>
      </c>
      <c r="BB32" s="351">
        <f t="shared" ref="BB32:BD32" si="10">B32</f>
        <v>0</v>
      </c>
      <c r="BC32" s="394">
        <f t="shared" si="10"/>
        <v>0</v>
      </c>
      <c r="BD32" s="394">
        <f t="shared" si="10"/>
        <v>0</v>
      </c>
      <c r="BG32" s="176" t="str">
        <f>ProjectData!A47</f>
        <v>Subtotal</v>
      </c>
      <c r="BH32" s="385">
        <f t="shared" si="6"/>
        <v>3280700.4932735343</v>
      </c>
      <c r="BI32" s="385">
        <f>BH32/BH$10</f>
        <v>6561.4009865470689</v>
      </c>
      <c r="BJ32" s="386">
        <f t="shared" si="8"/>
        <v>0.96330325014473317</v>
      </c>
      <c r="BK32" s="386"/>
      <c r="BL32" s="176"/>
      <c r="BM32" s="137"/>
    </row>
    <row r="33" spans="1:65" x14ac:dyDescent="0.2">
      <c r="A33" s="476" t="s">
        <v>548</v>
      </c>
      <c r="B33" s="43">
        <f>Calculations!AH43</f>
        <v>2.9131471294028897</v>
      </c>
      <c r="C33" s="51">
        <f>Calculations!AI43</f>
        <v>178.61488489965222</v>
      </c>
      <c r="D33" s="51">
        <f>Calculations!AJ43</f>
        <v>538.621992365035</v>
      </c>
      <c r="E33" s="50"/>
      <c r="F33" s="51"/>
      <c r="G33" s="51"/>
      <c r="H33" s="39"/>
      <c r="I33" s="39"/>
      <c r="J33" s="99"/>
      <c r="K33" s="99"/>
      <c r="L33" s="99"/>
      <c r="M33" s="99"/>
      <c r="N33" s="99"/>
      <c r="O33" s="99"/>
      <c r="P33" s="99"/>
      <c r="Q33" s="99"/>
      <c r="R33" s="99"/>
      <c r="S33" s="99"/>
      <c r="T33" s="99"/>
      <c r="U33" s="99"/>
      <c r="V33" s="99"/>
      <c r="W33" s="99"/>
      <c r="BA33" s="477" t="s">
        <v>544</v>
      </c>
      <c r="BB33" s="351">
        <f t="shared" ref="BB33:BB38" si="11">B33</f>
        <v>2.9131471294028897</v>
      </c>
      <c r="BC33" s="394">
        <f t="shared" ref="BC33:BC38" si="12">C33</f>
        <v>178.61488489965222</v>
      </c>
      <c r="BD33" s="394">
        <f t="shared" ref="BD33:BD38" si="13">D33</f>
        <v>538.621992365035</v>
      </c>
      <c r="BG33" s="176" t="str">
        <f>ProjectData!A48</f>
        <v>Sales Tax (Materials &amp; Equipment Purchases)</v>
      </c>
      <c r="BH33" s="385">
        <f t="shared" si="6"/>
        <v>124977.30629853181</v>
      </c>
      <c r="BI33" s="385">
        <f>BH33/BH$10</f>
        <v>249.95461259706363</v>
      </c>
      <c r="BJ33" s="386">
        <f t="shared" si="8"/>
        <v>3.6696749855266872E-2</v>
      </c>
      <c r="BK33" s="386">
        <f>BC74</f>
        <v>1</v>
      </c>
      <c r="BL33" s="176"/>
      <c r="BM33" s="137"/>
    </row>
    <row r="34" spans="1:65" s="474" customFormat="1" x14ac:dyDescent="0.2">
      <c r="A34" s="476" t="s">
        <v>549</v>
      </c>
      <c r="B34" s="43">
        <f>Calculations!AH44</f>
        <v>0</v>
      </c>
      <c r="C34" s="51">
        <f>Calculations!AI44</f>
        <v>0</v>
      </c>
      <c r="D34" s="51">
        <f>Calculations!AJ44</f>
        <v>0</v>
      </c>
      <c r="E34" s="50"/>
      <c r="F34" s="51"/>
      <c r="G34" s="51"/>
      <c r="H34" s="473"/>
      <c r="I34" s="473"/>
      <c r="J34" s="99"/>
      <c r="K34" s="99"/>
      <c r="L34" s="99"/>
      <c r="M34" s="99"/>
      <c r="N34" s="99"/>
      <c r="O34" s="99"/>
      <c r="P34" s="99"/>
      <c r="Q34" s="99"/>
      <c r="R34" s="99"/>
      <c r="S34" s="99"/>
      <c r="T34" s="99"/>
      <c r="U34" s="99"/>
      <c r="V34" s="99"/>
      <c r="W34" s="99"/>
      <c r="BA34" s="477" t="s">
        <v>545</v>
      </c>
      <c r="BB34" s="351">
        <f t="shared" si="11"/>
        <v>0</v>
      </c>
      <c r="BC34" s="394">
        <f t="shared" si="12"/>
        <v>0</v>
      </c>
      <c r="BD34" s="394">
        <f t="shared" si="13"/>
        <v>0</v>
      </c>
      <c r="BG34" s="176" t="str">
        <f>ProjectData!A49</f>
        <v>Total</v>
      </c>
      <c r="BH34" s="385">
        <f t="shared" si="6"/>
        <v>3405677.7995720659</v>
      </c>
      <c r="BI34" s="385">
        <f>BH34/BH$10</f>
        <v>6811.3555991441317</v>
      </c>
      <c r="BJ34" s="386">
        <f t="shared" si="8"/>
        <v>1</v>
      </c>
      <c r="BK34" s="386"/>
      <c r="BL34" s="176"/>
      <c r="BM34" s="137"/>
    </row>
    <row r="35" spans="1:65" s="474" customFormat="1" x14ac:dyDescent="0.2">
      <c r="A35" s="476" t="s">
        <v>550</v>
      </c>
      <c r="B35" s="43">
        <f>Calculations!AH45</f>
        <v>2.0427506021517083</v>
      </c>
      <c r="C35" s="51">
        <f>Calculations!AI45</f>
        <v>100.4153157482303</v>
      </c>
      <c r="D35" s="51">
        <f>Calculations!AJ45</f>
        <v>339.55817515796292</v>
      </c>
      <c r="E35" s="50"/>
      <c r="F35" s="51"/>
      <c r="G35" s="51"/>
      <c r="H35" s="473"/>
      <c r="I35" s="473"/>
      <c r="J35" s="99"/>
      <c r="K35" s="99"/>
      <c r="L35" s="99"/>
      <c r="M35" s="99"/>
      <c r="N35" s="99"/>
      <c r="O35" s="99"/>
      <c r="P35" s="99"/>
      <c r="Q35" s="99"/>
      <c r="R35" s="99"/>
      <c r="S35" s="99"/>
      <c r="T35" s="99"/>
      <c r="U35" s="99"/>
      <c r="V35" s="99"/>
      <c r="W35" s="99"/>
      <c r="BA35" s="477" t="s">
        <v>546</v>
      </c>
      <c r="BB35" s="351">
        <f t="shared" si="11"/>
        <v>2.0427506021517083</v>
      </c>
      <c r="BC35" s="394">
        <f t="shared" si="12"/>
        <v>100.4153157482303</v>
      </c>
      <c r="BD35" s="394">
        <f t="shared" si="13"/>
        <v>339.55817515796292</v>
      </c>
      <c r="BG35" s="176"/>
      <c r="BH35" s="385"/>
      <c r="BI35" s="385"/>
      <c r="BJ35" s="386"/>
      <c r="BK35" s="386"/>
      <c r="BL35" s="176"/>
      <c r="BM35" s="137"/>
    </row>
    <row r="36" spans="1:65" s="474" customFormat="1" x14ac:dyDescent="0.2">
      <c r="A36" s="476" t="s">
        <v>551</v>
      </c>
      <c r="B36" s="43">
        <f>Calculations!AH46</f>
        <v>3.1515366675217624</v>
      </c>
      <c r="C36" s="51">
        <f>Calculations!AI46</f>
        <v>224.34041996162037</v>
      </c>
      <c r="D36" s="51">
        <f>Calculations!AJ46</f>
        <v>777.17238472423901</v>
      </c>
      <c r="E36" s="50"/>
      <c r="F36" s="51"/>
      <c r="G36" s="51"/>
      <c r="H36" s="473"/>
      <c r="I36" s="473"/>
      <c r="J36" s="99"/>
      <c r="K36" s="99"/>
      <c r="L36" s="99"/>
      <c r="M36" s="99"/>
      <c r="N36" s="99"/>
      <c r="O36" s="99"/>
      <c r="P36" s="99"/>
      <c r="Q36" s="99"/>
      <c r="R36" s="99"/>
      <c r="S36" s="99"/>
      <c r="T36" s="99"/>
      <c r="U36" s="99"/>
      <c r="V36" s="99"/>
      <c r="W36" s="99"/>
      <c r="BA36" s="477" t="s">
        <v>547</v>
      </c>
      <c r="BB36" s="351">
        <f t="shared" si="11"/>
        <v>3.1515366675217624</v>
      </c>
      <c r="BC36" s="394">
        <f t="shared" si="12"/>
        <v>224.34041996162037</v>
      </c>
      <c r="BD36" s="394">
        <f t="shared" si="13"/>
        <v>777.17238472423901</v>
      </c>
      <c r="BG36" s="76" t="str">
        <f>ProjectData!A51</f>
        <v>PV System Annual Operating and Maintenance Costs</v>
      </c>
      <c r="BH36" s="385"/>
      <c r="BI36" s="385"/>
      <c r="BJ36" s="386"/>
      <c r="BK36" s="386"/>
      <c r="BL36" s="176"/>
      <c r="BM36" s="137"/>
    </row>
    <row r="37" spans="1:65" s="470" customFormat="1" x14ac:dyDescent="0.2">
      <c r="A37" s="196" t="s">
        <v>552</v>
      </c>
      <c r="B37" s="43">
        <f>Calculations!AH47</f>
        <v>4.5423972587167505</v>
      </c>
      <c r="C37" s="51">
        <f>Calculations!AI47</f>
        <v>164.66737623371455</v>
      </c>
      <c r="D37" s="51">
        <f>Calculations!AJ47</f>
        <v>381.55422092635627</v>
      </c>
      <c r="E37" s="50"/>
      <c r="F37" s="51"/>
      <c r="G37" s="51"/>
      <c r="H37" s="469"/>
      <c r="I37" s="469"/>
      <c r="J37" s="99"/>
      <c r="K37" s="99"/>
      <c r="L37" s="99"/>
      <c r="M37" s="99"/>
      <c r="N37" s="99"/>
      <c r="O37" s="99"/>
      <c r="P37" s="99"/>
      <c r="Q37" s="99"/>
      <c r="R37" s="99"/>
      <c r="S37" s="99"/>
      <c r="T37" s="99"/>
      <c r="U37" s="99"/>
      <c r="V37" s="99"/>
      <c r="W37" s="99"/>
      <c r="BA37" s="477" t="s">
        <v>553</v>
      </c>
      <c r="BB37" s="351">
        <f t="shared" si="11"/>
        <v>4.5423972587167505</v>
      </c>
      <c r="BC37" s="394">
        <f t="shared" si="12"/>
        <v>164.66737623371455</v>
      </c>
      <c r="BD37" s="394">
        <f t="shared" si="13"/>
        <v>381.55422092635627</v>
      </c>
      <c r="BG37" s="176"/>
      <c r="BH37" s="371" t="str">
        <f>ProjectData!B52</f>
        <v>Cost</v>
      </c>
      <c r="BI37" s="371" t="str">
        <f>ProjectData!C52</f>
        <v xml:space="preserve">Cost </v>
      </c>
      <c r="BJ37" s="373" t="str">
        <f>ProjectData!D52</f>
        <v>Percent of</v>
      </c>
      <c r="BK37" s="373" t="str">
        <f>ProjectData!E52</f>
        <v>Local</v>
      </c>
      <c r="BL37" s="76" t="str">
        <f>ProjectData!F56</f>
        <v>Manufactured</v>
      </c>
      <c r="BM37" s="137"/>
    </row>
    <row r="38" spans="1:65" s="474" customFormat="1" x14ac:dyDescent="0.2">
      <c r="A38" s="390" t="s">
        <v>554</v>
      </c>
      <c r="B38" s="43">
        <f>Calculations!AH48</f>
        <v>12.649831657793111</v>
      </c>
      <c r="C38" s="51">
        <f>Calculations!AI48</f>
        <v>668.03799684321746</v>
      </c>
      <c r="D38" s="51">
        <f>Calculations!AJ48</f>
        <v>2036.9067731735931</v>
      </c>
      <c r="E38" s="50"/>
      <c r="F38" s="51"/>
      <c r="G38" s="51"/>
      <c r="H38" s="473"/>
      <c r="I38" s="473"/>
      <c r="J38" s="99"/>
      <c r="K38" s="99"/>
      <c r="L38" s="99"/>
      <c r="M38" s="99"/>
      <c r="N38" s="99"/>
      <c r="O38" s="99"/>
      <c r="P38" s="99"/>
      <c r="Q38" s="99"/>
      <c r="R38" s="99"/>
      <c r="S38" s="99"/>
      <c r="T38" s="99"/>
      <c r="U38" s="99"/>
      <c r="V38" s="99"/>
      <c r="W38" s="99"/>
      <c r="BA38" s="459" t="s">
        <v>555</v>
      </c>
      <c r="BB38" s="351">
        <f t="shared" si="11"/>
        <v>12.649831657793111</v>
      </c>
      <c r="BC38" s="394">
        <f t="shared" si="12"/>
        <v>668.03799684321746</v>
      </c>
      <c r="BD38" s="394">
        <f t="shared" si="13"/>
        <v>2036.9067731735931</v>
      </c>
      <c r="BG38" s="176" t="str">
        <f>ProjectData!A53</f>
        <v>Labor</v>
      </c>
      <c r="BH38" s="370"/>
      <c r="BI38" s="371" t="str">
        <f>ProjectData!C53</f>
        <v>Per kW</v>
      </c>
      <c r="BJ38" s="373" t="str">
        <f>ProjectData!D53</f>
        <v>Total Cost</v>
      </c>
      <c r="BK38" s="373" t="str">
        <f>ProjectData!E53</f>
        <v>Share (%)</v>
      </c>
      <c r="BL38" s="76" t="str">
        <f>ProjectData!F57</f>
        <v>Locally (Y or N)</v>
      </c>
      <c r="BM38" s="137"/>
    </row>
    <row r="39" spans="1:65" x14ac:dyDescent="0.2">
      <c r="A39" s="78" t="s">
        <v>336</v>
      </c>
      <c r="B39" s="43">
        <f>Calculations!AH49</f>
        <v>8.5651706312456799</v>
      </c>
      <c r="C39" s="51">
        <f>Calculations!AI49</f>
        <v>380.31031449328412</v>
      </c>
      <c r="D39" s="51">
        <f>Calculations!AJ49</f>
        <v>1351.1298324093348</v>
      </c>
      <c r="E39" s="50"/>
      <c r="F39" s="51"/>
      <c r="G39" s="51"/>
      <c r="H39" s="39"/>
      <c r="I39" s="39"/>
      <c r="J39" s="99"/>
      <c r="K39" s="99"/>
      <c r="L39" s="99"/>
      <c r="M39" s="99"/>
      <c r="N39" s="99"/>
      <c r="O39" s="99"/>
      <c r="P39" s="99"/>
      <c r="Q39" s="99"/>
      <c r="R39" s="99"/>
      <c r="S39" s="99"/>
      <c r="T39" s="99"/>
      <c r="U39" s="99"/>
      <c r="V39" s="99"/>
      <c r="W39" s="99"/>
      <c r="BA39" s="180" t="s">
        <v>336</v>
      </c>
      <c r="BB39" s="351">
        <f t="shared" si="5"/>
        <v>8.5651706312456799</v>
      </c>
      <c r="BC39" s="394">
        <f t="shared" si="4"/>
        <v>380.31031449328412</v>
      </c>
      <c r="BD39" s="394">
        <f t="shared" si="4"/>
        <v>1351.1298324093348</v>
      </c>
      <c r="BG39" s="176" t="str">
        <f>ProjectData!A54</f>
        <v xml:space="preserve">  Technicians</v>
      </c>
      <c r="BH39" s="385">
        <f>BB79</f>
        <v>8965.3333333333321</v>
      </c>
      <c r="BI39" s="385">
        <f>BH39/BH$10</f>
        <v>17.930666666666664</v>
      </c>
      <c r="BJ39" s="386">
        <f>BH39/BH$46</f>
        <v>0.52695842169526375</v>
      </c>
      <c r="BK39" s="386">
        <f>BC80</f>
        <v>0</v>
      </c>
      <c r="BL39" s="176"/>
      <c r="BM39" s="137"/>
    </row>
    <row r="40" spans="1:65" x14ac:dyDescent="0.2">
      <c r="A40" s="64" t="s">
        <v>379</v>
      </c>
      <c r="B40" s="224">
        <f>Calculations!AH50</f>
        <v>32.194866439197668</v>
      </c>
      <c r="C40" s="220">
        <f>Calculations!AI50</f>
        <v>1637.31594069107</v>
      </c>
      <c r="D40" s="220">
        <f>Calculations!AJ50</f>
        <v>4436.0639924450334</v>
      </c>
      <c r="E40" s="39"/>
      <c r="F40" s="51"/>
      <c r="G40" s="51"/>
      <c r="H40" s="39"/>
      <c r="I40" s="39"/>
      <c r="J40" s="99"/>
      <c r="K40" s="99"/>
      <c r="L40" s="99"/>
      <c r="M40" s="99"/>
      <c r="N40" s="99"/>
      <c r="O40" s="99"/>
      <c r="P40" s="99"/>
      <c r="Q40" s="99"/>
      <c r="R40" s="99"/>
      <c r="S40" s="99"/>
      <c r="T40" s="99"/>
      <c r="U40" s="99"/>
      <c r="V40" s="99"/>
      <c r="W40" s="99"/>
      <c r="BA40" s="76" t="s">
        <v>379</v>
      </c>
      <c r="BB40" s="252">
        <f t="shared" si="5"/>
        <v>32.194866439197668</v>
      </c>
      <c r="BC40" s="383">
        <f t="shared" si="4"/>
        <v>1637.31594069107</v>
      </c>
      <c r="BD40" s="383">
        <f t="shared" si="4"/>
        <v>4436.0639924450334</v>
      </c>
      <c r="BG40" s="176" t="str">
        <f>ProjectData!A55</f>
        <v xml:space="preserve">  Subtotal</v>
      </c>
      <c r="BH40" s="385">
        <f>BB80</f>
        <v>8965.3333333333321</v>
      </c>
      <c r="BI40" s="385">
        <f>BH40/BH$10</f>
        <v>17.930666666666664</v>
      </c>
      <c r="BJ40" s="386">
        <f>BH40/BH$46</f>
        <v>0.52695842169526375</v>
      </c>
      <c r="BK40" s="386"/>
      <c r="BL40" s="176"/>
      <c r="BM40" s="137"/>
    </row>
    <row r="41" spans="1:65" x14ac:dyDescent="0.2">
      <c r="A41" s="64"/>
      <c r="B41" s="224"/>
      <c r="C41" s="220"/>
      <c r="D41" s="220"/>
      <c r="E41" s="39"/>
      <c r="F41" s="51"/>
      <c r="G41" s="51"/>
      <c r="H41" s="39"/>
      <c r="I41" s="39"/>
      <c r="J41" s="99"/>
      <c r="K41" s="99"/>
      <c r="L41" s="99"/>
      <c r="M41" s="99"/>
      <c r="N41" s="99"/>
      <c r="O41" s="99"/>
      <c r="P41" s="99"/>
      <c r="Q41" s="99"/>
      <c r="R41" s="99"/>
      <c r="S41" s="99"/>
      <c r="T41" s="99"/>
      <c r="U41" s="99"/>
      <c r="V41" s="99"/>
      <c r="W41" s="99"/>
      <c r="BA41" s="76"/>
      <c r="BB41" s="178"/>
      <c r="BC41" s="179"/>
      <c r="BD41" s="179"/>
      <c r="BG41" s="176" t="str">
        <f>ProjectData!A57</f>
        <v>Materials and Services</v>
      </c>
      <c r="BH41" s="385"/>
      <c r="BI41" s="385"/>
      <c r="BJ41" s="386"/>
      <c r="BK41" s="386"/>
      <c r="BM41" s="137"/>
    </row>
    <row r="42" spans="1:65" x14ac:dyDescent="0.2">
      <c r="A42" s="64"/>
      <c r="B42" s="224"/>
      <c r="C42" s="220" t="s">
        <v>277</v>
      </c>
      <c r="D42" s="220" t="s">
        <v>277</v>
      </c>
      <c r="E42" s="39"/>
      <c r="F42" s="51"/>
      <c r="G42" s="51"/>
      <c r="H42" s="39"/>
      <c r="I42" s="39"/>
      <c r="J42" s="99"/>
      <c r="K42" s="99"/>
      <c r="L42" s="99"/>
      <c r="M42" s="99"/>
      <c r="N42" s="99"/>
      <c r="O42" s="99"/>
      <c r="P42" s="99"/>
      <c r="Q42" s="99"/>
      <c r="R42" s="99"/>
      <c r="S42" s="99"/>
      <c r="T42" s="99"/>
      <c r="U42" s="99"/>
      <c r="V42" s="99"/>
      <c r="W42" s="99"/>
      <c r="BA42" s="76"/>
      <c r="BB42" s="167"/>
      <c r="BC42" s="167" t="str">
        <f t="shared" ref="BC42:BD44" si="14">C42</f>
        <v>Annual</v>
      </c>
      <c r="BD42" s="167" t="str">
        <f t="shared" si="14"/>
        <v>Annual</v>
      </c>
      <c r="BG42" s="176" t="str">
        <f>ProjectData!A58</f>
        <v xml:space="preserve">  Materials &amp; Equipment</v>
      </c>
      <c r="BH42" s="385">
        <f>BB82</f>
        <v>7434.666666666667</v>
      </c>
      <c r="BI42" s="385">
        <f>BH42/BH$10</f>
        <v>14.869333333333334</v>
      </c>
      <c r="BJ42" s="386">
        <f>BH42/BH$46</f>
        <v>0.43698991067412118</v>
      </c>
      <c r="BK42" s="386">
        <f>BC83</f>
        <v>1</v>
      </c>
      <c r="BL42" s="348" t="str">
        <f>ProjectData!F58</f>
        <v>N</v>
      </c>
      <c r="BM42" s="137"/>
    </row>
    <row r="43" spans="1:65" x14ac:dyDescent="0.2">
      <c r="A43" s="64"/>
      <c r="B43" s="224" t="s">
        <v>277</v>
      </c>
      <c r="C43" s="220" t="s">
        <v>146</v>
      </c>
      <c r="D43" s="220" t="s">
        <v>147</v>
      </c>
      <c r="E43" s="39"/>
      <c r="F43" s="51"/>
      <c r="G43" s="39"/>
      <c r="H43" s="39"/>
      <c r="I43" s="39"/>
      <c r="J43" s="99"/>
      <c r="K43" s="99"/>
      <c r="L43" s="99"/>
      <c r="M43" s="99"/>
      <c r="N43" s="99"/>
      <c r="O43" s="99"/>
      <c r="P43" s="99"/>
      <c r="Q43" s="99"/>
      <c r="R43" s="99"/>
      <c r="S43" s="99"/>
      <c r="T43" s="99"/>
      <c r="U43" s="99"/>
      <c r="V43" s="99"/>
      <c r="W43" s="99"/>
      <c r="BA43" s="76"/>
      <c r="BB43" s="167" t="str">
        <f>B43</f>
        <v>Annual</v>
      </c>
      <c r="BC43" s="167" t="str">
        <f t="shared" si="14"/>
        <v>Earnings</v>
      </c>
      <c r="BD43" s="167" t="str">
        <f t="shared" si="14"/>
        <v>Output</v>
      </c>
      <c r="BG43" s="176" t="str">
        <f>ProjectData!A59</f>
        <v xml:space="preserve">  Services</v>
      </c>
      <c r="BH43" s="385">
        <f>BB83</f>
        <v>0</v>
      </c>
      <c r="BI43" s="385">
        <f>BH43/BH$10</f>
        <v>0</v>
      </c>
      <c r="BJ43" s="386">
        <f>BH43/BH$46</f>
        <v>0</v>
      </c>
      <c r="BK43" s="386">
        <f>BC84</f>
        <v>0</v>
      </c>
      <c r="BL43" s="176"/>
      <c r="BM43" s="137"/>
    </row>
    <row r="44" spans="1:65" x14ac:dyDescent="0.2">
      <c r="A44" s="197" t="s">
        <v>337</v>
      </c>
      <c r="B44" s="224" t="s">
        <v>55</v>
      </c>
      <c r="C44" s="310" t="str">
        <f>CONCATENATE("$000 (",$C12,")")</f>
        <v>$000 (2010)</v>
      </c>
      <c r="D44" s="310" t="str">
        <f>CONCATENATE("$000 (",$C12,")")</f>
        <v>$000 (2010)</v>
      </c>
      <c r="E44" s="46"/>
      <c r="F44" s="51"/>
      <c r="G44" s="39"/>
      <c r="H44" s="39"/>
      <c r="I44" s="39"/>
      <c r="J44" s="99"/>
      <c r="K44" s="99"/>
      <c r="L44" s="99"/>
      <c r="M44" s="99"/>
      <c r="N44" s="99"/>
      <c r="O44" s="99"/>
      <c r="P44" s="99"/>
      <c r="Q44" s="99"/>
      <c r="R44" s="99"/>
      <c r="S44" s="99"/>
      <c r="T44" s="99"/>
      <c r="U44" s="99"/>
      <c r="V44" s="99"/>
      <c r="W44" s="99"/>
      <c r="BA44" s="235" t="s">
        <v>337</v>
      </c>
      <c r="BB44" s="167" t="str">
        <f>B44</f>
        <v>Jobs</v>
      </c>
      <c r="BC44" s="167" t="str">
        <f t="shared" si="14"/>
        <v>$000 (2010)</v>
      </c>
      <c r="BD44" s="167" t="str">
        <f t="shared" si="14"/>
        <v>$000 (2010)</v>
      </c>
      <c r="BG44" s="176" t="str">
        <f>ProjectData!A60</f>
        <v xml:space="preserve">  Subtotal</v>
      </c>
      <c r="BH44" s="385">
        <f>BB84</f>
        <v>7434.666666666667</v>
      </c>
      <c r="BI44" s="385">
        <f>BH44/BH$10</f>
        <v>14.869333333333334</v>
      </c>
      <c r="BJ44" s="386">
        <f>BH44/BH$46</f>
        <v>0.43698991067412118</v>
      </c>
      <c r="BK44" s="167"/>
      <c r="BL44" s="76"/>
      <c r="BM44" s="137"/>
    </row>
    <row r="45" spans="1:65" x14ac:dyDescent="0.2">
      <c r="A45" s="390" t="s">
        <v>372</v>
      </c>
      <c r="B45" s="43"/>
      <c r="C45" s="51"/>
      <c r="D45" s="51"/>
      <c r="E45" s="43"/>
      <c r="F45" s="52"/>
      <c r="G45" s="52"/>
      <c r="H45" s="39"/>
      <c r="I45" s="39"/>
      <c r="J45" s="99"/>
      <c r="K45" s="99"/>
      <c r="L45" s="99"/>
      <c r="M45" s="99"/>
      <c r="N45" s="99"/>
      <c r="O45" s="99"/>
      <c r="P45" s="99"/>
      <c r="Q45" s="99"/>
      <c r="R45" s="99"/>
      <c r="S45" s="99"/>
      <c r="T45" s="99"/>
      <c r="U45" s="99"/>
      <c r="V45" s="99"/>
      <c r="W45" s="99"/>
      <c r="BA45" s="243" t="s">
        <v>372</v>
      </c>
      <c r="BB45" s="351"/>
      <c r="BC45" s="350"/>
      <c r="BD45" s="350"/>
      <c r="BG45" s="176" t="str">
        <f>ProjectData!A61</f>
        <v>Sales Tax (Materials &amp; Equipment Purchases)</v>
      </c>
      <c r="BH45" s="385">
        <f>BB85</f>
        <v>613.36</v>
      </c>
      <c r="BI45" s="385">
        <f>BH45/BH$10</f>
        <v>1.22672</v>
      </c>
      <c r="BJ45" s="386">
        <f>BH45/BH$46</f>
        <v>3.6051667630615E-2</v>
      </c>
      <c r="BL45" s="76"/>
      <c r="BM45" s="137"/>
    </row>
    <row r="46" spans="1:65" x14ac:dyDescent="0.2">
      <c r="A46" s="391" t="s">
        <v>374</v>
      </c>
      <c r="B46" s="43">
        <f>Calculations!AH54</f>
        <v>0.13843817369919845</v>
      </c>
      <c r="C46" s="51">
        <f>Calculations!AI54</f>
        <v>8.3271186378174402</v>
      </c>
      <c r="D46" s="51">
        <f>Calculations!AJ54</f>
        <v>8.3271186378174402</v>
      </c>
      <c r="E46" s="43"/>
      <c r="F46" s="52"/>
      <c r="G46" s="52"/>
      <c r="H46" s="39"/>
      <c r="I46" s="39"/>
      <c r="J46" s="99"/>
      <c r="K46" s="99"/>
      <c r="L46" s="99"/>
      <c r="M46" s="99"/>
      <c r="N46" s="99"/>
      <c r="O46" s="99"/>
      <c r="P46" s="99"/>
      <c r="Q46" s="99"/>
      <c r="R46" s="99"/>
      <c r="S46" s="99"/>
      <c r="T46" s="99"/>
      <c r="U46" s="99"/>
      <c r="V46" s="99"/>
      <c r="W46" s="99"/>
      <c r="AD46" s="14"/>
      <c r="BA46" s="392" t="s">
        <v>374</v>
      </c>
      <c r="BB46" s="351">
        <f>B46</f>
        <v>0.13843817369919845</v>
      </c>
      <c r="BC46" s="394">
        <f>C46</f>
        <v>8.3271186378174402</v>
      </c>
      <c r="BD46" s="394">
        <f t="shared" ref="BB46:BD47" si="15">D46</f>
        <v>8.3271186378174402</v>
      </c>
      <c r="BG46" s="176" t="str">
        <f>ProjectData!A62</f>
        <v>Total</v>
      </c>
      <c r="BH46" s="385">
        <f>BH45+BH44+BH40</f>
        <v>17013.36</v>
      </c>
      <c r="BI46" s="385">
        <f>BI45+BI44+BI40</f>
        <v>34.026719999999997</v>
      </c>
      <c r="BJ46" s="386">
        <f>BJ45+BJ44+BJ40</f>
        <v>1</v>
      </c>
      <c r="BK46" s="167"/>
      <c r="BL46" s="76"/>
      <c r="BM46" s="137"/>
    </row>
    <row r="47" spans="1:65" x14ac:dyDescent="0.2">
      <c r="A47" s="280" t="s">
        <v>373</v>
      </c>
      <c r="B47" s="43">
        <f>Calculations!AH55</f>
        <v>5.4731474504841983E-2</v>
      </c>
      <c r="C47" s="51">
        <f>Calculations!AI55</f>
        <v>3.1888785460926012</v>
      </c>
      <c r="D47" s="51">
        <f>Calculations!AJ55</f>
        <v>10.425320428427357</v>
      </c>
      <c r="E47" s="43"/>
      <c r="F47" s="51"/>
      <c r="G47" s="52"/>
      <c r="H47" s="39"/>
      <c r="I47" s="39"/>
      <c r="J47" s="99"/>
      <c r="K47" s="99"/>
      <c r="L47" s="99"/>
      <c r="M47" s="99"/>
      <c r="N47" s="99"/>
      <c r="O47" s="99"/>
      <c r="P47" s="99"/>
      <c r="Q47" s="99"/>
      <c r="R47" s="99"/>
      <c r="S47" s="99"/>
      <c r="T47" s="99"/>
      <c r="U47" s="99"/>
      <c r="V47" s="99"/>
      <c r="W47" s="99"/>
      <c r="AD47" s="14"/>
      <c r="BA47" s="393" t="s">
        <v>373</v>
      </c>
      <c r="BB47" s="351">
        <f t="shared" si="15"/>
        <v>5.4731474504841983E-2</v>
      </c>
      <c r="BC47" s="394">
        <f t="shared" si="15"/>
        <v>3.1888785460926012</v>
      </c>
      <c r="BD47" s="394">
        <f t="shared" si="15"/>
        <v>10.425320428427357</v>
      </c>
      <c r="BG47" s="176"/>
      <c r="BH47" s="385"/>
      <c r="BI47" s="176"/>
      <c r="BJ47" s="386"/>
      <c r="BK47" s="167"/>
      <c r="BL47" s="76"/>
      <c r="BM47" s="137"/>
    </row>
    <row r="48" spans="1:65" x14ac:dyDescent="0.2">
      <c r="A48" s="78" t="s">
        <v>336</v>
      </c>
      <c r="B48" s="43">
        <f>Calculations!AH56</f>
        <v>4.5065543040748779E-2</v>
      </c>
      <c r="C48" s="51">
        <f>Calculations!AI56</f>
        <v>2.0015888118578529</v>
      </c>
      <c r="D48" s="51">
        <f>Calculations!AJ56</f>
        <v>7.1120536583253431</v>
      </c>
      <c r="E48" s="43"/>
      <c r="F48" s="51"/>
      <c r="G48" s="52"/>
      <c r="H48" s="39"/>
      <c r="I48" s="39"/>
      <c r="J48" s="99"/>
      <c r="K48" s="99"/>
      <c r="L48" s="99"/>
      <c r="M48" s="99"/>
      <c r="N48" s="99"/>
      <c r="O48" s="99"/>
      <c r="P48" s="99"/>
      <c r="Q48" s="99"/>
      <c r="R48" s="99"/>
      <c r="S48" s="99"/>
      <c r="T48" s="99"/>
      <c r="U48" s="99"/>
      <c r="V48" s="99"/>
      <c r="W48" s="99"/>
      <c r="AD48" t="str">
        <f>IF(ProjectData!B26="Y","model default","User modifications to default")</f>
        <v>model default</v>
      </c>
      <c r="BA48" s="180" t="s">
        <v>336</v>
      </c>
      <c r="BB48" s="351">
        <f t="shared" ref="BB48:BD49" si="16">B48</f>
        <v>4.5065543040748779E-2</v>
      </c>
      <c r="BC48" s="394">
        <f t="shared" si="16"/>
        <v>2.0015888118578529</v>
      </c>
      <c r="BD48" s="394">
        <f t="shared" si="16"/>
        <v>7.1120536583253431</v>
      </c>
      <c r="BG48" s="76" t="str">
        <f>ProjectData!A64</f>
        <v>Other Parameters</v>
      </c>
      <c r="BH48" s="385"/>
      <c r="BI48" s="176"/>
      <c r="BJ48" s="386"/>
      <c r="BK48" s="167"/>
      <c r="BL48" s="76"/>
      <c r="BM48" s="137"/>
    </row>
    <row r="49" spans="1:65" x14ac:dyDescent="0.2">
      <c r="A49" s="64" t="s">
        <v>379</v>
      </c>
      <c r="B49" s="224">
        <f>Calculations!AH57</f>
        <v>0.2382351912447892</v>
      </c>
      <c r="C49" s="220">
        <f>Calculations!AI57</f>
        <v>13.517585995767895</v>
      </c>
      <c r="D49" s="220">
        <f>Calculations!AJ57</f>
        <v>25.864492724570141</v>
      </c>
      <c r="E49" s="43"/>
      <c r="F49" s="51"/>
      <c r="G49" s="72"/>
      <c r="H49" s="39"/>
      <c r="I49" s="39"/>
      <c r="J49" s="99"/>
      <c r="K49" s="99"/>
      <c r="L49" s="99"/>
      <c r="M49" s="99"/>
      <c r="N49" s="99"/>
      <c r="O49" s="99"/>
      <c r="P49" s="99"/>
      <c r="Q49" s="99"/>
      <c r="R49" s="99"/>
      <c r="S49" s="99"/>
      <c r="T49" s="99"/>
      <c r="U49" s="99"/>
      <c r="V49" s="99"/>
      <c r="W49" s="99"/>
      <c r="BA49" s="76" t="s">
        <v>379</v>
      </c>
      <c r="BB49" s="252">
        <f t="shared" si="16"/>
        <v>0.2382351912447892</v>
      </c>
      <c r="BC49" s="383">
        <f t="shared" si="16"/>
        <v>13.517585995767895</v>
      </c>
      <c r="BD49" s="383">
        <f t="shared" si="16"/>
        <v>25.864492724570141</v>
      </c>
      <c r="BG49" s="176" t="str">
        <f>ProjectData!A65</f>
        <v>Financial Parameters</v>
      </c>
      <c r="BH49" s="385"/>
      <c r="BI49" s="176"/>
      <c r="BJ49" s="386" t="str">
        <f>ProjectData!D65</f>
        <v>Local Share</v>
      </c>
      <c r="BK49" s="167"/>
      <c r="BL49" s="76"/>
      <c r="BM49" s="137"/>
    </row>
    <row r="50" spans="1:65" x14ac:dyDescent="0.2">
      <c r="A50" s="58" t="str">
        <f>CONCATENATE("Notes:  Earnings and Output values are thousands of dollars in year ",C12, " dollars.  Construction and")</f>
        <v>Notes:  Earnings and Output values are thousands of dollars in year 2010 dollars.  Construction and</v>
      </c>
      <c r="B50" s="42"/>
      <c r="C50" s="84"/>
      <c r="D50" s="84"/>
      <c r="E50" s="43"/>
      <c r="F50" s="51"/>
      <c r="G50" s="39"/>
      <c r="H50" s="39"/>
      <c r="I50" s="39"/>
      <c r="J50" s="99"/>
      <c r="K50" s="99"/>
      <c r="L50" s="99"/>
      <c r="M50" s="99"/>
      <c r="N50" s="99"/>
      <c r="O50" s="99"/>
      <c r="P50" s="99"/>
      <c r="Q50" s="99"/>
      <c r="R50" s="99"/>
      <c r="S50" s="99"/>
      <c r="T50" s="99"/>
      <c r="U50" s="99"/>
      <c r="V50" s="99"/>
      <c r="W50" s="99"/>
      <c r="BA50" s="181" t="str">
        <f>CONCATENATE("Notes:  Earnings and Output values are thousands of dollars in year ",BC12, " dollars.  Construction and")</f>
        <v>Notes:  Earnings and Output values are thousands of dollars in year 2010 dollars.  Construction and</v>
      </c>
      <c r="BB50" s="167"/>
      <c r="BC50" s="179"/>
      <c r="BD50" s="179"/>
      <c r="BF50" s="352"/>
      <c r="BG50" s="176" t="str">
        <f>ProjectData!A66</f>
        <v>Debt Financing</v>
      </c>
      <c r="BH50" s="385"/>
      <c r="BI50" s="176"/>
      <c r="BJ50" s="386"/>
      <c r="BK50" s="167"/>
      <c r="BL50" s="76"/>
      <c r="BM50" s="137"/>
    </row>
    <row r="51" spans="1:65" x14ac:dyDescent="0.2">
      <c r="A51" s="58" t="s">
        <v>327</v>
      </c>
      <c r="B51" s="42"/>
      <c r="C51" s="84"/>
      <c r="D51" s="84"/>
      <c r="E51" s="43"/>
      <c r="F51" s="51"/>
      <c r="G51" s="39"/>
      <c r="H51" s="39"/>
      <c r="I51" s="39"/>
      <c r="J51" s="99"/>
      <c r="K51" s="99"/>
      <c r="L51" s="99"/>
      <c r="M51" s="99"/>
      <c r="N51" s="99"/>
      <c r="O51" s="99"/>
      <c r="P51" s="99"/>
      <c r="Q51" s="99"/>
      <c r="R51" s="99"/>
      <c r="S51" s="99"/>
      <c r="T51" s="99"/>
      <c r="U51" s="99"/>
      <c r="V51" s="99"/>
      <c r="W51" s="99"/>
      <c r="BA51" s="181" t="s">
        <v>327</v>
      </c>
      <c r="BB51" s="167"/>
      <c r="BC51" s="179"/>
      <c r="BD51" s="179"/>
      <c r="BF51" s="353"/>
      <c r="BG51" s="176" t="str">
        <f>ProjectData!A67</f>
        <v xml:space="preserve">  Percentage financed</v>
      </c>
      <c r="BH51" s="387">
        <f>BB93</f>
        <v>0.8</v>
      </c>
      <c r="BI51" s="176"/>
      <c r="BJ51" s="184">
        <f>BC93</f>
        <v>0</v>
      </c>
      <c r="BK51" s="167"/>
      <c r="BL51" s="76"/>
      <c r="BM51" s="137"/>
    </row>
    <row r="52" spans="1:65" x14ac:dyDescent="0.2">
      <c r="A52" s="58" t="s">
        <v>328</v>
      </c>
      <c r="B52" s="42"/>
      <c r="C52" s="84"/>
      <c r="D52" s="84"/>
      <c r="E52" s="43"/>
      <c r="F52" s="51"/>
      <c r="G52" s="39"/>
      <c r="H52" s="39"/>
      <c r="I52" s="39"/>
      <c r="J52" s="99"/>
      <c r="K52" s="99"/>
      <c r="L52" s="99"/>
      <c r="M52" s="99"/>
      <c r="N52" s="99"/>
      <c r="O52" s="99"/>
      <c r="P52" s="99"/>
      <c r="Q52" s="99"/>
      <c r="R52" s="99"/>
      <c r="S52" s="99"/>
      <c r="T52" s="99"/>
      <c r="U52" s="99"/>
      <c r="V52" s="99"/>
      <c r="W52" s="99"/>
      <c r="BA52" s="181" t="s">
        <v>328</v>
      </c>
      <c r="BB52" s="167"/>
      <c r="BC52" s="179"/>
      <c r="BD52" s="179"/>
      <c r="BF52" s="353"/>
      <c r="BG52" s="176" t="str">
        <f>ProjectData!A68</f>
        <v xml:space="preserve">  Years financed (term)</v>
      </c>
      <c r="BH52" s="430">
        <f>BB94</f>
        <v>10</v>
      </c>
      <c r="BI52" s="176"/>
      <c r="BJ52" s="386"/>
      <c r="BK52" s="167"/>
      <c r="BL52" s="76"/>
      <c r="BM52" s="137"/>
    </row>
    <row r="53" spans="1:65" x14ac:dyDescent="0.2">
      <c r="A53" s="355" t="s">
        <v>326</v>
      </c>
      <c r="B53" s="39"/>
      <c r="C53" s="39"/>
      <c r="D53" s="39"/>
      <c r="E53" s="39"/>
      <c r="F53" s="51"/>
      <c r="G53" s="39"/>
      <c r="H53" s="39"/>
      <c r="I53" s="39"/>
      <c r="J53" s="99"/>
      <c r="K53" s="99"/>
      <c r="L53" s="99"/>
      <c r="M53" s="99"/>
      <c r="N53" s="99"/>
      <c r="O53" s="99"/>
      <c r="P53" s="99"/>
      <c r="Q53" s="99"/>
      <c r="R53" s="99"/>
      <c r="S53" s="99"/>
      <c r="T53" s="99"/>
      <c r="U53" s="99"/>
      <c r="V53" s="99"/>
      <c r="W53" s="99"/>
      <c r="BA53" s="354" t="s">
        <v>326</v>
      </c>
      <c r="BF53" s="352"/>
      <c r="BG53" s="176" t="str">
        <f>ProjectData!A69</f>
        <v xml:space="preserve">  Interest rate</v>
      </c>
      <c r="BH53" s="387">
        <f>BB95</f>
        <v>0.1</v>
      </c>
      <c r="BI53" s="176"/>
      <c r="BJ53" s="386"/>
      <c r="BK53" s="167"/>
      <c r="BL53" s="76"/>
      <c r="BM53" s="137"/>
    </row>
    <row r="54" spans="1:65" x14ac:dyDescent="0.2">
      <c r="A54" s="39"/>
      <c r="B54" s="39"/>
      <c r="C54" s="39"/>
      <c r="D54" s="39"/>
      <c r="E54" s="39"/>
      <c r="F54" s="39"/>
      <c r="G54" s="39"/>
      <c r="H54" s="39"/>
      <c r="I54" s="39"/>
      <c r="J54" s="99"/>
      <c r="K54" s="99"/>
      <c r="L54" s="99"/>
      <c r="M54" s="99"/>
      <c r="N54" s="99"/>
      <c r="O54" s="99"/>
      <c r="P54" s="99"/>
      <c r="Q54" s="99"/>
      <c r="R54" s="99"/>
      <c r="S54" s="99"/>
      <c r="T54" s="99"/>
      <c r="U54" s="99"/>
      <c r="V54" s="99"/>
      <c r="W54" s="99"/>
      <c r="BF54" s="352"/>
      <c r="BG54" s="176" t="str">
        <f>ProjectData!A70</f>
        <v>Tax Parameters</v>
      </c>
      <c r="BH54" s="385"/>
      <c r="BI54" s="176"/>
      <c r="BJ54" s="386"/>
      <c r="BK54" s="167"/>
      <c r="BL54" s="76"/>
      <c r="BM54" s="137"/>
    </row>
    <row r="55" spans="1:65" ht="15.75" x14ac:dyDescent="0.25">
      <c r="A55" s="119" t="s">
        <v>231</v>
      </c>
      <c r="B55" s="42" t="str">
        <f>Calculations!AC3</f>
        <v xml:space="preserve">CALIFORNIA </v>
      </c>
      <c r="C55" s="39"/>
      <c r="D55" s="39"/>
      <c r="E55" s="39"/>
      <c r="F55" s="39"/>
      <c r="G55" s="39"/>
      <c r="H55" s="39"/>
      <c r="I55" s="39"/>
      <c r="J55" s="99"/>
      <c r="K55" s="99"/>
      <c r="L55" s="99"/>
      <c r="M55" s="99"/>
      <c r="N55" s="99"/>
      <c r="O55" s="99"/>
      <c r="P55" s="99"/>
      <c r="Q55" s="99"/>
      <c r="R55" s="99"/>
      <c r="S55" s="99"/>
      <c r="T55" s="99"/>
      <c r="U55" s="99"/>
      <c r="V55" s="99"/>
      <c r="W55" s="99"/>
      <c r="BA55" s="182" t="s">
        <v>231</v>
      </c>
      <c r="BB55" s="137"/>
      <c r="BC55" s="167"/>
      <c r="BD55" s="137"/>
      <c r="BG55" s="176" t="str">
        <f>ProjectData!A71</f>
        <v xml:space="preserve">  Local Property Tax (percent of taxable value)</v>
      </c>
      <c r="BH55" s="387">
        <f t="shared" ref="BH55:BH61" si="17">BB97</f>
        <v>0</v>
      </c>
      <c r="BI55" s="176"/>
      <c r="BJ55" s="386"/>
      <c r="BK55" s="167"/>
      <c r="BL55" s="76"/>
      <c r="BM55" s="137"/>
    </row>
    <row r="56" spans="1:65" x14ac:dyDescent="0.2">
      <c r="A56" s="39"/>
      <c r="B56" s="39"/>
      <c r="C56" s="42" t="s">
        <v>254</v>
      </c>
      <c r="D56" s="197" t="s">
        <v>252</v>
      </c>
      <c r="E56" s="39"/>
      <c r="F56" s="39"/>
      <c r="G56" s="39"/>
      <c r="H56" s="39"/>
      <c r="I56" s="39"/>
      <c r="J56" s="99"/>
      <c r="K56" s="99"/>
      <c r="L56" s="99"/>
      <c r="M56" s="99"/>
      <c r="N56" s="99"/>
      <c r="O56" s="99"/>
      <c r="P56" s="99"/>
      <c r="Q56" s="99"/>
      <c r="R56" s="99"/>
      <c r="S56" s="99"/>
      <c r="T56" s="99"/>
      <c r="U56" s="99"/>
      <c r="V56" s="99"/>
      <c r="W56" s="99"/>
      <c r="BA56" s="137"/>
      <c r="BB56" s="137"/>
      <c r="BC56" s="167" t="s">
        <v>254</v>
      </c>
      <c r="BD56" s="235" t="s">
        <v>252</v>
      </c>
      <c r="BG56" s="176" t="str">
        <f>ProjectData!A72</f>
        <v xml:space="preserve">  Assessed Value (percent of construction cost)</v>
      </c>
      <c r="BH56" s="387">
        <f t="shared" si="17"/>
        <v>0</v>
      </c>
      <c r="BI56" s="176"/>
      <c r="BJ56" s="386"/>
      <c r="BK56" s="167"/>
      <c r="BL56" s="76"/>
      <c r="BM56" s="137"/>
    </row>
    <row r="57" spans="1:65" x14ac:dyDescent="0.2">
      <c r="A57" s="64" t="s">
        <v>233</v>
      </c>
      <c r="B57" s="42" t="str">
        <f>Calculations!AC5</f>
        <v>Cost</v>
      </c>
      <c r="C57" s="42" t="s">
        <v>257</v>
      </c>
      <c r="D57" s="197" t="s">
        <v>256</v>
      </c>
      <c r="E57" s="39"/>
      <c r="F57" s="39"/>
      <c r="G57" s="39"/>
      <c r="H57" s="39"/>
      <c r="I57" s="39"/>
      <c r="J57" s="99"/>
      <c r="K57" s="99"/>
      <c r="L57" s="99"/>
      <c r="M57" s="99"/>
      <c r="N57" s="99"/>
      <c r="O57" s="99"/>
      <c r="P57" s="99"/>
      <c r="Q57" s="99"/>
      <c r="R57" s="99"/>
      <c r="S57" s="99"/>
      <c r="T57" s="99"/>
      <c r="U57" s="99"/>
      <c r="V57" s="99"/>
      <c r="W57" s="99"/>
      <c r="BA57" s="76" t="s">
        <v>350</v>
      </c>
      <c r="BB57" s="366" t="s">
        <v>111</v>
      </c>
      <c r="BC57" s="167" t="s">
        <v>257</v>
      </c>
      <c r="BD57" s="235" t="s">
        <v>256</v>
      </c>
      <c r="BG57" s="176" t="str">
        <f>ProjectData!A73</f>
        <v xml:space="preserve">  Taxable Value (percent of assessed value)</v>
      </c>
      <c r="BH57" s="387">
        <f t="shared" si="17"/>
        <v>0</v>
      </c>
      <c r="BI57" s="176"/>
      <c r="BJ57" s="386"/>
      <c r="BK57" s="167"/>
      <c r="BL57" s="76"/>
      <c r="BM57" s="137"/>
    </row>
    <row r="58" spans="1:65" x14ac:dyDescent="0.2">
      <c r="A58" s="45" t="s">
        <v>338</v>
      </c>
      <c r="B58" s="210"/>
      <c r="C58" s="210"/>
      <c r="D58" s="42"/>
      <c r="E58" s="99"/>
      <c r="F58" s="99"/>
      <c r="G58" s="99"/>
      <c r="H58" s="99"/>
      <c r="I58" s="99"/>
      <c r="J58" s="99"/>
      <c r="K58" s="99"/>
      <c r="L58" s="99"/>
      <c r="M58" s="99"/>
      <c r="N58" s="99"/>
      <c r="O58" s="99"/>
      <c r="P58" s="99"/>
      <c r="Q58" s="99"/>
      <c r="R58" s="99"/>
      <c r="S58" s="99"/>
      <c r="T58" s="99"/>
      <c r="U58" s="99"/>
      <c r="V58" s="99"/>
      <c r="W58" s="99"/>
      <c r="BA58" s="176" t="s">
        <v>338</v>
      </c>
      <c r="BB58" s="137"/>
      <c r="BC58" s="184"/>
      <c r="BG58" s="176" t="str">
        <f>ProjectData!A74</f>
        <v xml:space="preserve">  Taxable Value</v>
      </c>
      <c r="BH58" s="431">
        <f t="shared" si="17"/>
        <v>0</v>
      </c>
      <c r="BI58" s="176"/>
      <c r="BJ58" s="386"/>
      <c r="BK58" s="167"/>
      <c r="BL58" s="76"/>
      <c r="BM58" s="137"/>
    </row>
    <row r="59" spans="1:65" x14ac:dyDescent="0.2">
      <c r="A59" s="45" t="s">
        <v>239</v>
      </c>
      <c r="B59" s="211">
        <f>Calculations!AC7</f>
        <v>114990.62085673495</v>
      </c>
      <c r="C59" s="103">
        <f>Calculations!AD7</f>
        <v>1</v>
      </c>
      <c r="D59" s="210" t="str">
        <f>Calculations!AE7</f>
        <v>N</v>
      </c>
      <c r="E59" s="99"/>
      <c r="F59" s="99"/>
      <c r="G59" s="99"/>
      <c r="H59" s="99"/>
      <c r="I59" s="99"/>
      <c r="J59" s="99"/>
      <c r="K59" s="99"/>
      <c r="L59" s="99"/>
      <c r="M59" s="99"/>
      <c r="N59" s="99"/>
      <c r="O59" s="99"/>
      <c r="P59" s="99"/>
      <c r="Q59" s="99"/>
      <c r="R59" s="99"/>
      <c r="S59" s="99"/>
      <c r="T59" s="99"/>
      <c r="U59" s="99"/>
      <c r="V59" s="99"/>
      <c r="W59" s="99"/>
      <c r="BA59" s="176" t="s">
        <v>239</v>
      </c>
      <c r="BB59" s="185">
        <f t="shared" ref="BB59:BD62" si="18">B59</f>
        <v>114990.62085673495</v>
      </c>
      <c r="BC59" s="184">
        <f t="shared" si="18"/>
        <v>1</v>
      </c>
      <c r="BD59" s="184" t="str">
        <f t="shared" si="18"/>
        <v>N</v>
      </c>
      <c r="BG59" s="180" t="s">
        <v>363</v>
      </c>
      <c r="BH59" s="387">
        <f t="shared" si="17"/>
        <v>1</v>
      </c>
      <c r="BI59" s="388"/>
      <c r="BJ59" s="388"/>
      <c r="BK59" s="167"/>
      <c r="BL59" s="76"/>
      <c r="BM59" s="137"/>
    </row>
    <row r="60" spans="1:65" x14ac:dyDescent="0.2">
      <c r="A60" s="45" t="s">
        <v>234</v>
      </c>
      <c r="B60" s="211">
        <f>Calculations!AC8</f>
        <v>1074912.3253999136</v>
      </c>
      <c r="C60" s="103">
        <f>Calculations!AD8</f>
        <v>1</v>
      </c>
      <c r="D60" s="210" t="str">
        <f>Calculations!AE8</f>
        <v>N</v>
      </c>
      <c r="E60" s="99"/>
      <c r="F60" s="99"/>
      <c r="G60" s="99"/>
      <c r="H60" s="99"/>
      <c r="I60" s="99"/>
      <c r="J60" s="99"/>
      <c r="K60" s="99"/>
      <c r="L60" s="99"/>
      <c r="M60" s="99"/>
      <c r="N60" s="99"/>
      <c r="O60" s="99"/>
      <c r="P60" s="99"/>
      <c r="Q60" s="99"/>
      <c r="R60" s="99"/>
      <c r="S60" s="99"/>
      <c r="T60" s="99"/>
      <c r="U60" s="99"/>
      <c r="V60" s="99"/>
      <c r="W60" s="99"/>
      <c r="BA60" s="176" t="s">
        <v>234</v>
      </c>
      <c r="BB60" s="185">
        <f t="shared" si="18"/>
        <v>1074912.3253999136</v>
      </c>
      <c r="BC60" s="184">
        <f t="shared" si="18"/>
        <v>1</v>
      </c>
      <c r="BD60" s="184" t="str">
        <f t="shared" si="18"/>
        <v>N</v>
      </c>
      <c r="BG60" s="176" t="str">
        <f>ProjectData!A76</f>
        <v xml:space="preserve">  Local Property Taxes</v>
      </c>
      <c r="BH60" s="431">
        <f t="shared" si="17"/>
        <v>0</v>
      </c>
      <c r="BI60" s="176"/>
      <c r="BJ60" s="184">
        <f>BC102</f>
        <v>1</v>
      </c>
      <c r="BK60" s="167"/>
      <c r="BL60" s="76"/>
      <c r="BM60" s="137"/>
    </row>
    <row r="61" spans="1:65" x14ac:dyDescent="0.2">
      <c r="A61" s="45" t="s">
        <v>235</v>
      </c>
      <c r="B61" s="211">
        <f>Calculations!AC9</f>
        <v>114990.62085673495</v>
      </c>
      <c r="C61" s="103">
        <f>Calculations!AD9</f>
        <v>1</v>
      </c>
      <c r="D61" s="210" t="str">
        <f>Calculations!AE9</f>
        <v>N</v>
      </c>
      <c r="E61" s="99"/>
      <c r="F61" s="99"/>
      <c r="G61" s="99"/>
      <c r="H61" s="99"/>
      <c r="I61" s="99"/>
      <c r="J61" s="99"/>
      <c r="K61" s="99"/>
      <c r="L61" s="99"/>
      <c r="M61" s="99"/>
      <c r="N61" s="99"/>
      <c r="O61" s="99"/>
      <c r="P61" s="99"/>
      <c r="Q61" s="99"/>
      <c r="R61" s="99"/>
      <c r="S61" s="99"/>
      <c r="T61" s="99"/>
      <c r="U61" s="99"/>
      <c r="V61" s="99"/>
      <c r="W61" s="99"/>
      <c r="BA61" s="176" t="s">
        <v>235</v>
      </c>
      <c r="BB61" s="185">
        <f t="shared" si="18"/>
        <v>114990.62085673495</v>
      </c>
      <c r="BC61" s="184">
        <f t="shared" si="18"/>
        <v>1</v>
      </c>
      <c r="BD61" s="184" t="str">
        <f t="shared" si="18"/>
        <v>N</v>
      </c>
      <c r="BG61" s="176" t="str">
        <f>ProjectData!A77</f>
        <v xml:space="preserve">  Local Sales Tax Rate</v>
      </c>
      <c r="BH61" s="432">
        <f t="shared" si="17"/>
        <v>8.2500000000000004E-2</v>
      </c>
      <c r="BI61" s="176"/>
      <c r="BJ61" s="184">
        <f>BC103</f>
        <v>1</v>
      </c>
      <c r="BK61" s="167"/>
      <c r="BL61" s="76"/>
      <c r="BM61" s="137"/>
    </row>
    <row r="62" spans="1:65" x14ac:dyDescent="0.2">
      <c r="A62" s="45" t="s">
        <v>236</v>
      </c>
      <c r="B62" s="211">
        <f>Calculations!AC10</f>
        <v>209982.87286882036</v>
      </c>
      <c r="C62" s="103">
        <f>Calculations!AD10</f>
        <v>1</v>
      </c>
      <c r="D62" s="210" t="str">
        <f>Calculations!AE10</f>
        <v>N</v>
      </c>
      <c r="E62" s="99"/>
      <c r="F62" s="99"/>
      <c r="G62" s="99"/>
      <c r="H62" s="99"/>
      <c r="I62" s="99"/>
      <c r="J62" s="99"/>
      <c r="K62" s="99"/>
      <c r="L62" s="99"/>
      <c r="M62" s="99"/>
      <c r="N62" s="99"/>
      <c r="O62" s="99"/>
      <c r="P62" s="99"/>
      <c r="Q62" s="99"/>
      <c r="R62" s="99"/>
      <c r="S62" s="99"/>
      <c r="T62" s="99"/>
      <c r="U62" s="99"/>
      <c r="V62" s="99"/>
      <c r="W62" s="99"/>
      <c r="BA62" s="176" t="s">
        <v>236</v>
      </c>
      <c r="BB62" s="185">
        <f t="shared" si="18"/>
        <v>209982.87286882036</v>
      </c>
      <c r="BC62" s="184">
        <f t="shared" si="18"/>
        <v>1</v>
      </c>
      <c r="BD62" s="184" t="str">
        <f t="shared" si="18"/>
        <v>N</v>
      </c>
      <c r="BG62" s="180" t="s">
        <v>447</v>
      </c>
      <c r="BK62" s="167"/>
      <c r="BL62" s="76"/>
      <c r="BM62" s="137"/>
    </row>
    <row r="63" spans="1:65" x14ac:dyDescent="0.2">
      <c r="A63" s="45" t="s">
        <v>1</v>
      </c>
      <c r="B63" s="211">
        <f>Calculations!AC11</f>
        <v>1514876.4399822038</v>
      </c>
      <c r="C63" s="103"/>
      <c r="D63" s="210"/>
      <c r="E63" s="99"/>
      <c r="F63" s="99"/>
      <c r="G63" s="99"/>
      <c r="H63" s="99"/>
      <c r="I63" s="99"/>
      <c r="J63" s="99"/>
      <c r="K63" s="99"/>
      <c r="L63" s="99"/>
      <c r="M63" s="99"/>
      <c r="N63" s="99"/>
      <c r="O63" s="99"/>
      <c r="P63" s="99"/>
      <c r="Q63" s="99"/>
      <c r="R63" s="99"/>
      <c r="S63" s="99"/>
      <c r="T63" s="99"/>
      <c r="U63" s="99"/>
      <c r="V63" s="99"/>
      <c r="W63" s="99"/>
      <c r="BA63" s="176" t="s">
        <v>1</v>
      </c>
      <c r="BB63" s="185">
        <f>B63</f>
        <v>1514876.4399822038</v>
      </c>
      <c r="BC63" s="184"/>
      <c r="BG63" s="176" t="str">
        <f>ProjectData!A79</f>
        <v>Payroll Parameters</v>
      </c>
      <c r="BH63" s="385"/>
      <c r="BI63" s="176"/>
      <c r="BJ63" s="386"/>
      <c r="BK63" s="167"/>
      <c r="BL63" s="76"/>
      <c r="BM63" s="167"/>
    </row>
    <row r="64" spans="1:65" x14ac:dyDescent="0.2">
      <c r="A64" s="45" t="s">
        <v>249</v>
      </c>
      <c r="B64" s="211"/>
      <c r="C64" s="103"/>
      <c r="D64" s="210"/>
      <c r="E64" s="99"/>
      <c r="F64" s="99"/>
      <c r="G64" s="99"/>
      <c r="H64" s="99"/>
      <c r="I64" s="99"/>
      <c r="J64" s="99"/>
      <c r="K64" s="99"/>
      <c r="L64" s="99"/>
      <c r="M64" s="99"/>
      <c r="N64" s="99"/>
      <c r="O64" s="99"/>
      <c r="P64" s="99"/>
      <c r="Q64" s="99"/>
      <c r="R64" s="99"/>
      <c r="S64" s="99"/>
      <c r="T64" s="99"/>
      <c r="U64" s="99"/>
      <c r="V64" s="99"/>
      <c r="W64" s="99"/>
      <c r="BA64" s="176" t="s">
        <v>249</v>
      </c>
      <c r="BB64" s="185"/>
      <c r="BC64" s="184"/>
      <c r="BG64" s="176" t="str">
        <f>ProjectData!A80</f>
        <v xml:space="preserve">  Construction and Installation Labor</v>
      </c>
      <c r="BH64" s="349" t="str">
        <f>ProjectData!B80</f>
        <v>Wage per hour</v>
      </c>
      <c r="BI64" s="176"/>
      <c r="BJ64" s="386" t="str">
        <f>ProjectData!D80</f>
        <v>Employer Payroll Overhead</v>
      </c>
      <c r="BK64" s="167"/>
      <c r="BL64" s="76"/>
      <c r="BM64" s="137"/>
    </row>
    <row r="65" spans="1:65" x14ac:dyDescent="0.2">
      <c r="A65" s="45" t="s">
        <v>241</v>
      </c>
      <c r="B65" s="211">
        <f>Calculations!AC13</f>
        <v>275112.75532553397</v>
      </c>
      <c r="C65" s="103">
        <f>Calculations!AD13</f>
        <v>1</v>
      </c>
      <c r="D65" s="210"/>
      <c r="E65" s="99"/>
      <c r="F65" s="99"/>
      <c r="G65" s="99"/>
      <c r="H65" s="99"/>
      <c r="I65" s="99"/>
      <c r="J65" s="99"/>
      <c r="K65" s="99"/>
      <c r="L65" s="99"/>
      <c r="M65" s="99"/>
      <c r="N65" s="99"/>
      <c r="O65" s="99"/>
      <c r="P65" s="99"/>
      <c r="Q65" s="99"/>
      <c r="R65" s="99"/>
      <c r="S65" s="99"/>
      <c r="T65" s="99"/>
      <c r="U65" s="99"/>
      <c r="V65" s="99"/>
      <c r="W65" s="99"/>
      <c r="BA65" s="176" t="s">
        <v>241</v>
      </c>
      <c r="BB65" s="185">
        <f>B65</f>
        <v>275112.75532553397</v>
      </c>
      <c r="BC65" s="184">
        <f>C65</f>
        <v>1</v>
      </c>
      <c r="BG65" s="176" t="str">
        <f>ProjectData!A81</f>
        <v xml:space="preserve">  Construction Workers / Installers</v>
      </c>
      <c r="BH65" s="433">
        <f>BB107</f>
        <v>21.388255479352704</v>
      </c>
      <c r="BI65" s="176"/>
      <c r="BJ65" s="184">
        <f>BC107</f>
        <v>0.45569999999999999</v>
      </c>
      <c r="BK65" s="167"/>
      <c r="BM65" s="166"/>
    </row>
    <row r="66" spans="1:65" x14ac:dyDescent="0.2">
      <c r="A66" s="45" t="s">
        <v>1</v>
      </c>
      <c r="B66" s="211">
        <f>Calculations!AC14</f>
        <v>275112.75532553397</v>
      </c>
      <c r="C66" s="103"/>
      <c r="D66" s="210"/>
      <c r="E66" s="99"/>
      <c r="F66" s="99"/>
      <c r="G66" s="99"/>
      <c r="H66" s="99"/>
      <c r="I66" s="99"/>
      <c r="J66" s="99"/>
      <c r="K66" s="99"/>
      <c r="L66" s="99"/>
      <c r="M66" s="99"/>
      <c r="N66" s="99"/>
      <c r="O66" s="99"/>
      <c r="P66" s="99"/>
      <c r="Q66" s="99"/>
      <c r="R66" s="99"/>
      <c r="S66" s="99"/>
      <c r="T66" s="99"/>
      <c r="U66" s="99"/>
      <c r="V66" s="99"/>
      <c r="W66" s="99"/>
      <c r="BA66" s="176" t="s">
        <v>1</v>
      </c>
      <c r="BB66" s="185">
        <f>B66</f>
        <v>275112.75532553397</v>
      </c>
      <c r="BC66" s="184"/>
      <c r="BG66" s="176" t="str">
        <f>ProjectData!A82</f>
        <v xml:space="preserve">  O &amp; M Labor</v>
      </c>
      <c r="BH66" s="389"/>
      <c r="BI66" s="176"/>
      <c r="BJ66" s="386"/>
      <c r="BM66" s="166"/>
    </row>
    <row r="67" spans="1:65" x14ac:dyDescent="0.2">
      <c r="A67" s="45" t="s">
        <v>290</v>
      </c>
      <c r="B67" s="211">
        <f>Calculations!AC15</f>
        <v>1789989.1953077377</v>
      </c>
      <c r="C67" s="103"/>
      <c r="D67" s="210"/>
      <c r="E67" s="99"/>
      <c r="F67" s="99"/>
      <c r="G67" s="99"/>
      <c r="H67" s="99"/>
      <c r="I67" s="99"/>
      <c r="J67" s="99"/>
      <c r="K67" s="99"/>
      <c r="L67" s="99"/>
      <c r="M67" s="99"/>
      <c r="N67" s="99"/>
      <c r="O67" s="99"/>
      <c r="P67" s="99"/>
      <c r="Q67" s="99"/>
      <c r="R67" s="99"/>
      <c r="S67" s="99"/>
      <c r="T67" s="99"/>
      <c r="U67" s="99"/>
      <c r="V67" s="99"/>
      <c r="W67" s="99"/>
      <c r="BA67" s="176" t="s">
        <v>290</v>
      </c>
      <c r="BB67" s="185">
        <f>B67</f>
        <v>1789989.1953077377</v>
      </c>
      <c r="BC67" s="184"/>
      <c r="BG67" s="176" t="str">
        <f>ProjectData!A83</f>
        <v xml:space="preserve">  Technicians</v>
      </c>
      <c r="BH67" s="433">
        <f>BB109</f>
        <v>21.388255479352704</v>
      </c>
      <c r="BI67" s="176"/>
      <c r="BJ67" s="184">
        <f>BC109</f>
        <v>0.45569999999999999</v>
      </c>
      <c r="BM67" s="166"/>
    </row>
    <row r="68" spans="1:65" x14ac:dyDescent="0.2">
      <c r="A68" s="45" t="s">
        <v>6</v>
      </c>
      <c r="B68" s="211"/>
      <c r="C68" s="103"/>
      <c r="D68" s="210"/>
      <c r="E68" s="99"/>
      <c r="F68" s="99"/>
      <c r="G68" s="99"/>
      <c r="H68" s="99"/>
      <c r="I68" s="99"/>
      <c r="J68" s="99"/>
      <c r="K68" s="99"/>
      <c r="L68" s="99"/>
      <c r="M68" s="99"/>
      <c r="N68" s="99"/>
      <c r="O68" s="99"/>
      <c r="P68" s="99"/>
      <c r="Q68" s="99"/>
      <c r="R68" s="99"/>
      <c r="S68" s="99"/>
      <c r="T68" s="99"/>
      <c r="U68" s="99"/>
      <c r="V68" s="99"/>
      <c r="W68" s="99"/>
      <c r="BA68" s="176" t="s">
        <v>6</v>
      </c>
      <c r="BB68" s="185"/>
      <c r="BC68" s="184"/>
      <c r="BM68" s="166"/>
    </row>
    <row r="69" spans="1:65" x14ac:dyDescent="0.2">
      <c r="A69" s="45" t="s">
        <v>339</v>
      </c>
      <c r="B69" s="211">
        <f>Calculations!AC17</f>
        <v>91863.275178912125</v>
      </c>
      <c r="C69" s="103">
        <f>Calculations!AD17</f>
        <v>1</v>
      </c>
      <c r="D69" s="210"/>
      <c r="E69" s="99"/>
      <c r="F69" s="99"/>
      <c r="G69" s="99"/>
      <c r="H69" s="99"/>
      <c r="I69" s="99"/>
      <c r="J69" s="99"/>
      <c r="K69" s="99"/>
      <c r="L69" s="99"/>
      <c r="M69" s="99"/>
      <c r="N69" s="99"/>
      <c r="O69" s="99"/>
      <c r="P69" s="99"/>
      <c r="Q69" s="99"/>
      <c r="R69" s="99"/>
      <c r="S69" s="99"/>
      <c r="T69" s="99"/>
      <c r="U69" s="99"/>
      <c r="V69" s="99"/>
      <c r="W69" s="99"/>
      <c r="BA69" s="176" t="s">
        <v>339</v>
      </c>
      <c r="BB69" s="185">
        <f t="shared" ref="BB69:BC71" si="19">B69</f>
        <v>91863.275178912125</v>
      </c>
      <c r="BC69" s="184">
        <f t="shared" si="19"/>
        <v>1</v>
      </c>
      <c r="BM69" s="166"/>
    </row>
    <row r="70" spans="1:65" x14ac:dyDescent="0.2">
      <c r="A70" s="45" t="s">
        <v>340</v>
      </c>
      <c r="B70" s="211">
        <f>Calculations!AC18</f>
        <v>183726.55035782425</v>
      </c>
      <c r="C70" s="103">
        <f>Calculations!AD18</f>
        <v>1</v>
      </c>
      <c r="D70" s="103"/>
      <c r="E70" s="99"/>
      <c r="F70" s="99"/>
      <c r="G70" s="99"/>
      <c r="H70" s="99"/>
      <c r="I70" s="99"/>
      <c r="J70" s="99"/>
      <c r="K70" s="99"/>
      <c r="L70" s="99"/>
      <c r="M70" s="99"/>
      <c r="N70" s="99"/>
      <c r="O70" s="99"/>
      <c r="P70" s="99"/>
      <c r="Q70" s="99"/>
      <c r="R70" s="99"/>
      <c r="S70" s="99"/>
      <c r="T70" s="99"/>
      <c r="U70" s="99"/>
      <c r="V70" s="99"/>
      <c r="W70" s="99"/>
      <c r="BA70" s="176" t="s">
        <v>340</v>
      </c>
      <c r="BB70" s="185">
        <f t="shared" si="19"/>
        <v>183726.55035782425</v>
      </c>
      <c r="BC70" s="184">
        <f t="shared" si="19"/>
        <v>1</v>
      </c>
      <c r="BD70" s="184"/>
      <c r="BM70" s="166"/>
    </row>
    <row r="71" spans="1:65" x14ac:dyDescent="0.2">
      <c r="A71" s="45" t="s">
        <v>341</v>
      </c>
      <c r="B71" s="211">
        <f>Calculations!AC19</f>
        <v>1215121.4724290601</v>
      </c>
      <c r="C71" s="103">
        <f>Calculations!AD19</f>
        <v>1</v>
      </c>
      <c r="D71" s="103"/>
      <c r="E71" s="99"/>
      <c r="F71" s="99"/>
      <c r="G71" s="99"/>
      <c r="H71" s="99"/>
      <c r="I71" s="99"/>
      <c r="J71" s="99"/>
      <c r="K71" s="99"/>
      <c r="L71" s="99"/>
      <c r="M71" s="99"/>
      <c r="N71" s="99"/>
      <c r="O71" s="99"/>
      <c r="P71" s="99"/>
      <c r="Q71" s="99"/>
      <c r="R71" s="99"/>
      <c r="S71" s="99"/>
      <c r="T71" s="99"/>
      <c r="U71" s="99"/>
      <c r="V71" s="99"/>
      <c r="W71" s="99"/>
      <c r="BA71" s="176" t="s">
        <v>341</v>
      </c>
      <c r="BB71" s="185">
        <f t="shared" si="19"/>
        <v>1215121.4724290601</v>
      </c>
      <c r="BC71" s="184">
        <f t="shared" si="19"/>
        <v>1</v>
      </c>
      <c r="BD71" s="184"/>
      <c r="BM71" s="166"/>
    </row>
    <row r="72" spans="1:65" x14ac:dyDescent="0.2">
      <c r="A72" s="45" t="s">
        <v>1</v>
      </c>
      <c r="B72" s="211">
        <f>Calculations!AC20</f>
        <v>1490711.2979657967</v>
      </c>
      <c r="C72" s="103"/>
      <c r="D72" s="42"/>
      <c r="E72" s="99"/>
      <c r="F72" s="99"/>
      <c r="G72" s="99"/>
      <c r="H72" s="99"/>
      <c r="I72" s="99"/>
      <c r="J72" s="99"/>
      <c r="K72" s="99"/>
      <c r="L72" s="99"/>
      <c r="M72" s="99"/>
      <c r="N72" s="99"/>
      <c r="O72" s="99"/>
      <c r="P72" s="99"/>
      <c r="Q72" s="99"/>
      <c r="R72" s="99"/>
      <c r="S72" s="99"/>
      <c r="T72" s="99"/>
      <c r="U72" s="99"/>
      <c r="V72" s="99"/>
      <c r="W72" s="99"/>
      <c r="BA72" s="176" t="s">
        <v>1</v>
      </c>
      <c r="BB72" s="185">
        <f>B72</f>
        <v>1490711.2979657967</v>
      </c>
      <c r="BC72" s="184"/>
      <c r="BM72" s="166"/>
    </row>
    <row r="73" spans="1:65" x14ac:dyDescent="0.2">
      <c r="A73" s="45" t="s">
        <v>290</v>
      </c>
      <c r="B73" s="211">
        <f>Calculations!AC21</f>
        <v>3280700.4932735343</v>
      </c>
      <c r="C73" s="103"/>
      <c r="D73" s="42"/>
      <c r="E73" s="99"/>
      <c r="F73" s="99"/>
      <c r="G73" s="99"/>
      <c r="H73" s="99"/>
      <c r="I73" s="99"/>
      <c r="J73" s="99"/>
      <c r="K73" s="99"/>
      <c r="L73" s="99"/>
      <c r="M73" s="99"/>
      <c r="N73" s="99"/>
      <c r="O73" s="99"/>
      <c r="P73" s="99"/>
      <c r="Q73" s="99"/>
      <c r="R73" s="99"/>
      <c r="S73" s="99"/>
      <c r="T73" s="99"/>
      <c r="U73" s="99"/>
      <c r="V73" s="99"/>
      <c r="W73" s="99"/>
      <c r="BA73" s="176" t="s">
        <v>290</v>
      </c>
      <c r="BB73" s="185">
        <f>B73</f>
        <v>3280700.4932735343</v>
      </c>
      <c r="BC73" s="184"/>
      <c r="BM73" s="166"/>
    </row>
    <row r="74" spans="1:65" x14ac:dyDescent="0.2">
      <c r="A74" s="45" t="s">
        <v>291</v>
      </c>
      <c r="B74" s="211">
        <f>Calculations!AC22</f>
        <v>124977.30629853181</v>
      </c>
      <c r="C74" s="103">
        <f>Calculations!AD22</f>
        <v>1</v>
      </c>
      <c r="D74" s="42"/>
      <c r="E74" s="99"/>
      <c r="F74" s="99"/>
      <c r="G74" s="99"/>
      <c r="H74" s="99"/>
      <c r="I74" s="99"/>
      <c r="J74" s="99"/>
      <c r="K74" s="99"/>
      <c r="L74" s="99"/>
      <c r="M74" s="99"/>
      <c r="N74" s="99"/>
      <c r="O74" s="99"/>
      <c r="P74" s="99"/>
      <c r="Q74" s="99"/>
      <c r="R74" s="99"/>
      <c r="S74" s="99"/>
      <c r="T74" s="99"/>
      <c r="U74" s="99"/>
      <c r="V74" s="99"/>
      <c r="W74" s="99"/>
      <c r="BA74" s="176" t="s">
        <v>291</v>
      </c>
      <c r="BB74" s="185">
        <f>B74</f>
        <v>124977.30629853181</v>
      </c>
      <c r="BC74" s="184">
        <f>C74</f>
        <v>1</v>
      </c>
      <c r="BM74" s="166"/>
    </row>
    <row r="75" spans="1:65" x14ac:dyDescent="0.2">
      <c r="A75" s="45" t="s">
        <v>4</v>
      </c>
      <c r="B75" s="211">
        <f>Calculations!AC23</f>
        <v>3405677.7995720659</v>
      </c>
      <c r="C75" s="103"/>
      <c r="D75" s="42"/>
      <c r="E75" s="99"/>
      <c r="F75" s="99"/>
      <c r="G75" s="99"/>
      <c r="H75" s="99"/>
      <c r="I75" s="99"/>
      <c r="J75" s="99"/>
      <c r="K75" s="99"/>
      <c r="L75" s="99"/>
      <c r="M75" s="99"/>
      <c r="N75" s="99"/>
      <c r="O75" s="99"/>
      <c r="P75" s="99"/>
      <c r="Q75" s="99"/>
      <c r="R75" s="99"/>
      <c r="S75" s="99"/>
      <c r="T75" s="99"/>
      <c r="U75" s="99"/>
      <c r="V75" s="99"/>
      <c r="W75" s="99"/>
      <c r="BA75" s="176" t="s">
        <v>4</v>
      </c>
      <c r="BB75" s="185">
        <f>B75</f>
        <v>3405677.7995720659</v>
      </c>
      <c r="BC75" s="184"/>
    </row>
    <row r="76" spans="1:65" x14ac:dyDescent="0.2">
      <c r="A76" s="45"/>
      <c r="B76" s="211"/>
      <c r="C76" s="103"/>
      <c r="D76" s="42"/>
      <c r="E76" s="99"/>
      <c r="F76" s="99"/>
      <c r="G76" s="99"/>
      <c r="H76" s="99"/>
      <c r="I76" s="99"/>
      <c r="J76" s="99"/>
      <c r="K76" s="99"/>
      <c r="L76" s="99"/>
      <c r="M76" s="99"/>
      <c r="N76" s="99"/>
      <c r="O76" s="99"/>
      <c r="P76" s="99"/>
      <c r="Q76" s="99"/>
      <c r="R76" s="99"/>
      <c r="S76" s="99"/>
      <c r="T76" s="99"/>
      <c r="U76" s="99"/>
      <c r="V76" s="99"/>
      <c r="W76" s="99"/>
      <c r="BA76" s="176"/>
      <c r="BB76" s="137"/>
      <c r="BC76" s="185"/>
      <c r="BD76" s="184"/>
    </row>
    <row r="77" spans="1:65" x14ac:dyDescent="0.2">
      <c r="A77" s="64" t="s">
        <v>230</v>
      </c>
      <c r="B77" s="211"/>
      <c r="C77" s="103"/>
      <c r="D77" s="42" t="str">
        <f>D56</f>
        <v>Manufactured</v>
      </c>
      <c r="E77" s="99"/>
      <c r="F77" s="99"/>
      <c r="G77" s="99"/>
      <c r="H77" s="99"/>
      <c r="I77" s="99"/>
      <c r="J77" s="99"/>
      <c r="K77" s="99"/>
      <c r="L77" s="99"/>
      <c r="M77" s="99"/>
      <c r="N77" s="99"/>
      <c r="O77" s="99"/>
      <c r="P77" s="99"/>
      <c r="Q77" s="99"/>
      <c r="R77" s="99"/>
      <c r="S77" s="99"/>
      <c r="T77" s="99"/>
      <c r="U77" s="99"/>
      <c r="V77" s="99"/>
      <c r="W77" s="99"/>
      <c r="BA77" s="76" t="s">
        <v>230</v>
      </c>
      <c r="BB77" s="365" t="s">
        <v>111</v>
      </c>
      <c r="BC77" s="183" t="s">
        <v>5</v>
      </c>
      <c r="BD77" s="184"/>
    </row>
    <row r="78" spans="1:65" x14ac:dyDescent="0.2">
      <c r="A78" s="45"/>
      <c r="B78" s="158" t="str">
        <f>Calculations!AC26</f>
        <v>Cost</v>
      </c>
      <c r="C78" s="155" t="str">
        <f>Calculations!AD26</f>
        <v>Local Share</v>
      </c>
      <c r="D78" s="197" t="str">
        <f>D57</f>
        <v>Locally (Y or N)</v>
      </c>
      <c r="E78" s="99"/>
      <c r="F78" s="99"/>
      <c r="G78" s="99"/>
      <c r="H78" s="99"/>
      <c r="I78" s="99"/>
      <c r="J78" s="99"/>
      <c r="K78" s="99"/>
      <c r="L78" s="99"/>
      <c r="M78" s="99"/>
      <c r="N78" s="99"/>
      <c r="O78" s="99"/>
      <c r="P78" s="99"/>
      <c r="Q78" s="99"/>
      <c r="R78" s="99"/>
      <c r="S78" s="99"/>
      <c r="T78" s="99"/>
      <c r="U78" s="99"/>
      <c r="V78" s="99"/>
      <c r="W78" s="99"/>
      <c r="BA78" s="176" t="s">
        <v>249</v>
      </c>
      <c r="BB78" s="185"/>
      <c r="BC78" s="184"/>
    </row>
    <row r="79" spans="1:65" x14ac:dyDescent="0.2">
      <c r="A79" s="45" t="s">
        <v>249</v>
      </c>
      <c r="B79" s="211"/>
      <c r="C79" s="103"/>
      <c r="D79" s="42"/>
      <c r="E79" s="99"/>
      <c r="F79" s="99"/>
      <c r="G79" s="99"/>
      <c r="H79" s="99"/>
      <c r="I79" s="99"/>
      <c r="J79" s="99"/>
      <c r="K79" s="99"/>
      <c r="L79" s="99"/>
      <c r="M79" s="99"/>
      <c r="N79" s="99"/>
      <c r="O79" s="99"/>
      <c r="P79" s="99"/>
      <c r="Q79" s="99"/>
      <c r="R79" s="99"/>
      <c r="S79" s="99"/>
      <c r="T79" s="99"/>
      <c r="U79" s="99"/>
      <c r="V79" s="99"/>
      <c r="W79" s="99"/>
      <c r="BA79" s="176" t="s">
        <v>342</v>
      </c>
      <c r="BB79" s="363">
        <f>B80</f>
        <v>8965.3333333333321</v>
      </c>
      <c r="BC79" s="184">
        <f>C80</f>
        <v>1</v>
      </c>
    </row>
    <row r="80" spans="1:65" x14ac:dyDescent="0.2">
      <c r="A80" s="45" t="s">
        <v>342</v>
      </c>
      <c r="B80" s="211">
        <f>Calculations!AC28</f>
        <v>8965.3333333333321</v>
      </c>
      <c r="C80" s="103">
        <f>Calculations!AD28</f>
        <v>1</v>
      </c>
      <c r="D80" s="42"/>
      <c r="E80" s="99"/>
      <c r="F80" s="99"/>
      <c r="G80" s="99"/>
      <c r="H80" s="99"/>
      <c r="I80" s="99"/>
      <c r="J80" s="99"/>
      <c r="K80" s="99"/>
      <c r="L80" s="99"/>
      <c r="M80" s="99"/>
      <c r="N80" s="99"/>
      <c r="O80" s="99"/>
      <c r="P80" s="99"/>
      <c r="Q80" s="99"/>
      <c r="R80" s="99"/>
      <c r="S80" s="99"/>
      <c r="T80" s="99"/>
      <c r="U80" s="99"/>
      <c r="V80" s="99"/>
      <c r="W80" s="99"/>
      <c r="BA80" s="176" t="s">
        <v>1</v>
      </c>
      <c r="BB80" s="363">
        <f>B81</f>
        <v>8965.3333333333321</v>
      </c>
      <c r="BC80" s="184"/>
    </row>
    <row r="81" spans="1:56" x14ac:dyDescent="0.2">
      <c r="A81" s="45" t="s">
        <v>1</v>
      </c>
      <c r="B81" s="211">
        <f>Calculations!AC29</f>
        <v>8965.3333333333321</v>
      </c>
      <c r="C81" s="103"/>
      <c r="D81" s="42"/>
      <c r="E81" s="99"/>
      <c r="F81" s="99"/>
      <c r="G81" s="99"/>
      <c r="H81" s="99"/>
      <c r="I81" s="99"/>
      <c r="J81" s="99"/>
      <c r="K81" s="99"/>
      <c r="L81" s="99"/>
      <c r="M81" s="99"/>
      <c r="N81" s="99"/>
      <c r="O81" s="99"/>
      <c r="P81" s="99"/>
      <c r="Q81" s="99"/>
      <c r="R81" s="99"/>
      <c r="S81" s="99"/>
      <c r="T81" s="99"/>
      <c r="U81" s="99"/>
      <c r="V81" s="99"/>
      <c r="W81" s="99"/>
      <c r="BA81" s="176" t="s">
        <v>134</v>
      </c>
      <c r="BB81" s="363"/>
      <c r="BC81" s="184"/>
    </row>
    <row r="82" spans="1:56" x14ac:dyDescent="0.2">
      <c r="A82" s="45" t="s">
        <v>134</v>
      </c>
      <c r="B82" s="211"/>
      <c r="C82" s="103"/>
      <c r="D82" s="42"/>
      <c r="E82" s="99"/>
      <c r="F82" s="99"/>
      <c r="G82" s="99"/>
      <c r="H82" s="99"/>
      <c r="I82" s="99"/>
      <c r="J82" s="99"/>
      <c r="K82" s="99"/>
      <c r="L82" s="99"/>
      <c r="M82" s="99"/>
      <c r="N82" s="99"/>
      <c r="O82" s="99"/>
      <c r="P82" s="99"/>
      <c r="Q82" s="99"/>
      <c r="R82" s="99"/>
      <c r="S82" s="99"/>
      <c r="T82" s="99"/>
      <c r="U82" s="99"/>
      <c r="V82" s="99"/>
      <c r="W82" s="99"/>
      <c r="BA82" s="176" t="s">
        <v>343</v>
      </c>
      <c r="BB82" s="363">
        <f>B83</f>
        <v>7434.666666666667</v>
      </c>
      <c r="BC82" s="184">
        <f>C83</f>
        <v>1</v>
      </c>
    </row>
    <row r="83" spans="1:56" x14ac:dyDescent="0.2">
      <c r="A83" s="45" t="s">
        <v>343</v>
      </c>
      <c r="B83" s="211">
        <f>Calculations!AC31</f>
        <v>7434.666666666667</v>
      </c>
      <c r="C83" s="103">
        <f>Calculations!AD31</f>
        <v>1</v>
      </c>
      <c r="D83" s="210" t="str">
        <f>Calculations!AE31</f>
        <v>N</v>
      </c>
      <c r="E83" s="99"/>
      <c r="F83" s="99"/>
      <c r="G83" s="99"/>
      <c r="H83" s="99"/>
      <c r="I83" s="99"/>
      <c r="J83" s="99"/>
      <c r="K83" s="99"/>
      <c r="L83" s="99"/>
      <c r="M83" s="99"/>
      <c r="N83" s="99"/>
      <c r="O83" s="99"/>
      <c r="P83" s="99"/>
      <c r="Q83" s="99"/>
      <c r="R83" s="99"/>
      <c r="S83" s="99"/>
      <c r="T83" s="99"/>
      <c r="U83" s="99"/>
      <c r="V83" s="99"/>
      <c r="W83" s="99"/>
      <c r="BA83" s="176" t="s">
        <v>344</v>
      </c>
      <c r="BB83" s="363">
        <f>B84</f>
        <v>0</v>
      </c>
      <c r="BC83" s="184">
        <f>C84</f>
        <v>1</v>
      </c>
    </row>
    <row r="84" spans="1:56" x14ac:dyDescent="0.2">
      <c r="A84" s="45" t="s">
        <v>344</v>
      </c>
      <c r="B84" s="211">
        <f>Calculations!AC32</f>
        <v>0</v>
      </c>
      <c r="C84" s="103">
        <f>Calculations!AD32</f>
        <v>1</v>
      </c>
      <c r="D84" s="42"/>
      <c r="E84" s="99"/>
      <c r="F84" s="99"/>
      <c r="G84" s="99"/>
      <c r="H84" s="99"/>
      <c r="I84" s="99"/>
      <c r="J84" s="99"/>
      <c r="K84" s="99"/>
      <c r="L84" s="99"/>
      <c r="M84" s="99"/>
      <c r="N84" s="99"/>
      <c r="O84" s="99"/>
      <c r="P84" s="99"/>
      <c r="Q84" s="99"/>
      <c r="R84" s="99"/>
      <c r="S84" s="99"/>
      <c r="T84" s="99"/>
      <c r="U84" s="99"/>
      <c r="V84" s="99"/>
      <c r="W84" s="99"/>
      <c r="BA84" s="176" t="s">
        <v>1</v>
      </c>
      <c r="BB84" s="363">
        <f>B85</f>
        <v>7434.666666666667</v>
      </c>
      <c r="BC84" s="184"/>
    </row>
    <row r="85" spans="1:56" x14ac:dyDescent="0.2">
      <c r="A85" s="45" t="s">
        <v>1</v>
      </c>
      <c r="B85" s="211">
        <f>Calculations!AC33</f>
        <v>7434.666666666667</v>
      </c>
      <c r="C85" s="103"/>
      <c r="D85" s="42"/>
      <c r="E85" s="99"/>
      <c r="F85" s="99"/>
      <c r="G85" s="99"/>
      <c r="H85" s="99"/>
      <c r="I85" s="99"/>
      <c r="J85" s="99"/>
      <c r="K85" s="99"/>
      <c r="L85" s="99"/>
      <c r="M85" s="99"/>
      <c r="N85" s="99"/>
      <c r="O85" s="99"/>
      <c r="P85" s="99"/>
      <c r="Q85" s="99"/>
      <c r="R85" s="99"/>
      <c r="S85" s="99"/>
      <c r="T85" s="99"/>
      <c r="U85" s="99"/>
      <c r="V85" s="99"/>
      <c r="W85" s="99"/>
      <c r="BA85" s="176" t="s">
        <v>291</v>
      </c>
      <c r="BB85" s="363">
        <f>B86</f>
        <v>613.36</v>
      </c>
      <c r="BC85" s="184">
        <f>C86</f>
        <v>1</v>
      </c>
    </row>
    <row r="86" spans="1:56" x14ac:dyDescent="0.2">
      <c r="A86" s="45" t="s">
        <v>291</v>
      </c>
      <c r="B86" s="211">
        <f>Calculations!AC34</f>
        <v>613.36</v>
      </c>
      <c r="C86" s="103">
        <f>Calculations!AD34</f>
        <v>1</v>
      </c>
      <c r="D86" s="42"/>
      <c r="E86" s="99"/>
      <c r="F86" s="99"/>
      <c r="G86" s="99"/>
      <c r="H86" s="99"/>
      <c r="I86" s="99"/>
      <c r="J86" s="99"/>
      <c r="K86" s="99"/>
      <c r="L86" s="99"/>
      <c r="M86" s="99"/>
      <c r="N86" s="99"/>
      <c r="O86" s="99"/>
      <c r="P86" s="99"/>
      <c r="Q86" s="99"/>
      <c r="R86" s="99"/>
      <c r="S86" s="99"/>
      <c r="T86" s="99"/>
      <c r="U86" s="99"/>
      <c r="V86" s="99"/>
      <c r="W86" s="99"/>
      <c r="BA86" s="176" t="s">
        <v>331</v>
      </c>
      <c r="BB86" s="363">
        <f>B87</f>
        <v>380561.25721973006</v>
      </c>
      <c r="BC86" s="184">
        <f>C87</f>
        <v>0</v>
      </c>
    </row>
    <row r="87" spans="1:56" x14ac:dyDescent="0.2">
      <c r="A87" s="45" t="s">
        <v>331</v>
      </c>
      <c r="B87" s="211">
        <f>Calculations!AC35</f>
        <v>380561.25721973006</v>
      </c>
      <c r="C87" s="103">
        <f>Calculations!AD35</f>
        <v>0</v>
      </c>
      <c r="D87" s="42"/>
      <c r="E87" s="99"/>
      <c r="F87" s="99"/>
      <c r="G87" s="99"/>
      <c r="H87" s="99"/>
      <c r="I87" s="99"/>
      <c r="J87" s="99"/>
      <c r="K87" s="99"/>
      <c r="L87" s="99"/>
      <c r="M87" s="99"/>
      <c r="N87" s="99"/>
      <c r="O87" s="99"/>
      <c r="P87" s="99"/>
      <c r="Q87" s="99"/>
      <c r="R87" s="99"/>
      <c r="S87" s="99"/>
      <c r="T87" s="99"/>
      <c r="U87" s="99"/>
      <c r="V87" s="99"/>
      <c r="W87" s="99"/>
      <c r="BA87" s="176" t="s">
        <v>141</v>
      </c>
      <c r="BB87" s="363">
        <f>B88</f>
        <v>0</v>
      </c>
      <c r="BC87" s="184">
        <f>C88</f>
        <v>1</v>
      </c>
    </row>
    <row r="88" spans="1:56" x14ac:dyDescent="0.2">
      <c r="A88" s="45" t="s">
        <v>141</v>
      </c>
      <c r="B88" s="211">
        <f>Calculations!AC36</f>
        <v>0</v>
      </c>
      <c r="C88" s="103">
        <f>Calculations!AD36</f>
        <v>1</v>
      </c>
      <c r="D88" s="42"/>
      <c r="E88" s="99"/>
      <c r="F88" s="99"/>
      <c r="G88" s="99"/>
      <c r="H88" s="99"/>
      <c r="I88" s="99"/>
      <c r="J88" s="99"/>
      <c r="K88" s="99"/>
      <c r="L88" s="99"/>
      <c r="M88" s="99"/>
      <c r="N88" s="99"/>
      <c r="O88" s="99"/>
      <c r="P88" s="99"/>
      <c r="Q88" s="99"/>
      <c r="R88" s="99"/>
      <c r="S88" s="99"/>
      <c r="T88" s="99"/>
      <c r="U88" s="99"/>
      <c r="V88" s="99"/>
      <c r="W88" s="99"/>
      <c r="BA88" s="176" t="s">
        <v>4</v>
      </c>
      <c r="BB88" s="363">
        <f>B89</f>
        <v>397574.61721973005</v>
      </c>
      <c r="BC88" s="184"/>
    </row>
    <row r="89" spans="1:56" x14ac:dyDescent="0.2">
      <c r="A89" s="45" t="s">
        <v>4</v>
      </c>
      <c r="B89" s="211">
        <f>Calculations!AC37</f>
        <v>397574.61721973005</v>
      </c>
      <c r="C89" s="103"/>
      <c r="D89" s="42"/>
      <c r="E89" s="99"/>
      <c r="F89" s="99"/>
      <c r="G89" s="99"/>
      <c r="H89" s="99"/>
      <c r="I89" s="99"/>
      <c r="J89" s="99"/>
      <c r="K89" s="99"/>
      <c r="L89" s="99"/>
      <c r="M89" s="99"/>
      <c r="N89" s="99"/>
      <c r="O89" s="99"/>
      <c r="P89" s="99"/>
      <c r="Q89" s="99"/>
      <c r="R89" s="99"/>
      <c r="S89" s="99"/>
      <c r="T89" s="99"/>
      <c r="U89" s="99"/>
      <c r="V89" s="99"/>
      <c r="W89" s="99"/>
      <c r="BA89" s="176"/>
      <c r="BB89" s="137"/>
      <c r="BC89" s="234"/>
      <c r="BD89" s="184"/>
    </row>
    <row r="90" spans="1:56" x14ac:dyDescent="0.2">
      <c r="A90" s="45"/>
      <c r="B90" s="211"/>
      <c r="C90" s="103"/>
      <c r="D90" s="42"/>
      <c r="E90" s="99"/>
      <c r="F90" s="99"/>
      <c r="G90" s="99"/>
      <c r="H90" s="99"/>
      <c r="I90" s="99"/>
      <c r="J90" s="99"/>
      <c r="K90" s="99"/>
      <c r="L90" s="99"/>
      <c r="M90" s="99"/>
      <c r="N90" s="99"/>
      <c r="O90" s="99"/>
      <c r="P90" s="99"/>
      <c r="Q90" s="99"/>
      <c r="R90" s="99"/>
      <c r="S90" s="99"/>
      <c r="T90" s="99"/>
      <c r="U90" s="99"/>
      <c r="V90" s="99"/>
      <c r="W90" s="99"/>
      <c r="BA90" s="76" t="s">
        <v>132</v>
      </c>
      <c r="BB90" s="137"/>
      <c r="BC90" s="234"/>
      <c r="BD90" s="184"/>
    </row>
    <row r="91" spans="1:56" x14ac:dyDescent="0.2">
      <c r="A91" s="64" t="s">
        <v>132</v>
      </c>
      <c r="B91" s="211"/>
      <c r="C91" s="103"/>
      <c r="D91" s="42"/>
      <c r="E91" s="99"/>
      <c r="F91" s="99"/>
      <c r="G91" s="99"/>
      <c r="H91" s="99"/>
      <c r="I91" s="99"/>
      <c r="J91" s="99"/>
      <c r="K91" s="99"/>
      <c r="L91" s="99"/>
      <c r="M91" s="99"/>
      <c r="N91" s="99"/>
      <c r="O91" s="99"/>
      <c r="P91" s="99"/>
      <c r="Q91" s="99"/>
      <c r="R91" s="99"/>
      <c r="S91" s="99"/>
      <c r="T91" s="99"/>
      <c r="U91" s="99"/>
      <c r="V91" s="99"/>
      <c r="W91" s="99"/>
      <c r="BA91" s="176" t="s">
        <v>112</v>
      </c>
      <c r="BB91" s="137"/>
      <c r="BC91" s="234"/>
      <c r="BD91" s="184"/>
    </row>
    <row r="92" spans="1:56" x14ac:dyDescent="0.2">
      <c r="A92" s="45" t="s">
        <v>112</v>
      </c>
      <c r="B92" s="211"/>
      <c r="C92" s="103"/>
      <c r="D92" s="42"/>
      <c r="E92" s="99"/>
      <c r="F92" s="99"/>
      <c r="G92" s="99"/>
      <c r="H92" s="99"/>
      <c r="I92" s="99"/>
      <c r="J92" s="99"/>
      <c r="K92" s="99"/>
      <c r="L92" s="99"/>
      <c r="M92" s="99"/>
      <c r="N92" s="99"/>
      <c r="O92" s="99"/>
      <c r="P92" s="99"/>
      <c r="Q92" s="99"/>
      <c r="R92" s="99"/>
      <c r="S92" s="99"/>
      <c r="T92" s="99"/>
      <c r="U92" s="99"/>
      <c r="V92" s="99"/>
      <c r="W92" s="99"/>
      <c r="BA92" s="176" t="s">
        <v>167</v>
      </c>
      <c r="BB92" s="137"/>
      <c r="BC92" s="234"/>
      <c r="BD92" s="184"/>
    </row>
    <row r="93" spans="1:56" x14ac:dyDescent="0.2">
      <c r="A93" s="45" t="s">
        <v>167</v>
      </c>
      <c r="B93" s="211"/>
      <c r="C93" s="103"/>
      <c r="D93" s="42"/>
      <c r="E93" s="99"/>
      <c r="F93" s="99"/>
      <c r="G93" s="99"/>
      <c r="H93" s="99"/>
      <c r="I93" s="99"/>
      <c r="J93" s="99"/>
      <c r="K93" s="99"/>
      <c r="L93" s="99"/>
      <c r="M93" s="99"/>
      <c r="N93" s="99"/>
      <c r="O93" s="99"/>
      <c r="P93" s="99"/>
      <c r="Q93" s="99"/>
      <c r="R93" s="99"/>
      <c r="S93" s="99"/>
      <c r="T93" s="99"/>
      <c r="U93" s="99"/>
      <c r="V93" s="99"/>
      <c r="W93" s="99"/>
      <c r="BA93" s="176" t="s">
        <v>113</v>
      </c>
      <c r="BB93" s="186">
        <f>B94</f>
        <v>0.8</v>
      </c>
      <c r="BC93" s="184">
        <f>C94</f>
        <v>0</v>
      </c>
    </row>
    <row r="94" spans="1:56" x14ac:dyDescent="0.2">
      <c r="A94" s="45" t="s">
        <v>113</v>
      </c>
      <c r="B94" s="103">
        <f>Calculations!AC43</f>
        <v>0.8</v>
      </c>
      <c r="C94" s="103">
        <f>Calculations!AD43</f>
        <v>0</v>
      </c>
      <c r="D94" s="42"/>
      <c r="E94" s="99"/>
      <c r="F94" s="99"/>
      <c r="G94" s="99"/>
      <c r="H94" s="99"/>
      <c r="I94" s="99"/>
      <c r="J94" s="99"/>
      <c r="K94" s="99"/>
      <c r="L94" s="99"/>
      <c r="M94" s="99"/>
      <c r="N94" s="99"/>
      <c r="O94" s="99"/>
      <c r="P94" s="99"/>
      <c r="Q94" s="99"/>
      <c r="R94" s="99"/>
      <c r="S94" s="99"/>
      <c r="T94" s="99"/>
      <c r="U94" s="99"/>
      <c r="V94" s="99"/>
      <c r="W94" s="99"/>
      <c r="BA94" s="176" t="s">
        <v>114</v>
      </c>
      <c r="BB94" s="258">
        <f>B95</f>
        <v>10</v>
      </c>
      <c r="BC94" s="184"/>
    </row>
    <row r="95" spans="1:56" x14ac:dyDescent="0.2">
      <c r="A95" s="45" t="s">
        <v>114</v>
      </c>
      <c r="B95" s="212">
        <f>Calculations!AC44</f>
        <v>10</v>
      </c>
      <c r="C95" s="103"/>
      <c r="D95" s="42"/>
      <c r="E95" s="99"/>
      <c r="F95" s="99"/>
      <c r="G95" s="99"/>
      <c r="H95" s="99"/>
      <c r="I95" s="99"/>
      <c r="J95" s="99"/>
      <c r="K95" s="99"/>
      <c r="L95" s="99"/>
      <c r="M95" s="99"/>
      <c r="N95" s="99"/>
      <c r="O95" s="99"/>
      <c r="P95" s="99"/>
      <c r="Q95" s="99"/>
      <c r="R95" s="99"/>
      <c r="S95" s="99"/>
      <c r="T95" s="99"/>
      <c r="U95" s="99"/>
      <c r="V95" s="99"/>
      <c r="W95" s="99"/>
      <c r="BA95" s="176" t="s">
        <v>115</v>
      </c>
      <c r="BB95" s="186">
        <f>B96</f>
        <v>0.1</v>
      </c>
      <c r="BC95" s="184"/>
    </row>
    <row r="96" spans="1:56" x14ac:dyDescent="0.2">
      <c r="A96" s="45" t="s">
        <v>115</v>
      </c>
      <c r="B96" s="103">
        <f>Calculations!AC45</f>
        <v>0.1</v>
      </c>
      <c r="C96" s="103"/>
      <c r="D96" s="42"/>
      <c r="E96" s="99"/>
      <c r="F96" s="99"/>
      <c r="G96" s="99"/>
      <c r="H96" s="99"/>
      <c r="I96" s="99"/>
      <c r="J96" s="99"/>
      <c r="K96" s="99"/>
      <c r="L96" s="99"/>
      <c r="M96" s="99"/>
      <c r="N96" s="99"/>
      <c r="O96" s="99"/>
      <c r="P96" s="99"/>
      <c r="Q96" s="99"/>
      <c r="R96" s="99"/>
      <c r="S96" s="99"/>
      <c r="T96" s="99"/>
      <c r="U96" s="99"/>
      <c r="V96" s="99"/>
      <c r="W96" s="99"/>
      <c r="BA96" s="176" t="s">
        <v>149</v>
      </c>
      <c r="BB96" s="234"/>
      <c r="BC96" s="184"/>
    </row>
    <row r="97" spans="1:56" x14ac:dyDescent="0.2">
      <c r="A97" s="45" t="s">
        <v>149</v>
      </c>
      <c r="B97" s="211"/>
      <c r="C97" s="103"/>
      <c r="D97" s="42"/>
      <c r="E97" s="99"/>
      <c r="F97" s="99"/>
      <c r="G97" s="99"/>
      <c r="H97" s="99"/>
      <c r="I97" s="99"/>
      <c r="J97" s="99"/>
      <c r="K97" s="99"/>
      <c r="L97" s="99"/>
      <c r="M97" s="99"/>
      <c r="N97" s="99"/>
      <c r="O97" s="99"/>
      <c r="P97" s="99"/>
      <c r="Q97" s="99"/>
      <c r="R97" s="99"/>
      <c r="S97" s="99"/>
      <c r="T97" s="99"/>
      <c r="U97" s="99"/>
      <c r="V97" s="99"/>
      <c r="W97" s="99"/>
      <c r="BA97" s="176" t="s">
        <v>345</v>
      </c>
      <c r="BB97" s="257">
        <f t="shared" ref="BB97:BB104" si="20">B98</f>
        <v>0</v>
      </c>
      <c r="BC97" s="184"/>
    </row>
    <row r="98" spans="1:56" x14ac:dyDescent="0.2">
      <c r="A98" s="45" t="s">
        <v>345</v>
      </c>
      <c r="B98" s="103">
        <f>Calculations!AC47</f>
        <v>0</v>
      </c>
      <c r="C98" s="103"/>
      <c r="D98" s="42"/>
      <c r="E98" s="99"/>
      <c r="F98" s="99"/>
      <c r="G98" s="99"/>
      <c r="H98" s="99"/>
      <c r="I98" s="99"/>
      <c r="J98" s="99"/>
      <c r="K98" s="99"/>
      <c r="L98" s="99"/>
      <c r="M98" s="99"/>
      <c r="N98" s="99"/>
      <c r="O98" s="99"/>
      <c r="P98" s="99"/>
      <c r="Q98" s="99"/>
      <c r="R98" s="99"/>
      <c r="S98" s="99"/>
      <c r="T98" s="99"/>
      <c r="U98" s="99"/>
      <c r="V98" s="99"/>
      <c r="W98" s="99"/>
      <c r="BA98" s="176" t="s">
        <v>195</v>
      </c>
      <c r="BB98" s="257">
        <f t="shared" si="20"/>
        <v>0</v>
      </c>
      <c r="BC98" s="184"/>
    </row>
    <row r="99" spans="1:56" x14ac:dyDescent="0.2">
      <c r="A99" s="45" t="s">
        <v>195</v>
      </c>
      <c r="B99" s="103">
        <f>Calculations!AC48</f>
        <v>0</v>
      </c>
      <c r="C99" s="103"/>
      <c r="D99" s="42"/>
      <c r="E99" s="99"/>
      <c r="F99" s="99"/>
      <c r="G99" s="99"/>
      <c r="H99" s="99"/>
      <c r="I99" s="99"/>
      <c r="J99" s="99"/>
      <c r="K99" s="99"/>
      <c r="L99" s="99"/>
      <c r="M99" s="99"/>
      <c r="N99" s="99"/>
      <c r="O99" s="99"/>
      <c r="P99" s="99"/>
      <c r="Q99" s="99"/>
      <c r="R99" s="99"/>
      <c r="S99" s="99"/>
      <c r="T99" s="99"/>
      <c r="U99" s="99"/>
      <c r="V99" s="99"/>
      <c r="W99" s="99"/>
      <c r="BA99" s="176" t="s">
        <v>194</v>
      </c>
      <c r="BB99" s="257">
        <f t="shared" si="20"/>
        <v>0</v>
      </c>
      <c r="BC99" s="184"/>
    </row>
    <row r="100" spans="1:56" x14ac:dyDescent="0.2">
      <c r="A100" s="45" t="s">
        <v>194</v>
      </c>
      <c r="B100" s="103">
        <f>Calculations!AC49</f>
        <v>0</v>
      </c>
      <c r="C100" s="103"/>
      <c r="D100" s="42"/>
      <c r="E100" s="99"/>
      <c r="F100" s="99"/>
      <c r="G100" s="99"/>
      <c r="H100" s="99"/>
      <c r="I100" s="99"/>
      <c r="J100" s="99"/>
      <c r="K100" s="99"/>
      <c r="L100" s="99"/>
      <c r="M100" s="99"/>
      <c r="N100" s="99"/>
      <c r="O100" s="99"/>
      <c r="P100" s="99"/>
      <c r="Q100" s="99"/>
      <c r="R100" s="99"/>
      <c r="S100" s="99"/>
      <c r="T100" s="99"/>
      <c r="U100" s="99"/>
      <c r="V100" s="99"/>
      <c r="W100" s="99"/>
      <c r="BA100" s="176" t="s">
        <v>193</v>
      </c>
      <c r="BB100" s="150">
        <f t="shared" si="20"/>
        <v>0</v>
      </c>
      <c r="BC100" s="184"/>
    </row>
    <row r="101" spans="1:56" x14ac:dyDescent="0.2">
      <c r="A101" s="45" t="s">
        <v>193</v>
      </c>
      <c r="B101" s="211">
        <f>Calculations!AC50</f>
        <v>0</v>
      </c>
      <c r="C101" s="103"/>
      <c r="D101" s="42"/>
      <c r="E101" s="99"/>
      <c r="F101" s="99"/>
      <c r="G101" s="99"/>
      <c r="H101" s="99"/>
      <c r="I101" s="99"/>
      <c r="J101" s="99"/>
      <c r="K101" s="99"/>
      <c r="L101" s="99"/>
      <c r="M101" s="99"/>
      <c r="N101" s="99"/>
      <c r="O101" s="99"/>
      <c r="P101" s="99"/>
      <c r="Q101" s="99"/>
      <c r="R101" s="99"/>
      <c r="S101" s="99"/>
      <c r="T101" s="99"/>
      <c r="U101" s="99"/>
      <c r="V101" s="99"/>
      <c r="W101" s="99"/>
      <c r="BA101" s="180" t="s">
        <v>363</v>
      </c>
      <c r="BB101" s="257">
        <f t="shared" si="20"/>
        <v>1</v>
      </c>
    </row>
    <row r="102" spans="1:56" x14ac:dyDescent="0.2">
      <c r="A102" s="78" t="s">
        <v>363</v>
      </c>
      <c r="B102" s="103">
        <f>Calculations!AC51</f>
        <v>1</v>
      </c>
      <c r="C102" s="103"/>
      <c r="D102" s="42"/>
      <c r="E102" s="99"/>
      <c r="F102" s="99"/>
      <c r="G102" s="99"/>
      <c r="H102" s="99"/>
      <c r="I102" s="99"/>
      <c r="J102" s="99"/>
      <c r="K102" s="99"/>
      <c r="L102" s="99"/>
      <c r="M102" s="99"/>
      <c r="N102" s="99"/>
      <c r="O102" s="99"/>
      <c r="P102" s="99"/>
      <c r="Q102" s="99"/>
      <c r="R102" s="99"/>
      <c r="S102" s="99"/>
      <c r="T102" s="99"/>
      <c r="U102" s="99"/>
      <c r="V102" s="99"/>
      <c r="W102" s="99"/>
      <c r="BA102" s="176" t="s">
        <v>364</v>
      </c>
      <c r="BB102" s="150">
        <f t="shared" si="20"/>
        <v>0</v>
      </c>
      <c r="BC102" s="184">
        <f>C103</f>
        <v>1</v>
      </c>
    </row>
    <row r="103" spans="1:56" x14ac:dyDescent="0.2">
      <c r="A103" s="78" t="s">
        <v>364</v>
      </c>
      <c r="B103" s="211">
        <f>Calculations!AC52</f>
        <v>0</v>
      </c>
      <c r="C103" s="103">
        <f>Calculations!AD52</f>
        <v>1</v>
      </c>
      <c r="D103" s="42"/>
      <c r="E103" s="99"/>
      <c r="F103" s="99"/>
      <c r="G103" s="99"/>
      <c r="H103" s="99"/>
      <c r="I103" s="99"/>
      <c r="J103" s="99"/>
      <c r="K103" s="99"/>
      <c r="L103" s="99"/>
      <c r="M103" s="99"/>
      <c r="N103" s="99"/>
      <c r="O103" s="99"/>
      <c r="P103" s="99"/>
      <c r="Q103" s="99"/>
      <c r="R103" s="99"/>
      <c r="S103" s="99"/>
      <c r="T103" s="99"/>
      <c r="U103" s="99"/>
      <c r="V103" s="99"/>
      <c r="W103" s="99"/>
      <c r="BA103" s="176" t="s">
        <v>292</v>
      </c>
      <c r="BB103" s="323">
        <f t="shared" si="20"/>
        <v>8.2500000000000004E-2</v>
      </c>
      <c r="BC103" s="184">
        <f>C104</f>
        <v>1</v>
      </c>
    </row>
    <row r="104" spans="1:56" x14ac:dyDescent="0.2">
      <c r="A104" s="45" t="s">
        <v>292</v>
      </c>
      <c r="B104" s="322">
        <f>Calculations!AC53</f>
        <v>8.2500000000000004E-2</v>
      </c>
      <c r="C104" s="103">
        <f>Calculations!AD53</f>
        <v>1</v>
      </c>
      <c r="D104" s="42"/>
      <c r="E104" s="99"/>
      <c r="F104" s="99"/>
      <c r="G104" s="99"/>
      <c r="H104" s="99"/>
      <c r="I104" s="99"/>
      <c r="J104" s="99"/>
      <c r="K104" s="99"/>
      <c r="L104" s="99"/>
      <c r="M104" s="99"/>
      <c r="N104" s="99"/>
      <c r="O104" s="99"/>
      <c r="P104" s="99"/>
      <c r="Q104" s="99"/>
      <c r="R104" s="99"/>
      <c r="S104" s="99"/>
      <c r="T104" s="99"/>
      <c r="U104" s="99"/>
      <c r="V104" s="99"/>
      <c r="W104" s="99"/>
      <c r="BA104" s="180" t="s">
        <v>447</v>
      </c>
      <c r="BB104" s="323">
        <f t="shared" si="20"/>
        <v>0</v>
      </c>
    </row>
    <row r="105" spans="1:56" x14ac:dyDescent="0.2">
      <c r="A105" s="78" t="s">
        <v>447</v>
      </c>
      <c r="B105" s="429">
        <f>Calculations!AC54</f>
        <v>0</v>
      </c>
      <c r="C105" s="103"/>
      <c r="D105" s="42"/>
      <c r="E105" s="99"/>
      <c r="F105" s="99"/>
      <c r="G105" s="99"/>
      <c r="H105" s="99"/>
      <c r="I105" s="99"/>
      <c r="J105" s="99"/>
      <c r="K105" s="99"/>
      <c r="L105" s="99"/>
      <c r="M105" s="99"/>
      <c r="N105" s="99"/>
      <c r="O105" s="99"/>
      <c r="P105" s="99"/>
      <c r="Q105" s="99"/>
      <c r="R105" s="99"/>
      <c r="S105" s="99"/>
      <c r="T105" s="99"/>
      <c r="U105" s="99"/>
      <c r="V105" s="99"/>
      <c r="W105" s="99"/>
      <c r="BA105" s="359" t="s">
        <v>296</v>
      </c>
      <c r="BB105" s="360" t="s">
        <v>305</v>
      </c>
      <c r="BC105" s="295" t="s">
        <v>312</v>
      </c>
    </row>
    <row r="106" spans="1:56" x14ac:dyDescent="0.2">
      <c r="A106" s="356" t="s">
        <v>296</v>
      </c>
      <c r="B106" s="305" t="s">
        <v>305</v>
      </c>
      <c r="C106" s="303" t="s">
        <v>312</v>
      </c>
      <c r="D106" s="42"/>
      <c r="E106" s="99"/>
      <c r="F106" s="99"/>
      <c r="G106" s="99"/>
      <c r="H106" s="99"/>
      <c r="I106" s="99"/>
      <c r="J106" s="99"/>
      <c r="K106" s="99"/>
      <c r="L106" s="99"/>
      <c r="M106" s="99"/>
      <c r="N106" s="99"/>
      <c r="O106" s="99"/>
      <c r="P106" s="99"/>
      <c r="Q106" s="99"/>
      <c r="R106" s="99"/>
      <c r="S106" s="99"/>
      <c r="T106" s="99"/>
      <c r="U106" s="99"/>
      <c r="V106" s="99"/>
      <c r="W106" s="99"/>
      <c r="BA106" s="359" t="s">
        <v>375</v>
      </c>
      <c r="BC106" s="137"/>
      <c r="BD106" s="184"/>
    </row>
    <row r="107" spans="1:56" x14ac:dyDescent="0.2">
      <c r="A107" s="356" t="s">
        <v>375</v>
      </c>
      <c r="B107" s="39"/>
      <c r="C107" s="39"/>
      <c r="D107" s="39"/>
      <c r="E107" s="99"/>
      <c r="F107" s="99"/>
      <c r="G107" s="99"/>
      <c r="H107" s="99"/>
      <c r="I107" s="99"/>
      <c r="J107" s="99"/>
      <c r="K107" s="99"/>
      <c r="L107" s="99"/>
      <c r="M107" s="99"/>
      <c r="N107" s="99"/>
      <c r="O107" s="99"/>
      <c r="P107" s="99"/>
      <c r="Q107" s="99"/>
      <c r="R107" s="99"/>
      <c r="S107" s="99"/>
      <c r="T107" s="99"/>
      <c r="U107" s="99"/>
      <c r="V107" s="99"/>
      <c r="W107" s="99"/>
      <c r="BA107" s="300" t="s">
        <v>329</v>
      </c>
      <c r="BB107" s="290">
        <f>B108</f>
        <v>21.388255479352704</v>
      </c>
      <c r="BC107" s="189">
        <f>C108</f>
        <v>0.45569999999999999</v>
      </c>
    </row>
    <row r="108" spans="1:56" x14ac:dyDescent="0.2">
      <c r="A108" s="304" t="s">
        <v>329</v>
      </c>
      <c r="B108" s="357">
        <f>Calculations!E27</f>
        <v>21.388255479352704</v>
      </c>
      <c r="C108" s="358">
        <f>Calculations!G27</f>
        <v>0.45569999999999999</v>
      </c>
      <c r="D108" s="42"/>
      <c r="E108" s="99"/>
      <c r="F108" s="99"/>
      <c r="G108" s="99"/>
      <c r="H108" s="99"/>
      <c r="I108" s="99"/>
      <c r="J108" s="99"/>
      <c r="K108" s="99"/>
      <c r="L108" s="99"/>
      <c r="M108" s="99"/>
      <c r="N108" s="99"/>
      <c r="O108" s="99"/>
      <c r="P108" s="99"/>
      <c r="Q108" s="99"/>
      <c r="R108" s="99"/>
      <c r="S108" s="99"/>
      <c r="T108" s="99"/>
      <c r="U108" s="99"/>
      <c r="V108" s="99"/>
      <c r="W108" s="99"/>
      <c r="BA108" s="359" t="s">
        <v>302</v>
      </c>
      <c r="BB108" s="188"/>
      <c r="BC108" s="361"/>
    </row>
    <row r="109" spans="1:56" x14ac:dyDescent="0.2">
      <c r="A109" s="356" t="s">
        <v>302</v>
      </c>
      <c r="B109" s="45"/>
      <c r="C109" s="103"/>
      <c r="D109" s="42"/>
      <c r="E109" s="99"/>
      <c r="F109" s="99"/>
      <c r="G109" s="99"/>
      <c r="H109" s="99"/>
      <c r="I109" s="99"/>
      <c r="J109" s="99"/>
      <c r="K109" s="99"/>
      <c r="L109" s="99"/>
      <c r="M109" s="99"/>
      <c r="N109" s="99"/>
      <c r="O109" s="99"/>
      <c r="P109" s="99"/>
      <c r="Q109" s="99"/>
      <c r="R109" s="99"/>
      <c r="S109" s="99"/>
      <c r="T109" s="99"/>
      <c r="U109" s="99"/>
      <c r="V109" s="99"/>
      <c r="W109" s="99"/>
      <c r="BA109" s="137" t="s">
        <v>330</v>
      </c>
      <c r="BB109" s="290">
        <f>B110</f>
        <v>21.388255479352704</v>
      </c>
      <c r="BC109" s="189">
        <f>C110</f>
        <v>0.45569999999999999</v>
      </c>
    </row>
    <row r="110" spans="1:56" x14ac:dyDescent="0.2">
      <c r="A110" s="39" t="s">
        <v>330</v>
      </c>
      <c r="B110" s="357">
        <f>Calculations!E29</f>
        <v>21.388255479352704</v>
      </c>
      <c r="C110" s="358">
        <f>Calculations!G29</f>
        <v>0.45569999999999999</v>
      </c>
      <c r="D110" s="103"/>
      <c r="E110" s="99"/>
      <c r="F110" s="99"/>
      <c r="G110" s="99"/>
      <c r="H110" s="99"/>
      <c r="I110" s="99"/>
      <c r="J110" s="99"/>
      <c r="K110" s="99"/>
      <c r="L110" s="99"/>
      <c r="M110" s="99"/>
      <c r="N110" s="99"/>
      <c r="O110" s="99"/>
      <c r="P110" s="99"/>
      <c r="Q110" s="99"/>
      <c r="R110" s="99"/>
      <c r="S110" s="99"/>
      <c r="T110" s="99"/>
      <c r="U110" s="99"/>
      <c r="V110" s="99"/>
      <c r="W110" s="99"/>
    </row>
    <row r="111" spans="1:56" x14ac:dyDescent="0.2">
      <c r="A111" s="45"/>
      <c r="B111" s="45"/>
      <c r="C111" s="211"/>
      <c r="D111" s="103"/>
      <c r="E111" s="99"/>
      <c r="F111" s="99"/>
      <c r="G111" s="99"/>
      <c r="H111" s="99"/>
      <c r="I111" s="99"/>
      <c r="J111" s="99"/>
      <c r="K111" s="99"/>
      <c r="L111" s="99"/>
      <c r="M111" s="99"/>
      <c r="N111" s="99"/>
      <c r="O111" s="99"/>
      <c r="P111" s="99"/>
      <c r="Q111" s="99"/>
      <c r="R111" s="99"/>
      <c r="S111" s="99"/>
      <c r="T111" s="99"/>
      <c r="U111" s="99"/>
      <c r="V111" s="99"/>
      <c r="W111" s="99"/>
    </row>
    <row r="112" spans="1:56" x14ac:dyDescent="0.2">
      <c r="A112" s="45"/>
      <c r="B112" s="45"/>
      <c r="C112" s="211"/>
      <c r="D112" s="103"/>
      <c r="E112" s="99"/>
      <c r="F112" s="99"/>
      <c r="G112" s="99"/>
      <c r="H112" s="99"/>
      <c r="I112" s="99"/>
      <c r="J112" s="99"/>
      <c r="K112" s="99"/>
      <c r="L112" s="99"/>
      <c r="M112" s="99"/>
      <c r="N112" s="99"/>
      <c r="O112" s="99"/>
      <c r="P112" s="99"/>
      <c r="Q112" s="99"/>
      <c r="R112" s="99"/>
      <c r="S112" s="99"/>
      <c r="T112" s="99"/>
      <c r="U112" s="99"/>
      <c r="V112" s="99"/>
      <c r="W112" s="99"/>
    </row>
    <row r="113" spans="1:56" x14ac:dyDescent="0.2">
      <c r="A113" s="45"/>
      <c r="B113" s="45"/>
      <c r="C113" s="211"/>
      <c r="D113" s="103"/>
      <c r="E113" s="99"/>
      <c r="F113" s="99"/>
      <c r="G113" s="99"/>
      <c r="H113" s="99"/>
      <c r="I113" s="99"/>
      <c r="J113" s="99"/>
      <c r="K113" s="99"/>
      <c r="L113" s="99"/>
      <c r="M113" s="99"/>
      <c r="N113" s="99"/>
      <c r="O113" s="99"/>
      <c r="P113" s="99"/>
      <c r="Q113" s="99"/>
      <c r="R113" s="99"/>
      <c r="S113" s="99"/>
      <c r="T113" s="99"/>
      <c r="U113" s="99"/>
      <c r="V113" s="99"/>
      <c r="W113" s="99"/>
    </row>
    <row r="114" spans="1:56" x14ac:dyDescent="0.2">
      <c r="A114" s="39"/>
      <c r="B114" s="39"/>
      <c r="C114" s="39"/>
      <c r="D114" s="39"/>
      <c r="E114" s="39"/>
      <c r="F114" s="99"/>
      <c r="G114" s="99"/>
      <c r="H114" s="99"/>
      <c r="I114" s="99"/>
      <c r="J114" s="99"/>
      <c r="K114" s="99"/>
      <c r="L114" s="99"/>
      <c r="M114" s="99"/>
      <c r="N114" s="99"/>
      <c r="O114" s="99"/>
      <c r="P114" s="99"/>
      <c r="Q114" s="99"/>
      <c r="R114" s="99"/>
      <c r="S114" s="99"/>
      <c r="T114" s="99"/>
      <c r="U114" s="99"/>
      <c r="V114" s="99"/>
      <c r="W114" s="99"/>
    </row>
    <row r="115" spans="1:56" x14ac:dyDescent="0.2">
      <c r="A115" s="45"/>
      <c r="B115" s="45"/>
      <c r="C115" s="211"/>
      <c r="D115" s="103"/>
      <c r="E115" s="99"/>
      <c r="F115" s="99"/>
      <c r="G115" s="99"/>
      <c r="H115" s="99"/>
      <c r="I115" s="99"/>
      <c r="J115" s="99"/>
      <c r="K115" s="99"/>
      <c r="L115" s="99"/>
      <c r="M115" s="99"/>
      <c r="N115" s="99"/>
      <c r="O115" s="99"/>
      <c r="P115" s="99"/>
      <c r="Q115" s="99"/>
      <c r="R115" s="99"/>
      <c r="S115" s="99"/>
      <c r="T115" s="99"/>
      <c r="U115" s="99"/>
      <c r="V115" s="99"/>
      <c r="W115" s="99"/>
    </row>
    <row r="116" spans="1:56" ht="15" x14ac:dyDescent="0.25">
      <c r="A116" s="41"/>
      <c r="B116" s="39"/>
      <c r="C116" s="39"/>
      <c r="D116" s="103"/>
      <c r="E116" s="99"/>
      <c r="F116" s="99"/>
      <c r="G116" s="99"/>
      <c r="H116" s="99"/>
      <c r="I116" s="99"/>
      <c r="J116" s="99"/>
      <c r="K116" s="99"/>
      <c r="L116" s="99"/>
      <c r="M116" s="99"/>
      <c r="N116" s="99"/>
      <c r="O116" s="99"/>
      <c r="P116" s="99"/>
      <c r="Q116" s="99"/>
      <c r="R116" s="99"/>
      <c r="S116" s="99"/>
      <c r="T116" s="99"/>
      <c r="U116" s="99"/>
      <c r="V116" s="99"/>
      <c r="W116" s="99"/>
    </row>
    <row r="117" spans="1:56" x14ac:dyDescent="0.2">
      <c r="A117" s="39"/>
      <c r="B117" s="39"/>
      <c r="C117" s="39"/>
      <c r="D117" s="155"/>
      <c r="E117" s="99"/>
      <c r="F117" s="99"/>
      <c r="G117" s="99"/>
      <c r="H117" s="99"/>
      <c r="I117" s="99"/>
      <c r="J117" s="99"/>
      <c r="K117" s="99"/>
      <c r="L117" s="99"/>
      <c r="M117" s="99"/>
      <c r="N117" s="99"/>
      <c r="O117" s="99"/>
      <c r="P117" s="99"/>
      <c r="Q117" s="99"/>
      <c r="R117" s="99"/>
      <c r="S117" s="99"/>
      <c r="T117" s="99"/>
      <c r="U117" s="99"/>
      <c r="V117" s="99"/>
      <c r="W117" s="99"/>
    </row>
    <row r="118" spans="1:56" x14ac:dyDescent="0.2">
      <c r="A118" s="64"/>
      <c r="B118" s="39"/>
      <c r="C118" s="39"/>
      <c r="D118" s="103"/>
      <c r="E118" s="99"/>
      <c r="F118" s="99"/>
      <c r="G118" s="99"/>
      <c r="H118" s="99"/>
      <c r="I118" s="99"/>
      <c r="J118" s="99"/>
      <c r="K118" s="99"/>
      <c r="L118" s="99"/>
      <c r="M118" s="99"/>
      <c r="N118" s="99"/>
      <c r="O118" s="99"/>
      <c r="P118" s="99"/>
      <c r="Q118" s="99"/>
      <c r="R118" s="99"/>
      <c r="S118" s="99"/>
      <c r="T118" s="99"/>
      <c r="U118" s="99"/>
      <c r="V118" s="99"/>
      <c r="W118" s="99"/>
    </row>
    <row r="119" spans="1:56" x14ac:dyDescent="0.2">
      <c r="A119" s="65"/>
      <c r="B119" s="39"/>
      <c r="C119" s="39"/>
      <c r="D119" s="103"/>
      <c r="E119" s="99"/>
      <c r="F119" s="99"/>
      <c r="G119" s="99"/>
      <c r="H119" s="99"/>
      <c r="I119" s="99"/>
      <c r="J119" s="99"/>
      <c r="K119" s="99"/>
      <c r="L119" s="99"/>
      <c r="M119" s="99"/>
      <c r="N119" s="99"/>
      <c r="O119" s="99"/>
      <c r="P119" s="99"/>
      <c r="Q119" s="99"/>
      <c r="R119" s="99"/>
      <c r="S119" s="99"/>
      <c r="T119" s="99"/>
      <c r="U119" s="99"/>
      <c r="V119" s="99"/>
      <c r="W119" s="99"/>
    </row>
    <row r="120" spans="1:56" x14ac:dyDescent="0.2">
      <c r="A120" s="39"/>
      <c r="B120" s="39"/>
      <c r="C120" s="156"/>
      <c r="D120" s="103"/>
      <c r="E120" s="99"/>
      <c r="F120" s="99"/>
      <c r="G120" s="99"/>
      <c r="H120" s="99"/>
      <c r="I120" s="99"/>
      <c r="J120" s="99"/>
      <c r="K120" s="99"/>
      <c r="L120" s="99"/>
      <c r="M120" s="99"/>
      <c r="N120" s="99"/>
      <c r="O120" s="99"/>
      <c r="P120" s="99"/>
      <c r="Q120" s="99"/>
      <c r="R120" s="99"/>
      <c r="S120" s="99"/>
      <c r="T120" s="99"/>
      <c r="U120" s="99"/>
      <c r="V120" s="99"/>
      <c r="W120" s="99"/>
    </row>
    <row r="121" spans="1:56" x14ac:dyDescent="0.2">
      <c r="A121" s="39"/>
      <c r="B121" s="39"/>
      <c r="C121" s="46"/>
      <c r="D121" s="103"/>
      <c r="E121" s="99"/>
      <c r="F121" s="99"/>
      <c r="G121" s="99"/>
      <c r="H121" s="99"/>
      <c r="I121" s="99"/>
      <c r="J121" s="99"/>
      <c r="K121" s="99"/>
      <c r="L121" s="99"/>
      <c r="M121" s="99"/>
      <c r="N121" s="99"/>
      <c r="O121" s="99"/>
      <c r="P121" s="99"/>
      <c r="Q121" s="99"/>
      <c r="R121" s="99"/>
      <c r="S121" s="99"/>
      <c r="T121" s="99"/>
      <c r="U121" s="99"/>
      <c r="V121" s="99"/>
      <c r="W121" s="99"/>
    </row>
    <row r="122" spans="1:56" x14ac:dyDescent="0.2">
      <c r="A122" s="39"/>
      <c r="B122" s="39"/>
      <c r="C122" s="156"/>
      <c r="D122" s="103"/>
      <c r="E122" s="99"/>
      <c r="F122" s="99"/>
      <c r="G122" s="99"/>
      <c r="H122" s="99"/>
      <c r="I122" s="99"/>
      <c r="J122" s="99"/>
      <c r="K122" s="99"/>
      <c r="L122" s="99"/>
      <c r="M122" s="99"/>
      <c r="N122" s="99"/>
      <c r="O122" s="99"/>
      <c r="P122" s="99"/>
      <c r="Q122" s="99"/>
      <c r="R122" s="99"/>
      <c r="S122" s="99"/>
      <c r="T122" s="99"/>
      <c r="U122" s="99"/>
      <c r="V122" s="99"/>
      <c r="W122" s="99"/>
      <c r="BA122" s="76"/>
      <c r="BB122" s="137"/>
      <c r="BC122" s="186"/>
      <c r="BD122" s="184"/>
    </row>
    <row r="123" spans="1:56" x14ac:dyDescent="0.2">
      <c r="A123" s="64"/>
      <c r="B123" s="39"/>
      <c r="C123" s="156"/>
      <c r="D123" s="103"/>
      <c r="E123" s="99"/>
      <c r="F123" s="99"/>
      <c r="G123" s="99"/>
      <c r="H123" s="99"/>
      <c r="I123" s="99"/>
      <c r="J123" s="99"/>
      <c r="K123" s="99"/>
      <c r="L123" s="99"/>
      <c r="M123" s="99"/>
      <c r="N123" s="99"/>
      <c r="O123" s="99"/>
      <c r="P123" s="99"/>
      <c r="Q123" s="99"/>
      <c r="R123" s="99"/>
      <c r="S123" s="99"/>
      <c r="T123" s="99"/>
      <c r="U123" s="99"/>
      <c r="V123" s="99"/>
      <c r="W123" s="99"/>
      <c r="BA123" s="137"/>
      <c r="BB123" s="137"/>
      <c r="BC123" s="186"/>
      <c r="BD123" s="184"/>
    </row>
    <row r="124" spans="1:56" x14ac:dyDescent="0.2">
      <c r="A124" s="39"/>
      <c r="B124" s="39"/>
      <c r="C124" s="156"/>
      <c r="D124" s="103"/>
      <c r="E124" s="99"/>
      <c r="F124" s="99"/>
      <c r="G124" s="99"/>
      <c r="H124" s="99"/>
      <c r="I124" s="99"/>
      <c r="J124" s="99"/>
      <c r="K124" s="99"/>
      <c r="L124" s="99"/>
      <c r="M124" s="99"/>
      <c r="N124" s="99"/>
      <c r="O124" s="99"/>
      <c r="P124" s="99"/>
      <c r="Q124" s="99"/>
      <c r="R124" s="99"/>
      <c r="S124" s="99"/>
      <c r="T124" s="99"/>
      <c r="U124" s="99"/>
      <c r="V124" s="99"/>
      <c r="W124" s="99"/>
      <c r="BA124" s="137"/>
      <c r="BB124" s="137"/>
      <c r="BC124" s="186"/>
      <c r="BD124" s="186"/>
    </row>
    <row r="125" spans="1:56" x14ac:dyDescent="0.2">
      <c r="A125" s="39"/>
      <c r="B125" s="39"/>
      <c r="C125" s="156"/>
      <c r="D125" s="103"/>
      <c r="E125" s="99"/>
      <c r="F125" s="99"/>
      <c r="G125" s="99"/>
      <c r="H125" s="99"/>
      <c r="I125" s="99"/>
      <c r="J125" s="99"/>
      <c r="K125" s="99"/>
      <c r="L125" s="99"/>
      <c r="M125" s="99"/>
      <c r="N125" s="99"/>
      <c r="O125" s="99"/>
      <c r="P125" s="99"/>
      <c r="Q125" s="99"/>
      <c r="R125" s="99"/>
      <c r="S125" s="99"/>
      <c r="T125" s="99"/>
      <c r="U125" s="99"/>
      <c r="V125" s="99"/>
      <c r="W125" s="99"/>
      <c r="BA125" s="137"/>
      <c r="BB125" s="137"/>
      <c r="BC125" s="186"/>
      <c r="BD125" s="186"/>
    </row>
    <row r="126" spans="1:56" x14ac:dyDescent="0.2">
      <c r="A126" s="39"/>
      <c r="B126" s="39"/>
      <c r="C126" s="156"/>
      <c r="D126" s="103"/>
      <c r="E126" s="99"/>
      <c r="F126" s="99"/>
      <c r="G126" s="99"/>
      <c r="H126" s="99"/>
      <c r="I126" s="99"/>
      <c r="J126" s="99"/>
      <c r="K126" s="99"/>
      <c r="L126" s="99"/>
      <c r="M126" s="99"/>
      <c r="N126" s="99"/>
      <c r="O126" s="99"/>
      <c r="P126" s="99"/>
      <c r="Q126" s="99"/>
      <c r="R126" s="99"/>
      <c r="S126" s="99"/>
      <c r="T126" s="99"/>
      <c r="U126" s="99"/>
      <c r="V126" s="99"/>
      <c r="W126" s="99"/>
      <c r="BA126" s="137"/>
      <c r="BB126" s="137"/>
      <c r="BC126" s="186"/>
      <c r="BD126" s="184"/>
    </row>
    <row r="127" spans="1:56" x14ac:dyDescent="0.2">
      <c r="A127" s="39"/>
      <c r="B127" s="39"/>
      <c r="C127" s="156"/>
      <c r="D127" s="103"/>
      <c r="E127" s="99"/>
      <c r="F127" s="99"/>
      <c r="G127" s="99"/>
      <c r="H127" s="99"/>
      <c r="I127" s="99"/>
      <c r="J127" s="99"/>
      <c r="K127" s="99"/>
      <c r="L127" s="99"/>
      <c r="M127" s="99"/>
      <c r="N127" s="99"/>
      <c r="O127" s="99"/>
      <c r="P127" s="99"/>
      <c r="Q127" s="99"/>
      <c r="R127" s="99"/>
      <c r="S127" s="99"/>
      <c r="T127" s="99"/>
      <c r="U127" s="99"/>
      <c r="V127" s="99"/>
      <c r="W127" s="99"/>
      <c r="BA127" s="137"/>
      <c r="BB127" s="137"/>
      <c r="BC127" s="187"/>
      <c r="BD127" s="184"/>
    </row>
    <row r="128" spans="1:56" x14ac:dyDescent="0.2">
      <c r="A128" s="39"/>
      <c r="B128" s="39"/>
      <c r="C128" s="46"/>
      <c r="D128" s="103"/>
      <c r="E128" s="99"/>
      <c r="F128" s="99"/>
      <c r="G128" s="99"/>
      <c r="H128" s="99"/>
      <c r="I128" s="99"/>
      <c r="J128" s="99"/>
      <c r="K128" s="99"/>
      <c r="L128" s="99"/>
      <c r="M128" s="99"/>
      <c r="N128" s="99"/>
      <c r="O128" s="99"/>
      <c r="P128" s="99"/>
      <c r="Q128" s="99"/>
      <c r="R128" s="99"/>
      <c r="S128" s="99"/>
      <c r="T128" s="99"/>
      <c r="U128" s="99"/>
      <c r="V128" s="99"/>
      <c r="W128" s="99"/>
      <c r="BA128" s="76"/>
      <c r="BB128" s="137"/>
      <c r="BC128" s="188"/>
      <c r="BD128" s="184"/>
    </row>
    <row r="129" spans="1:56" x14ac:dyDescent="0.2">
      <c r="A129" s="64"/>
      <c r="B129" s="39"/>
      <c r="C129" s="46"/>
      <c r="D129" s="103"/>
      <c r="E129" s="99"/>
      <c r="F129" s="99"/>
      <c r="G129" s="99"/>
      <c r="H129" s="99"/>
      <c r="I129" s="99"/>
      <c r="J129" s="99"/>
      <c r="K129" s="99"/>
      <c r="L129" s="99"/>
      <c r="M129" s="99"/>
      <c r="N129" s="99"/>
      <c r="O129" s="99"/>
      <c r="P129" s="99"/>
      <c r="Q129" s="99"/>
      <c r="R129" s="99"/>
      <c r="S129" s="99"/>
      <c r="T129" s="99"/>
      <c r="U129" s="99"/>
      <c r="V129" s="99"/>
      <c r="W129" s="99"/>
      <c r="BA129" s="137"/>
      <c r="BB129" s="137"/>
      <c r="BC129" s="189"/>
      <c r="BD129" s="184"/>
    </row>
    <row r="130" spans="1:56" x14ac:dyDescent="0.2">
      <c r="A130" s="39"/>
      <c r="B130" s="39"/>
      <c r="C130" s="98"/>
      <c r="D130" s="103"/>
      <c r="E130" s="99"/>
      <c r="F130" s="99"/>
      <c r="G130" s="99"/>
      <c r="H130" s="99"/>
      <c r="I130" s="99"/>
      <c r="J130" s="99"/>
      <c r="K130" s="99"/>
      <c r="L130" s="99"/>
      <c r="M130" s="99"/>
      <c r="N130" s="99"/>
      <c r="O130" s="99"/>
      <c r="P130" s="99"/>
      <c r="Q130" s="99"/>
      <c r="R130" s="99"/>
      <c r="S130" s="99"/>
      <c r="T130" s="99"/>
      <c r="U130" s="99"/>
      <c r="V130" s="99"/>
      <c r="W130" s="99"/>
      <c r="BA130" s="137"/>
      <c r="BB130" s="137"/>
      <c r="BC130" s="189"/>
      <c r="BD130" s="184"/>
    </row>
    <row r="131" spans="1:56" x14ac:dyDescent="0.2">
      <c r="A131" s="39"/>
      <c r="B131" s="39"/>
      <c r="C131" s="156"/>
      <c r="D131" s="103"/>
      <c r="E131" s="99"/>
      <c r="F131" s="99"/>
      <c r="G131" s="99"/>
      <c r="H131" s="99"/>
      <c r="I131" s="99"/>
      <c r="J131" s="99"/>
      <c r="K131" s="99"/>
      <c r="L131" s="99"/>
      <c r="M131" s="99"/>
      <c r="N131" s="99"/>
      <c r="O131" s="99"/>
      <c r="P131" s="99"/>
      <c r="Q131" s="99"/>
      <c r="R131" s="99"/>
      <c r="S131" s="99"/>
      <c r="T131" s="99"/>
      <c r="U131" s="99"/>
      <c r="V131" s="99"/>
      <c r="W131" s="99"/>
      <c r="BA131" s="137"/>
      <c r="BB131" s="137"/>
      <c r="BC131" s="189"/>
      <c r="BD131" s="184"/>
    </row>
    <row r="132" spans="1:56" x14ac:dyDescent="0.2">
      <c r="A132" s="39"/>
      <c r="B132" s="39"/>
      <c r="C132" s="156"/>
      <c r="D132" s="103"/>
      <c r="E132" s="99"/>
      <c r="F132" s="99"/>
      <c r="G132" s="99"/>
      <c r="H132" s="99"/>
      <c r="I132" s="99"/>
      <c r="J132" s="99"/>
      <c r="K132" s="99"/>
      <c r="L132" s="99"/>
      <c r="M132" s="99"/>
      <c r="N132" s="99"/>
      <c r="O132" s="99"/>
      <c r="P132" s="99"/>
      <c r="Q132" s="99"/>
      <c r="R132" s="99"/>
      <c r="S132" s="99"/>
      <c r="T132" s="99"/>
      <c r="U132" s="99"/>
      <c r="V132" s="99"/>
      <c r="W132" s="99"/>
      <c r="BA132" s="137"/>
      <c r="BB132" s="137"/>
      <c r="BC132" s="190"/>
      <c r="BD132" s="184"/>
    </row>
    <row r="133" spans="1:56" x14ac:dyDescent="0.2">
      <c r="A133" s="39"/>
      <c r="B133" s="39"/>
      <c r="C133" s="44"/>
      <c r="D133" s="103"/>
      <c r="E133" s="99"/>
      <c r="F133" s="99"/>
      <c r="G133" s="99"/>
      <c r="H133" s="99"/>
      <c r="I133" s="99"/>
      <c r="J133" s="99"/>
      <c r="K133" s="99"/>
      <c r="L133" s="99"/>
      <c r="M133" s="99"/>
      <c r="N133" s="99"/>
      <c r="O133" s="99"/>
      <c r="P133" s="99"/>
      <c r="Q133" s="99"/>
      <c r="R133" s="99"/>
      <c r="S133" s="99"/>
      <c r="T133" s="99"/>
      <c r="U133" s="99"/>
      <c r="V133" s="99"/>
      <c r="W133" s="99"/>
      <c r="BA133" s="137"/>
      <c r="BB133" s="137"/>
      <c r="BC133" s="190"/>
      <c r="BD133" s="186"/>
    </row>
    <row r="134" spans="1:56" x14ac:dyDescent="0.2">
      <c r="A134" s="39"/>
      <c r="B134" s="39"/>
      <c r="C134" s="44"/>
      <c r="D134" s="103"/>
      <c r="E134" s="99"/>
      <c r="F134" s="99"/>
      <c r="G134" s="99"/>
      <c r="H134" s="99"/>
      <c r="I134" s="99"/>
      <c r="J134" s="99"/>
      <c r="K134" s="99"/>
      <c r="L134" s="99"/>
      <c r="M134" s="99"/>
      <c r="N134" s="99"/>
      <c r="O134" s="99"/>
      <c r="P134" s="99"/>
      <c r="Q134" s="99"/>
      <c r="R134" s="99"/>
      <c r="S134" s="99"/>
      <c r="T134" s="99"/>
      <c r="U134" s="99"/>
      <c r="V134" s="99"/>
      <c r="W134" s="99"/>
      <c r="BA134" s="76"/>
      <c r="BB134" s="137"/>
      <c r="BC134" s="190"/>
      <c r="BD134" s="184"/>
    </row>
    <row r="135" spans="1:56" x14ac:dyDescent="0.2">
      <c r="A135" s="64"/>
      <c r="B135" s="39"/>
      <c r="C135" s="46"/>
      <c r="D135" s="103"/>
      <c r="E135" s="99"/>
      <c r="F135" s="99"/>
      <c r="G135" s="99"/>
      <c r="H135" s="99"/>
      <c r="I135" s="99"/>
      <c r="J135" s="99"/>
      <c r="K135" s="99"/>
      <c r="L135" s="99"/>
      <c r="M135" s="99"/>
      <c r="N135" s="99"/>
      <c r="O135" s="99"/>
      <c r="P135" s="99"/>
      <c r="Q135" s="99"/>
      <c r="R135" s="99"/>
      <c r="S135" s="99"/>
      <c r="T135" s="99"/>
      <c r="U135" s="99"/>
      <c r="V135" s="99"/>
      <c r="W135" s="99"/>
      <c r="BA135" s="137"/>
      <c r="BB135" s="137"/>
      <c r="BC135" s="190"/>
      <c r="BD135" s="184"/>
    </row>
    <row r="136" spans="1:56" x14ac:dyDescent="0.2">
      <c r="A136" s="39"/>
      <c r="B136" s="39"/>
      <c r="C136" s="44"/>
      <c r="D136" s="103"/>
      <c r="E136" s="99"/>
      <c r="F136" s="99"/>
      <c r="G136" s="99"/>
      <c r="H136" s="99"/>
      <c r="I136" s="99"/>
      <c r="J136" s="99"/>
      <c r="K136" s="99"/>
      <c r="L136" s="99"/>
      <c r="M136" s="99"/>
      <c r="N136" s="99"/>
      <c r="O136" s="99"/>
      <c r="P136" s="99"/>
      <c r="Q136" s="99"/>
      <c r="R136" s="99"/>
      <c r="S136" s="99"/>
      <c r="T136" s="99"/>
      <c r="U136" s="99"/>
      <c r="V136" s="99"/>
      <c r="W136" s="99"/>
      <c r="BA136" s="137"/>
      <c r="BB136" s="137"/>
      <c r="BC136" s="190"/>
      <c r="BD136" s="184"/>
    </row>
    <row r="137" spans="1:56" x14ac:dyDescent="0.2">
      <c r="A137" s="39"/>
      <c r="B137" s="39"/>
      <c r="C137" s="44"/>
      <c r="D137" s="103"/>
      <c r="E137" s="99"/>
      <c r="F137" s="99"/>
      <c r="G137" s="99"/>
      <c r="H137" s="99"/>
      <c r="I137" s="99"/>
      <c r="J137" s="99"/>
      <c r="K137" s="99"/>
      <c r="L137" s="99"/>
      <c r="M137" s="99"/>
      <c r="N137" s="99"/>
      <c r="O137" s="99"/>
      <c r="P137" s="99"/>
      <c r="Q137" s="99"/>
      <c r="R137" s="99"/>
      <c r="S137" s="99"/>
      <c r="T137" s="99"/>
      <c r="U137" s="99"/>
      <c r="V137" s="99"/>
      <c r="W137" s="99"/>
      <c r="BA137" s="137"/>
      <c r="BB137" s="137"/>
      <c r="BC137" s="188"/>
      <c r="BD137" s="186"/>
    </row>
    <row r="138" spans="1:56" x14ac:dyDescent="0.2">
      <c r="A138" s="39"/>
      <c r="B138" s="39"/>
      <c r="C138" s="46"/>
      <c r="D138" s="103"/>
      <c r="E138" s="99"/>
      <c r="F138" s="99"/>
      <c r="G138" s="99"/>
      <c r="H138" s="99"/>
      <c r="I138" s="99"/>
      <c r="J138" s="99"/>
      <c r="K138" s="99"/>
      <c r="L138" s="99"/>
      <c r="M138" s="99"/>
      <c r="N138" s="99"/>
      <c r="O138" s="99"/>
      <c r="P138" s="99"/>
      <c r="Q138" s="99"/>
      <c r="R138" s="99"/>
      <c r="S138" s="99"/>
      <c r="T138" s="99"/>
      <c r="U138" s="99"/>
      <c r="V138" s="99"/>
      <c r="W138" s="99"/>
      <c r="BA138" s="76"/>
      <c r="BB138" s="137"/>
      <c r="BC138" s="76"/>
      <c r="BD138" s="183"/>
    </row>
    <row r="139" spans="1:56" x14ac:dyDescent="0.2">
      <c r="A139" s="64"/>
      <c r="B139" s="39"/>
      <c r="C139" s="64"/>
      <c r="D139" s="155"/>
      <c r="E139" s="99"/>
      <c r="F139" s="99"/>
      <c r="G139" s="99"/>
      <c r="H139" s="99"/>
      <c r="I139" s="99"/>
      <c r="J139" s="99"/>
      <c r="K139" s="99"/>
      <c r="L139" s="99"/>
      <c r="M139" s="99"/>
      <c r="N139" s="99"/>
      <c r="O139" s="99"/>
      <c r="P139" s="99"/>
      <c r="Q139" s="99"/>
      <c r="R139" s="99"/>
      <c r="S139" s="99"/>
      <c r="T139" s="99"/>
      <c r="U139" s="99"/>
      <c r="V139" s="99"/>
      <c r="W139" s="99"/>
      <c r="BA139" s="137"/>
      <c r="BB139" s="137"/>
      <c r="BC139" s="191"/>
      <c r="BD139" s="190"/>
    </row>
    <row r="140" spans="1:56" x14ac:dyDescent="0.2">
      <c r="A140" s="39"/>
      <c r="B140" s="39"/>
      <c r="C140" s="72"/>
      <c r="D140" s="157"/>
      <c r="E140" s="99"/>
      <c r="F140" s="99"/>
      <c r="G140" s="99"/>
      <c r="H140" s="99"/>
      <c r="I140" s="99"/>
      <c r="J140" s="99"/>
      <c r="K140" s="99"/>
      <c r="L140" s="99"/>
      <c r="M140" s="99"/>
      <c r="N140" s="99"/>
      <c r="O140" s="99"/>
      <c r="P140" s="99"/>
      <c r="Q140" s="99"/>
      <c r="R140" s="99"/>
      <c r="S140" s="99"/>
      <c r="T140" s="99"/>
      <c r="U140" s="99"/>
      <c r="V140" s="99"/>
      <c r="W140" s="99"/>
      <c r="BA140" s="137"/>
      <c r="BB140" s="137"/>
      <c r="BC140" s="191"/>
      <c r="BD140" s="190"/>
    </row>
    <row r="141" spans="1:56" x14ac:dyDescent="0.2">
      <c r="A141" s="39"/>
      <c r="B141" s="39"/>
      <c r="C141" s="72"/>
      <c r="D141" s="157"/>
      <c r="E141" s="99"/>
      <c r="F141" s="99"/>
      <c r="G141" s="99"/>
      <c r="H141" s="99"/>
      <c r="I141" s="99"/>
      <c r="J141" s="99"/>
      <c r="K141" s="99"/>
      <c r="L141" s="99"/>
      <c r="M141" s="99"/>
      <c r="N141" s="99"/>
      <c r="O141" s="99"/>
      <c r="P141" s="99"/>
      <c r="Q141" s="99"/>
      <c r="R141" s="99"/>
      <c r="S141" s="99"/>
      <c r="T141" s="99"/>
      <c r="U141" s="99"/>
      <c r="V141" s="99"/>
      <c r="W141" s="99"/>
      <c r="BA141" s="137"/>
      <c r="BB141" s="137"/>
      <c r="BC141" s="191"/>
      <c r="BD141" s="190"/>
    </row>
    <row r="142" spans="1:56" x14ac:dyDescent="0.2">
      <c r="A142" s="39"/>
      <c r="B142" s="39"/>
      <c r="C142" s="72"/>
      <c r="D142" s="157"/>
      <c r="E142" s="99"/>
      <c r="F142" s="99"/>
      <c r="G142" s="99"/>
      <c r="H142" s="99"/>
      <c r="I142" s="99"/>
      <c r="J142" s="99"/>
      <c r="K142" s="99"/>
      <c r="L142" s="99"/>
      <c r="M142" s="99"/>
      <c r="N142" s="99"/>
      <c r="O142" s="99"/>
      <c r="P142" s="99"/>
      <c r="Q142" s="99"/>
      <c r="R142" s="99"/>
      <c r="S142" s="99"/>
      <c r="T142" s="99"/>
      <c r="U142" s="99"/>
      <c r="V142" s="99"/>
      <c r="W142" s="99"/>
      <c r="BA142" s="137"/>
    </row>
    <row r="143" spans="1:56" x14ac:dyDescent="0.2">
      <c r="A143" s="99"/>
      <c r="B143" s="99"/>
      <c r="C143" s="99"/>
      <c r="D143" s="99"/>
      <c r="E143" s="99"/>
      <c r="F143" s="99"/>
      <c r="G143" s="99"/>
      <c r="H143" s="99"/>
      <c r="I143" s="99"/>
      <c r="J143" s="99"/>
      <c r="K143" s="99"/>
      <c r="L143" s="99"/>
      <c r="M143" s="99"/>
      <c r="N143" s="99"/>
      <c r="O143" s="99"/>
      <c r="P143" s="99"/>
      <c r="Q143" s="99"/>
      <c r="R143" s="99"/>
      <c r="S143" s="99"/>
      <c r="T143" s="99"/>
      <c r="U143" s="99"/>
      <c r="V143" s="99"/>
      <c r="W143" s="99"/>
      <c r="BA143" s="137"/>
    </row>
    <row r="144" spans="1:56" x14ac:dyDescent="0.2">
      <c r="A144" s="99"/>
      <c r="B144" s="99"/>
      <c r="C144" s="99"/>
      <c r="D144" s="99"/>
      <c r="E144" s="99"/>
      <c r="F144" s="99"/>
      <c r="G144" s="99"/>
      <c r="H144" s="99"/>
      <c r="I144" s="99"/>
      <c r="J144" s="99"/>
      <c r="K144" s="99"/>
      <c r="L144" s="99"/>
      <c r="M144" s="99"/>
      <c r="N144" s="99"/>
      <c r="O144" s="99"/>
      <c r="P144" s="99"/>
      <c r="Q144" s="99"/>
      <c r="R144" s="99"/>
      <c r="S144" s="99"/>
      <c r="T144" s="99"/>
      <c r="U144" s="99"/>
      <c r="V144" s="99"/>
      <c r="W144" s="99"/>
      <c r="BA144" s="137"/>
    </row>
    <row r="145" spans="1:53" x14ac:dyDescent="0.2">
      <c r="A145" s="99"/>
      <c r="B145" s="99"/>
      <c r="C145" s="99"/>
      <c r="D145" s="99"/>
      <c r="E145" s="99"/>
      <c r="F145" s="99"/>
      <c r="G145" s="99"/>
      <c r="H145" s="99"/>
      <c r="I145" s="99"/>
      <c r="J145" s="99"/>
      <c r="K145" s="99"/>
      <c r="L145" s="99"/>
      <c r="M145" s="99"/>
      <c r="N145" s="99"/>
      <c r="O145" s="99"/>
      <c r="P145" s="99"/>
      <c r="Q145" s="99"/>
      <c r="R145" s="99"/>
      <c r="S145" s="99"/>
      <c r="T145" s="99"/>
      <c r="U145" s="99"/>
      <c r="V145" s="99"/>
      <c r="W145" s="99"/>
      <c r="BA145" s="137"/>
    </row>
    <row r="146" spans="1:53" x14ac:dyDescent="0.2">
      <c r="A146" s="99"/>
      <c r="B146" s="99"/>
      <c r="C146" s="99"/>
      <c r="D146" s="99"/>
      <c r="E146" s="99"/>
      <c r="F146" s="99"/>
      <c r="G146" s="99"/>
      <c r="H146" s="99"/>
      <c r="I146" s="99"/>
      <c r="J146" s="99"/>
      <c r="K146" s="99"/>
      <c r="L146" s="99"/>
      <c r="M146" s="99"/>
      <c r="N146" s="99"/>
      <c r="O146" s="99"/>
      <c r="P146" s="99"/>
      <c r="Q146" s="99"/>
      <c r="R146" s="99"/>
      <c r="S146" s="99"/>
      <c r="T146" s="99"/>
      <c r="U146" s="99"/>
      <c r="V146" s="99"/>
      <c r="W146" s="99"/>
      <c r="BA146" s="137"/>
    </row>
    <row r="147" spans="1:53" x14ac:dyDescent="0.2">
      <c r="A147" s="99"/>
      <c r="B147" s="99"/>
      <c r="C147" s="99"/>
      <c r="D147" s="99"/>
      <c r="E147" s="99"/>
      <c r="F147" s="99"/>
      <c r="G147" s="99"/>
      <c r="H147" s="99"/>
      <c r="I147" s="99"/>
      <c r="J147" s="99"/>
      <c r="K147" s="99"/>
      <c r="L147" s="99"/>
      <c r="M147" s="99"/>
      <c r="N147" s="99"/>
      <c r="O147" s="99"/>
      <c r="P147" s="99"/>
      <c r="Q147" s="99"/>
      <c r="R147" s="99"/>
      <c r="S147" s="99"/>
      <c r="T147" s="99"/>
      <c r="U147" s="99"/>
      <c r="V147" s="99"/>
      <c r="W147" s="99"/>
      <c r="BA147" s="137"/>
    </row>
    <row r="148" spans="1:53" x14ac:dyDescent="0.2">
      <c r="A148" s="99"/>
      <c r="B148" s="99"/>
      <c r="C148" s="99"/>
      <c r="D148" s="99"/>
      <c r="E148" s="99"/>
      <c r="F148" s="99"/>
      <c r="G148" s="99"/>
      <c r="H148" s="99"/>
      <c r="I148" s="99"/>
      <c r="J148" s="99"/>
      <c r="K148" s="99"/>
      <c r="L148" s="99"/>
      <c r="M148" s="99"/>
      <c r="N148" s="99"/>
      <c r="O148" s="99"/>
      <c r="P148" s="99"/>
      <c r="Q148" s="99"/>
      <c r="R148" s="99"/>
      <c r="S148" s="99"/>
      <c r="T148" s="99"/>
      <c r="U148" s="99"/>
      <c r="V148" s="99"/>
      <c r="W148" s="99"/>
      <c r="BA148" s="137"/>
    </row>
    <row r="149" spans="1:53" x14ac:dyDescent="0.2">
      <c r="A149" s="99"/>
      <c r="B149" s="99"/>
      <c r="C149" s="99"/>
      <c r="D149" s="99"/>
      <c r="E149" s="99"/>
      <c r="F149" s="99"/>
      <c r="G149" s="99"/>
      <c r="H149" s="99"/>
      <c r="I149" s="99"/>
      <c r="J149" s="99"/>
      <c r="K149" s="99"/>
      <c r="L149" s="99"/>
      <c r="M149" s="99"/>
      <c r="N149" s="99"/>
      <c r="O149" s="99"/>
      <c r="P149" s="99"/>
      <c r="Q149" s="99"/>
      <c r="R149" s="99"/>
      <c r="S149" s="99"/>
      <c r="T149" s="99"/>
      <c r="U149" s="99"/>
      <c r="V149" s="99"/>
      <c r="W149" s="99"/>
      <c r="BA149" s="137"/>
    </row>
    <row r="150" spans="1:53" x14ac:dyDescent="0.2">
      <c r="A150" s="99"/>
      <c r="B150" s="99"/>
      <c r="C150" s="99"/>
      <c r="D150" s="99"/>
      <c r="E150" s="99"/>
      <c r="F150" s="99"/>
      <c r="G150" s="99"/>
      <c r="H150" s="99"/>
      <c r="I150" s="99"/>
      <c r="J150" s="99"/>
      <c r="K150" s="99"/>
      <c r="L150" s="99"/>
      <c r="M150" s="99"/>
      <c r="N150" s="99"/>
      <c r="O150" s="99"/>
      <c r="P150" s="99"/>
      <c r="Q150" s="99"/>
      <c r="R150" s="99"/>
      <c r="S150" s="99"/>
      <c r="T150" s="99"/>
      <c r="U150" s="99"/>
      <c r="V150" s="99"/>
      <c r="W150" s="99"/>
      <c r="BA150" s="137"/>
    </row>
    <row r="151" spans="1:53" x14ac:dyDescent="0.2">
      <c r="A151" s="99"/>
      <c r="B151" s="99"/>
      <c r="C151" s="99"/>
      <c r="D151" s="99"/>
      <c r="E151" s="99"/>
      <c r="F151" s="99"/>
      <c r="G151" s="99"/>
      <c r="H151" s="99"/>
      <c r="I151" s="99"/>
      <c r="J151" s="99"/>
      <c r="K151" s="99"/>
      <c r="L151" s="99"/>
      <c r="M151" s="99"/>
      <c r="N151" s="99"/>
      <c r="O151" s="99"/>
      <c r="P151" s="99"/>
      <c r="Q151" s="99"/>
      <c r="R151" s="99"/>
      <c r="S151" s="99"/>
      <c r="T151" s="99"/>
      <c r="U151" s="99"/>
      <c r="V151" s="99"/>
      <c r="W151" s="99"/>
      <c r="BA151" s="137"/>
    </row>
    <row r="152" spans="1:53" x14ac:dyDescent="0.2">
      <c r="A152" s="99"/>
      <c r="B152" s="99"/>
      <c r="C152" s="99"/>
      <c r="D152" s="99"/>
      <c r="E152" s="99"/>
      <c r="F152" s="99"/>
      <c r="G152" s="99"/>
      <c r="H152" s="99"/>
      <c r="I152" s="99"/>
      <c r="J152" s="99"/>
      <c r="K152" s="99"/>
      <c r="L152" s="99"/>
      <c r="M152" s="99"/>
      <c r="N152" s="99"/>
      <c r="O152" s="99"/>
      <c r="P152" s="99"/>
      <c r="Q152" s="99"/>
      <c r="R152" s="99"/>
      <c r="S152" s="99"/>
      <c r="T152" s="99"/>
      <c r="U152" s="99"/>
      <c r="V152" s="99"/>
      <c r="W152" s="99"/>
      <c r="BA152" s="137"/>
    </row>
    <row r="153" spans="1:53" x14ac:dyDescent="0.2">
      <c r="A153" s="99"/>
      <c r="B153" s="99"/>
      <c r="C153" s="99"/>
      <c r="D153" s="99"/>
      <c r="E153" s="99"/>
      <c r="F153" s="99"/>
      <c r="G153" s="99"/>
      <c r="H153" s="99"/>
      <c r="I153" s="99"/>
      <c r="J153" s="99"/>
      <c r="K153" s="99"/>
      <c r="L153" s="99"/>
      <c r="M153" s="99"/>
      <c r="N153" s="99"/>
      <c r="O153" s="99"/>
      <c r="P153" s="99"/>
      <c r="Q153" s="99"/>
      <c r="R153" s="99"/>
      <c r="S153" s="99"/>
      <c r="T153" s="99"/>
      <c r="U153" s="99"/>
      <c r="V153" s="99"/>
      <c r="W153" s="99"/>
      <c r="BA153" s="137"/>
    </row>
    <row r="154" spans="1:53" x14ac:dyDescent="0.2">
      <c r="A154" s="99"/>
      <c r="B154" s="99"/>
      <c r="C154" s="99"/>
      <c r="D154" s="99"/>
      <c r="E154" s="99"/>
      <c r="F154" s="99"/>
      <c r="G154" s="99"/>
      <c r="H154" s="99"/>
      <c r="I154" s="99"/>
      <c r="J154" s="99"/>
      <c r="K154" s="99"/>
      <c r="L154" s="99"/>
      <c r="M154" s="99"/>
      <c r="N154" s="99"/>
      <c r="O154" s="99"/>
      <c r="P154" s="99"/>
      <c r="Q154" s="99"/>
      <c r="R154" s="99"/>
      <c r="S154" s="99"/>
      <c r="T154" s="99"/>
      <c r="U154" s="99"/>
      <c r="V154" s="99"/>
      <c r="W154" s="99"/>
      <c r="BA154" s="137"/>
    </row>
    <row r="155" spans="1:53" x14ac:dyDescent="0.2">
      <c r="A155" s="99"/>
      <c r="B155" s="99"/>
      <c r="C155" s="99"/>
      <c r="D155" s="99"/>
      <c r="E155" s="99"/>
      <c r="F155" s="99"/>
      <c r="G155" s="99"/>
      <c r="H155" s="99"/>
      <c r="I155" s="99"/>
      <c r="J155" s="99"/>
      <c r="K155" s="99"/>
      <c r="L155" s="99"/>
      <c r="M155" s="99"/>
      <c r="N155" s="99"/>
      <c r="O155" s="99"/>
      <c r="P155" s="99"/>
      <c r="Q155" s="99"/>
      <c r="R155" s="99"/>
      <c r="S155" s="99"/>
      <c r="T155" s="99"/>
      <c r="U155" s="99"/>
      <c r="V155" s="99"/>
      <c r="W155" s="99"/>
      <c r="BA155" s="137"/>
    </row>
    <row r="156" spans="1:53" x14ac:dyDescent="0.2">
      <c r="A156" s="99"/>
      <c r="B156" s="99"/>
      <c r="C156" s="99"/>
      <c r="D156" s="99"/>
      <c r="E156" s="99"/>
      <c r="F156" s="99"/>
      <c r="G156" s="99"/>
      <c r="H156" s="99"/>
      <c r="I156" s="99"/>
      <c r="J156" s="99"/>
      <c r="K156" s="99"/>
      <c r="L156" s="99"/>
      <c r="M156" s="99"/>
      <c r="N156" s="99"/>
      <c r="O156" s="99"/>
      <c r="P156" s="99"/>
      <c r="Q156" s="99"/>
      <c r="R156" s="99"/>
      <c r="S156" s="99"/>
      <c r="T156" s="99"/>
      <c r="U156" s="99"/>
      <c r="V156" s="99"/>
      <c r="W156" s="99"/>
      <c r="BA156" s="137"/>
    </row>
    <row r="157" spans="1:53" x14ac:dyDescent="0.2">
      <c r="BA157" s="137"/>
    </row>
    <row r="158" spans="1:53" x14ac:dyDescent="0.2">
      <c r="BA158" s="137"/>
    </row>
    <row r="159" spans="1:53" x14ac:dyDescent="0.2">
      <c r="BA159" s="137"/>
    </row>
    <row r="160" spans="1:53" x14ac:dyDescent="0.2">
      <c r="BA160" s="137"/>
    </row>
    <row r="161" spans="53:53" x14ac:dyDescent="0.2">
      <c r="BA161" s="137"/>
    </row>
    <row r="162" spans="53:53" x14ac:dyDescent="0.2">
      <c r="BA162" s="137"/>
    </row>
    <row r="163" spans="53:53" x14ac:dyDescent="0.2">
      <c r="BA163" s="137"/>
    </row>
    <row r="164" spans="53:53" x14ac:dyDescent="0.2">
      <c r="BA164" s="137"/>
    </row>
    <row r="165" spans="53:53" x14ac:dyDescent="0.2">
      <c r="BA165" s="137"/>
    </row>
    <row r="166" spans="53:53" x14ac:dyDescent="0.2">
      <c r="BA166" s="137"/>
    </row>
    <row r="167" spans="53:53" x14ac:dyDescent="0.2">
      <c r="BA167" s="137"/>
    </row>
    <row r="168" spans="53:53" x14ac:dyDescent="0.2">
      <c r="BA168" s="137"/>
    </row>
    <row r="169" spans="53:53" x14ac:dyDescent="0.2">
      <c r="BA169" s="137"/>
    </row>
    <row r="170" spans="53:53" x14ac:dyDescent="0.2">
      <c r="BA170" s="137"/>
    </row>
    <row r="171" spans="53:53" x14ac:dyDescent="0.2">
      <c r="BA171" s="137"/>
    </row>
    <row r="172" spans="53:53" x14ac:dyDescent="0.2">
      <c r="BA172" s="137"/>
    </row>
    <row r="173" spans="53:53" x14ac:dyDescent="0.2">
      <c r="BA173" s="137"/>
    </row>
    <row r="174" spans="53:53" x14ac:dyDescent="0.2">
      <c r="BA174" s="137"/>
    </row>
    <row r="175" spans="53:53" x14ac:dyDescent="0.2">
      <c r="BA175" s="137"/>
    </row>
    <row r="176" spans="53:53" x14ac:dyDescent="0.2">
      <c r="BA176" s="137"/>
    </row>
    <row r="177" spans="53:53" x14ac:dyDescent="0.2">
      <c r="BA177" s="137"/>
    </row>
    <row r="178" spans="53:53" x14ac:dyDescent="0.2">
      <c r="BA178" s="137"/>
    </row>
    <row r="179" spans="53:53" x14ac:dyDescent="0.2">
      <c r="BA179" s="137"/>
    </row>
    <row r="180" spans="53:53" x14ac:dyDescent="0.2">
      <c r="BA180" s="137"/>
    </row>
    <row r="181" spans="53:53" x14ac:dyDescent="0.2">
      <c r="BA181" s="137"/>
    </row>
    <row r="182" spans="53:53" x14ac:dyDescent="0.2">
      <c r="BA182" s="137"/>
    </row>
    <row r="183" spans="53:53" x14ac:dyDescent="0.2">
      <c r="BA183" s="137"/>
    </row>
    <row r="184" spans="53:53" x14ac:dyDescent="0.2">
      <c r="BA184" s="137"/>
    </row>
    <row r="185" spans="53:53" x14ac:dyDescent="0.2">
      <c r="BA185" s="137"/>
    </row>
    <row r="186" spans="53:53" x14ac:dyDescent="0.2">
      <c r="BA186" s="137"/>
    </row>
    <row r="187" spans="53:53" x14ac:dyDescent="0.2">
      <c r="BA187" s="137"/>
    </row>
    <row r="188" spans="53:53" x14ac:dyDescent="0.2">
      <c r="BA188" s="137"/>
    </row>
    <row r="189" spans="53:53" x14ac:dyDescent="0.2">
      <c r="BA189" s="137"/>
    </row>
    <row r="190" spans="53:53" x14ac:dyDescent="0.2">
      <c r="BA190" s="137"/>
    </row>
    <row r="191" spans="53:53" x14ac:dyDescent="0.2">
      <c r="BA191" s="137"/>
    </row>
    <row r="192" spans="53:53" x14ac:dyDescent="0.2">
      <c r="BA192" s="137"/>
    </row>
    <row r="193" spans="53:53" x14ac:dyDescent="0.2">
      <c r="BA193" s="137"/>
    </row>
    <row r="194" spans="53:53" x14ac:dyDescent="0.2">
      <c r="BA194" s="137"/>
    </row>
    <row r="195" spans="53:53" x14ac:dyDescent="0.2">
      <c r="BA195" s="137"/>
    </row>
    <row r="196" spans="53:53" x14ac:dyDescent="0.2">
      <c r="BA196" s="137"/>
    </row>
    <row r="197" spans="53:53" x14ac:dyDescent="0.2">
      <c r="BA197" s="137"/>
    </row>
    <row r="198" spans="53:53" x14ac:dyDescent="0.2">
      <c r="BA198" s="137"/>
    </row>
    <row r="199" spans="53:53" x14ac:dyDescent="0.2">
      <c r="BA199" s="137"/>
    </row>
    <row r="200" spans="53:53" x14ac:dyDescent="0.2">
      <c r="BA200" s="137"/>
    </row>
    <row r="201" spans="53:53" x14ac:dyDescent="0.2">
      <c r="BA201" s="137"/>
    </row>
    <row r="202" spans="53:53" x14ac:dyDescent="0.2">
      <c r="BA202" s="137"/>
    </row>
    <row r="203" spans="53:53" x14ac:dyDescent="0.2">
      <c r="BA203" s="137"/>
    </row>
    <row r="204" spans="53:53" x14ac:dyDescent="0.2">
      <c r="BA204" s="137"/>
    </row>
    <row r="205" spans="53:53" x14ac:dyDescent="0.2">
      <c r="BA205" s="137"/>
    </row>
    <row r="206" spans="53:53" x14ac:dyDescent="0.2">
      <c r="BA206" s="137"/>
    </row>
    <row r="207" spans="53:53" x14ac:dyDescent="0.2">
      <c r="BA207" s="137"/>
    </row>
    <row r="208" spans="53:53" x14ac:dyDescent="0.2">
      <c r="BA208" s="137"/>
    </row>
    <row r="209" spans="53:53" x14ac:dyDescent="0.2">
      <c r="BA209" s="137"/>
    </row>
    <row r="210" spans="53:53" x14ac:dyDescent="0.2">
      <c r="BA210" s="137"/>
    </row>
    <row r="211" spans="53:53" x14ac:dyDescent="0.2">
      <c r="BA211" s="137"/>
    </row>
    <row r="212" spans="53:53" x14ac:dyDescent="0.2">
      <c r="BA212" s="137"/>
    </row>
    <row r="213" spans="53:53" x14ac:dyDescent="0.2">
      <c r="BA213" s="137"/>
    </row>
    <row r="214" spans="53:53" x14ac:dyDescent="0.2">
      <c r="BA214" s="137"/>
    </row>
    <row r="215" spans="53:53" x14ac:dyDescent="0.2">
      <c r="BA215" s="137"/>
    </row>
    <row r="216" spans="53:53" x14ac:dyDescent="0.2">
      <c r="BA216" s="137"/>
    </row>
    <row r="217" spans="53:53" x14ac:dyDescent="0.2">
      <c r="BA217" s="137"/>
    </row>
    <row r="218" spans="53:53" x14ac:dyDescent="0.2">
      <c r="BA218" s="137"/>
    </row>
    <row r="219" spans="53:53" x14ac:dyDescent="0.2">
      <c r="BA219" s="137"/>
    </row>
    <row r="220" spans="53:53" x14ac:dyDescent="0.2">
      <c r="BA220" s="137"/>
    </row>
    <row r="221" spans="53:53" x14ac:dyDescent="0.2">
      <c r="BA221" s="137"/>
    </row>
    <row r="222" spans="53:53" x14ac:dyDescent="0.2">
      <c r="BA222" s="137"/>
    </row>
    <row r="223" spans="53:53" x14ac:dyDescent="0.2">
      <c r="BA223" s="137"/>
    </row>
    <row r="224" spans="53:53" x14ac:dyDescent="0.2">
      <c r="BA224" s="137"/>
    </row>
    <row r="225" spans="53:53" x14ac:dyDescent="0.2">
      <c r="BA225" s="137"/>
    </row>
    <row r="226" spans="53:53" x14ac:dyDescent="0.2">
      <c r="BA226" s="137"/>
    </row>
    <row r="227" spans="53:53" x14ac:dyDescent="0.2">
      <c r="BA227" s="137"/>
    </row>
    <row r="228" spans="53:53" x14ac:dyDescent="0.2">
      <c r="BA228" s="137"/>
    </row>
    <row r="229" spans="53:53" x14ac:dyDescent="0.2">
      <c r="BA229" s="137"/>
    </row>
    <row r="230" spans="53:53" x14ac:dyDescent="0.2">
      <c r="BA230" s="137"/>
    </row>
    <row r="231" spans="53:53" x14ac:dyDescent="0.2">
      <c r="BA231" s="137"/>
    </row>
    <row r="232" spans="53:53" x14ac:dyDescent="0.2">
      <c r="BA232" s="137"/>
    </row>
    <row r="233" spans="53:53" x14ac:dyDescent="0.2">
      <c r="BA233" s="137"/>
    </row>
    <row r="234" spans="53:53" x14ac:dyDescent="0.2">
      <c r="BA234" s="137"/>
    </row>
    <row r="235" spans="53:53" x14ac:dyDescent="0.2">
      <c r="BA235" s="137"/>
    </row>
    <row r="236" spans="53:53" x14ac:dyDescent="0.2">
      <c r="BA236" s="137"/>
    </row>
    <row r="237" spans="53:53" x14ac:dyDescent="0.2">
      <c r="BA237" s="137"/>
    </row>
    <row r="238" spans="53:53" x14ac:dyDescent="0.2">
      <c r="BA238" s="137"/>
    </row>
    <row r="239" spans="53:53" x14ac:dyDescent="0.2">
      <c r="BA239" s="137"/>
    </row>
    <row r="240" spans="53:53" x14ac:dyDescent="0.2">
      <c r="BA240" s="137"/>
    </row>
    <row r="241" spans="53:53" x14ac:dyDescent="0.2">
      <c r="BA241" s="137"/>
    </row>
    <row r="242" spans="53:53" x14ac:dyDescent="0.2">
      <c r="BA242" s="137"/>
    </row>
    <row r="243" spans="53:53" x14ac:dyDescent="0.2">
      <c r="BA243" s="137"/>
    </row>
    <row r="244" spans="53:53" x14ac:dyDescent="0.2">
      <c r="BA244" s="137"/>
    </row>
    <row r="245" spans="53:53" x14ac:dyDescent="0.2">
      <c r="BA245" s="137"/>
    </row>
    <row r="246" spans="53:53" x14ac:dyDescent="0.2">
      <c r="BA246" s="137"/>
    </row>
    <row r="247" spans="53:53" x14ac:dyDescent="0.2">
      <c r="BA247" s="137"/>
    </row>
    <row r="248" spans="53:53" x14ac:dyDescent="0.2">
      <c r="BA248" s="137"/>
    </row>
    <row r="249" spans="53:53" x14ac:dyDescent="0.2">
      <c r="BA249" s="137"/>
    </row>
    <row r="250" spans="53:53" x14ac:dyDescent="0.2">
      <c r="BA250" s="137"/>
    </row>
    <row r="251" spans="53:53" x14ac:dyDescent="0.2">
      <c r="BA251" s="137"/>
    </row>
    <row r="252" spans="53:53" x14ac:dyDescent="0.2">
      <c r="BA252" s="137"/>
    </row>
    <row r="253" spans="53:53" x14ac:dyDescent="0.2">
      <c r="BA253" s="137"/>
    </row>
    <row r="254" spans="53:53" x14ac:dyDescent="0.2">
      <c r="BA254" s="137"/>
    </row>
    <row r="255" spans="53:53" x14ac:dyDescent="0.2">
      <c r="BA255" s="137"/>
    </row>
    <row r="256" spans="53:53" x14ac:dyDescent="0.2">
      <c r="BA256" s="137"/>
    </row>
    <row r="257" spans="53:53" x14ac:dyDescent="0.2">
      <c r="BA257" s="137"/>
    </row>
    <row r="258" spans="53:53" x14ac:dyDescent="0.2">
      <c r="BA258" s="137"/>
    </row>
    <row r="259" spans="53:53" x14ac:dyDescent="0.2">
      <c r="BA259" s="137"/>
    </row>
    <row r="260" spans="53:53" x14ac:dyDescent="0.2">
      <c r="BA260" s="137"/>
    </row>
    <row r="261" spans="53:53" x14ac:dyDescent="0.2">
      <c r="BA261" s="137"/>
    </row>
    <row r="262" spans="53:53" x14ac:dyDescent="0.2">
      <c r="BA262" s="137"/>
    </row>
    <row r="263" spans="53:53" x14ac:dyDescent="0.2">
      <c r="BA263" s="137"/>
    </row>
    <row r="264" spans="53:53" x14ac:dyDescent="0.2">
      <c r="BA264" s="137"/>
    </row>
    <row r="265" spans="53:53" x14ac:dyDescent="0.2">
      <c r="BA265" s="137"/>
    </row>
    <row r="266" spans="53:53" x14ac:dyDescent="0.2">
      <c r="BA266" s="137"/>
    </row>
    <row r="267" spans="53:53" x14ac:dyDescent="0.2">
      <c r="BA267" s="137"/>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pageMargins left="0.46000000000000008" right="0.46000000000000008" top="0.53" bottom="0.49" header="0.5" footer="0.5"/>
  <pageSetup scale="82"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DetailedProjectData">
                <anchor moveWithCells="1" sizeWithCells="1">
                  <from>
                    <xdr:col>4</xdr:col>
                    <xdr:colOff>95250</xdr:colOff>
                    <xdr:row>9</xdr:row>
                    <xdr:rowOff>57150</xdr:rowOff>
                  </from>
                  <to>
                    <xdr:col>5</xdr:col>
                    <xdr:colOff>0</xdr:colOff>
                    <xdr:row>13</xdr:row>
                    <xdr:rowOff>123825</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maryandSummaryResults">
                <anchor moveWithCells="1" sizeWithCells="1">
                  <from>
                    <xdr:col>4</xdr:col>
                    <xdr:colOff>76200</xdr:colOff>
                    <xdr:row>3</xdr:row>
                    <xdr:rowOff>152400</xdr:rowOff>
                  </from>
                  <to>
                    <xdr:col>4</xdr:col>
                    <xdr:colOff>1771650</xdr:colOff>
                    <xdr:row>7</xdr:row>
                    <xdr:rowOff>47625</xdr:rowOff>
                  </to>
                </anchor>
              </controlPr>
            </control>
          </mc:Choice>
        </mc:AlternateContent>
        <mc:AlternateContent xmlns:mc="http://schemas.openxmlformats.org/markup-compatibility/2006">
          <mc:Choice Requires="x14">
            <control shapeId="5140" r:id="rId6" name="Button 20">
              <controlPr defaultSize="0" print="0" autoFill="0" autoPict="0" macro="[0]!Module15.ProjectData">
                <anchor moveWithCells="1" sizeWithCells="1">
                  <from>
                    <xdr:col>4</xdr:col>
                    <xdr:colOff>114300</xdr:colOff>
                    <xdr:row>21</xdr:row>
                    <xdr:rowOff>152400</xdr:rowOff>
                  </from>
                  <to>
                    <xdr:col>5</xdr:col>
                    <xdr:colOff>0</xdr:colOff>
                    <xdr:row>25</xdr:row>
                    <xdr:rowOff>9525</xdr:rowOff>
                  </to>
                </anchor>
              </controlPr>
            </control>
          </mc:Choice>
        </mc:AlternateContent>
        <mc:AlternateContent xmlns:mc="http://schemas.openxmlformats.org/markup-compatibility/2006">
          <mc:Choice Requires="x14">
            <control shapeId="5164" r:id="rId7" name="Button 44">
              <controlPr defaultSize="0" print="0" autoFill="0" autoPict="0" macro="[0]!ExportAllProjectData">
                <anchor moveWithCells="1" sizeWithCells="1">
                  <from>
                    <xdr:col>4</xdr:col>
                    <xdr:colOff>95250</xdr:colOff>
                    <xdr:row>15</xdr:row>
                    <xdr:rowOff>114300</xdr:rowOff>
                  </from>
                  <to>
                    <xdr:col>5</xdr:col>
                    <xdr:colOff>0</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617"/>
  <sheetViews>
    <sheetView workbookViewId="0">
      <selection activeCell="B3" sqref="B3"/>
    </sheetView>
  </sheetViews>
  <sheetFormatPr defaultRowHeight="12.75" x14ac:dyDescent="0.2"/>
  <cols>
    <col min="1" max="1" width="29.7109375" customWidth="1"/>
    <col min="2" max="2" width="19.140625" customWidth="1"/>
    <col min="3" max="3" width="12.7109375" customWidth="1"/>
  </cols>
  <sheetData>
    <row r="1" spans="1:19" ht="15.75" x14ac:dyDescent="0.25">
      <c r="A1" s="130" t="s">
        <v>157</v>
      </c>
      <c r="B1" s="99"/>
      <c r="C1" s="99"/>
      <c r="D1" s="99"/>
      <c r="E1" s="130"/>
      <c r="F1" s="99"/>
      <c r="G1" s="99"/>
      <c r="H1" s="99"/>
      <c r="I1" s="99"/>
      <c r="J1" s="99"/>
      <c r="K1" s="99"/>
      <c r="L1" s="99"/>
      <c r="M1" s="99"/>
      <c r="N1" s="99"/>
      <c r="O1" s="99"/>
      <c r="P1" s="99"/>
      <c r="Q1" s="99"/>
      <c r="R1" s="99"/>
      <c r="S1" s="99"/>
    </row>
    <row r="2" spans="1:19" ht="15.75" x14ac:dyDescent="0.25">
      <c r="A2" s="130"/>
      <c r="B2" s="99"/>
      <c r="C2" s="99"/>
      <c r="D2" s="99"/>
      <c r="E2" s="130"/>
      <c r="F2" s="99"/>
      <c r="G2" s="99"/>
      <c r="H2" s="99"/>
      <c r="I2" s="99"/>
      <c r="J2" s="99"/>
      <c r="K2" s="99"/>
      <c r="L2" s="99"/>
      <c r="M2" s="99"/>
      <c r="N2" s="99"/>
      <c r="O2" s="99"/>
      <c r="P2" s="99"/>
      <c r="Q2" s="99"/>
      <c r="R2" s="99"/>
      <c r="S2" s="99"/>
    </row>
    <row r="3" spans="1:19" ht="15.75" x14ac:dyDescent="0.25">
      <c r="A3" s="122" t="s">
        <v>210</v>
      </c>
      <c r="B3" s="165"/>
      <c r="C3" s="100" t="s">
        <v>215</v>
      </c>
      <c r="D3" s="172"/>
      <c r="E3" s="236" t="str">
        <f>IF(B3="","",IF(D3="","     Enter Year of Data",IF(D3&gt;2007,IF(D3&lt;2016,"","     ERROR - Deflators Data Not Current"),"     ERROR - Deflators Data Not Current")))</f>
        <v/>
      </c>
      <c r="F3" s="130"/>
      <c r="G3" s="130"/>
      <c r="H3" s="99"/>
      <c r="I3" s="99"/>
      <c r="J3" s="99"/>
      <c r="K3" s="99"/>
      <c r="L3" s="99"/>
      <c r="M3" s="99"/>
      <c r="N3" s="99"/>
      <c r="O3" s="99"/>
      <c r="P3" s="99"/>
      <c r="Q3" s="99"/>
      <c r="R3" s="99"/>
      <c r="S3" s="99"/>
    </row>
    <row r="4" spans="1:19" ht="15.75" x14ac:dyDescent="0.25">
      <c r="A4" s="122" t="s">
        <v>211</v>
      </c>
      <c r="B4" s="57"/>
      <c r="C4" s="100" t="s">
        <v>215</v>
      </c>
      <c r="D4" s="151"/>
      <c r="E4" s="236" t="str">
        <f>IF(B4="","",IF(D4="","     Enter Year of Data",IF(D4&gt;2007,IF(D4&lt;2016,"","     ERROR - Deflators Data Not Current"),"     ERROR - Deflators Data Not Current")))</f>
        <v/>
      </c>
      <c r="F4" s="130"/>
      <c r="G4" s="130"/>
      <c r="H4" s="99"/>
      <c r="I4" s="99"/>
      <c r="J4" s="99"/>
      <c r="K4" s="99"/>
      <c r="L4" s="99"/>
      <c r="M4" s="99"/>
      <c r="N4" s="99"/>
      <c r="O4" s="99"/>
      <c r="P4" s="99"/>
      <c r="Q4" s="99"/>
      <c r="R4" s="99"/>
      <c r="S4" s="99"/>
    </row>
    <row r="5" spans="1:19" ht="15.75" x14ac:dyDescent="0.25">
      <c r="A5" s="311" t="s">
        <v>309</v>
      </c>
      <c r="B5" s="263"/>
      <c r="C5" s="312" t="str">
        <f>IF(B$5="","     To incorporate Sales Tax in analysis Enter Sales Tax Rate","")</f>
        <v xml:space="preserve">     To incorporate Sales Tax in analysis Enter Sales Tax Rate</v>
      </c>
      <c r="D5" s="152"/>
      <c r="E5" s="152"/>
      <c r="F5" s="130"/>
      <c r="G5" s="130"/>
      <c r="H5" s="99"/>
      <c r="I5" s="99"/>
      <c r="J5" s="99"/>
      <c r="K5" s="99"/>
      <c r="L5" s="99"/>
      <c r="M5" s="99"/>
      <c r="N5" s="99"/>
      <c r="O5" s="99"/>
      <c r="P5" s="99"/>
      <c r="Q5" s="99"/>
      <c r="R5" s="99"/>
      <c r="S5" s="99"/>
    </row>
    <row r="6" spans="1:19" ht="15.75" x14ac:dyDescent="0.25">
      <c r="A6" s="311" t="s">
        <v>449</v>
      </c>
      <c r="B6" s="263"/>
      <c r="C6" s="312" t="str">
        <f>IF(B$5="","     To incorporate Sales Tax Exemption in analysis Enter Exemption as percent of total","")</f>
        <v xml:space="preserve">     To incorporate Sales Tax Exemption in analysis Enter Exemption as percent of total</v>
      </c>
      <c r="D6" s="152"/>
      <c r="E6" s="152"/>
      <c r="F6" s="130"/>
      <c r="G6" s="130"/>
      <c r="H6" s="99"/>
      <c r="I6" s="99"/>
      <c r="J6" s="99"/>
      <c r="K6" s="99"/>
      <c r="L6" s="99"/>
      <c r="M6" s="99"/>
      <c r="N6" s="99"/>
      <c r="O6" s="99"/>
      <c r="P6" s="99"/>
      <c r="Q6" s="99"/>
      <c r="R6" s="99"/>
      <c r="S6" s="99"/>
    </row>
    <row r="7" spans="1:19" ht="15.75" x14ac:dyDescent="0.25">
      <c r="A7" s="311" t="s">
        <v>366</v>
      </c>
      <c r="B7" s="263"/>
      <c r="C7" s="312" t="str">
        <f>IF(B$7="","     To incorporate Property Tax Exemption in analysis Enter Exemption as percent of total","")</f>
        <v xml:space="preserve">     To incorporate Property Tax Exemption in analysis Enter Exemption as percent of total</v>
      </c>
      <c r="D7" s="152"/>
      <c r="E7" s="152"/>
      <c r="F7" s="130"/>
      <c r="G7" s="130"/>
      <c r="H7" s="99"/>
      <c r="I7" s="99"/>
      <c r="J7" s="99"/>
      <c r="K7" s="99"/>
      <c r="L7" s="99"/>
      <c r="M7" s="99"/>
      <c r="N7" s="99"/>
      <c r="O7" s="99"/>
      <c r="P7" s="99"/>
      <c r="Q7" s="99"/>
      <c r="R7" s="99"/>
      <c r="S7" s="99"/>
    </row>
    <row r="8" spans="1:19" x14ac:dyDescent="0.2">
      <c r="A8" s="99"/>
      <c r="B8" s="99"/>
      <c r="C8" s="99"/>
      <c r="D8" s="99"/>
      <c r="E8" s="99"/>
      <c r="F8" s="99"/>
      <c r="G8" s="99"/>
      <c r="H8" s="99"/>
      <c r="I8" s="99"/>
      <c r="J8" s="99"/>
      <c r="K8" s="99"/>
      <c r="L8" s="99"/>
      <c r="M8" s="99"/>
      <c r="N8" s="99"/>
      <c r="O8" s="99"/>
      <c r="P8" s="99"/>
      <c r="Q8" s="99"/>
      <c r="R8" s="99"/>
      <c r="S8" s="99"/>
    </row>
    <row r="9" spans="1:19" x14ac:dyDescent="0.2">
      <c r="A9" s="122" t="s">
        <v>178</v>
      </c>
      <c r="B9" s="99"/>
      <c r="C9" s="99"/>
      <c r="D9" s="161" t="s">
        <v>227</v>
      </c>
      <c r="E9" s="99"/>
      <c r="F9" s="99"/>
      <c r="G9" s="99"/>
      <c r="H9" s="99"/>
      <c r="I9" s="99"/>
      <c r="J9" s="99"/>
      <c r="K9" s="99"/>
      <c r="L9" s="99"/>
      <c r="M9" s="99"/>
      <c r="N9" s="99"/>
      <c r="O9" s="99"/>
      <c r="P9" s="99"/>
      <c r="Q9" s="99"/>
      <c r="R9" s="99"/>
      <c r="S9" s="99"/>
    </row>
    <row r="10" spans="1:19" x14ac:dyDescent="0.2">
      <c r="A10" s="131" t="s">
        <v>183</v>
      </c>
      <c r="B10" s="145" t="s">
        <v>208</v>
      </c>
      <c r="C10" s="144" t="s">
        <v>207</v>
      </c>
      <c r="D10" s="144"/>
      <c r="E10" s="144" t="str">
        <f>B10</f>
        <v>MyCounty</v>
      </c>
      <c r="F10" s="144" t="str">
        <f>C10</f>
        <v>MyRegion</v>
      </c>
      <c r="G10" s="99"/>
      <c r="H10" s="99"/>
      <c r="I10" s="99"/>
      <c r="J10" s="99"/>
      <c r="K10" s="99"/>
      <c r="L10" s="99"/>
      <c r="M10" s="99"/>
      <c r="N10" s="99"/>
      <c r="O10" s="99"/>
      <c r="P10" s="99"/>
      <c r="Q10" s="99"/>
      <c r="R10" s="99"/>
      <c r="S10" s="99"/>
    </row>
    <row r="11" spans="1:19" x14ac:dyDescent="0.2">
      <c r="A11" s="444" t="s">
        <v>388</v>
      </c>
      <c r="B11" s="129">
        <v>0</v>
      </c>
      <c r="C11" s="129">
        <v>0</v>
      </c>
      <c r="D11" s="99"/>
      <c r="E11" s="129">
        <v>0</v>
      </c>
      <c r="F11" s="129">
        <v>0</v>
      </c>
      <c r="G11" s="99"/>
      <c r="H11" s="99"/>
      <c r="I11" s="99"/>
      <c r="J11" s="99"/>
      <c r="K11" s="99"/>
      <c r="L11" s="99"/>
      <c r="M11" s="99"/>
      <c r="N11" s="99"/>
      <c r="O11" s="99"/>
      <c r="P11" s="99"/>
      <c r="Q11" s="99"/>
      <c r="R11" s="99"/>
      <c r="S11" s="99"/>
    </row>
    <row r="12" spans="1:19" x14ac:dyDescent="0.2">
      <c r="A12" s="444" t="s">
        <v>124</v>
      </c>
      <c r="B12" s="129">
        <v>0</v>
      </c>
      <c r="C12" s="129">
        <v>0</v>
      </c>
      <c r="D12" s="99"/>
      <c r="E12" s="129">
        <v>0</v>
      </c>
      <c r="F12" s="129">
        <v>0</v>
      </c>
      <c r="G12" s="99"/>
      <c r="H12" s="99"/>
      <c r="I12" s="99"/>
      <c r="J12" s="99"/>
      <c r="K12" s="99"/>
      <c r="L12" s="99"/>
      <c r="M12" s="99"/>
      <c r="N12" s="99"/>
      <c r="O12" s="99"/>
      <c r="P12" s="99"/>
      <c r="Q12" s="99"/>
      <c r="R12" s="99"/>
      <c r="S12" s="99"/>
    </row>
    <row r="13" spans="1:19" x14ac:dyDescent="0.2">
      <c r="A13" s="444" t="s">
        <v>56</v>
      </c>
      <c r="B13" s="129">
        <v>0</v>
      </c>
      <c r="C13" s="129">
        <v>0</v>
      </c>
      <c r="D13" s="99"/>
      <c r="E13" s="129">
        <v>0</v>
      </c>
      <c r="F13" s="129">
        <v>0</v>
      </c>
      <c r="G13" s="99"/>
      <c r="H13" s="99"/>
      <c r="I13" s="99"/>
      <c r="J13" s="99"/>
      <c r="K13" s="99"/>
      <c r="L13" s="99"/>
      <c r="M13" s="99"/>
      <c r="N13" s="99"/>
      <c r="O13" s="99"/>
      <c r="P13" s="99"/>
      <c r="Q13" s="99"/>
      <c r="R13" s="99"/>
      <c r="S13" s="99"/>
    </row>
    <row r="14" spans="1:19" x14ac:dyDescent="0.2">
      <c r="A14" s="444" t="s">
        <v>389</v>
      </c>
      <c r="B14" s="129">
        <v>0</v>
      </c>
      <c r="C14" s="129">
        <v>0</v>
      </c>
      <c r="D14" s="99"/>
      <c r="E14" s="129">
        <v>0</v>
      </c>
      <c r="F14" s="129">
        <v>0</v>
      </c>
      <c r="G14" s="99"/>
      <c r="H14" s="99"/>
      <c r="I14" s="99"/>
      <c r="J14" s="99"/>
      <c r="K14" s="99"/>
      <c r="L14" s="99"/>
      <c r="M14" s="99"/>
      <c r="N14" s="99"/>
      <c r="O14" s="99"/>
      <c r="P14" s="99"/>
      <c r="Q14" s="99"/>
      <c r="R14" s="99"/>
      <c r="S14" s="99"/>
    </row>
    <row r="15" spans="1:19" x14ac:dyDescent="0.2">
      <c r="A15" s="444" t="s">
        <v>390</v>
      </c>
      <c r="B15" s="129">
        <v>0</v>
      </c>
      <c r="C15" s="129">
        <v>0</v>
      </c>
      <c r="D15" s="99"/>
      <c r="E15" s="129">
        <v>0</v>
      </c>
      <c r="F15" s="129">
        <v>0</v>
      </c>
      <c r="G15" s="99"/>
      <c r="H15" s="99"/>
      <c r="I15" s="99"/>
      <c r="J15" s="99"/>
      <c r="K15" s="99"/>
      <c r="L15" s="99"/>
      <c r="M15" s="99"/>
      <c r="N15" s="99"/>
      <c r="O15" s="99"/>
      <c r="P15" s="99"/>
      <c r="Q15" s="99"/>
      <c r="R15" s="99"/>
      <c r="S15" s="99"/>
    </row>
    <row r="16" spans="1:19" x14ac:dyDescent="0.2">
      <c r="A16" s="444" t="s">
        <v>125</v>
      </c>
      <c r="B16" s="129">
        <v>0</v>
      </c>
      <c r="C16" s="129">
        <v>0</v>
      </c>
      <c r="D16" s="99"/>
      <c r="E16" s="129">
        <v>0</v>
      </c>
      <c r="F16" s="129">
        <v>0</v>
      </c>
      <c r="G16" s="99"/>
      <c r="H16" s="99"/>
      <c r="I16" s="99"/>
      <c r="J16" s="99"/>
      <c r="K16" s="99"/>
      <c r="L16" s="99"/>
      <c r="M16" s="99"/>
      <c r="N16" s="99"/>
      <c r="O16" s="99"/>
      <c r="P16" s="99"/>
      <c r="Q16" s="99"/>
      <c r="R16" s="99"/>
      <c r="S16" s="99"/>
    </row>
    <row r="17" spans="1:19" x14ac:dyDescent="0.2">
      <c r="A17" s="444" t="s">
        <v>126</v>
      </c>
      <c r="B17" s="129">
        <v>0</v>
      </c>
      <c r="C17" s="129">
        <v>0</v>
      </c>
      <c r="D17" s="99"/>
      <c r="E17" s="129">
        <v>0</v>
      </c>
      <c r="F17" s="129">
        <v>0</v>
      </c>
      <c r="G17" s="99"/>
      <c r="H17" s="99"/>
      <c r="I17" s="99"/>
      <c r="J17" s="99"/>
      <c r="K17" s="99"/>
      <c r="L17" s="99"/>
      <c r="M17" s="99"/>
      <c r="N17" s="99"/>
      <c r="O17" s="99"/>
      <c r="P17" s="99"/>
      <c r="Q17" s="99"/>
      <c r="R17" s="99"/>
      <c r="S17" s="99"/>
    </row>
    <row r="18" spans="1:19" x14ac:dyDescent="0.2">
      <c r="A18" s="444" t="s">
        <v>127</v>
      </c>
      <c r="B18" s="129">
        <v>0</v>
      </c>
      <c r="C18" s="129">
        <v>0</v>
      </c>
      <c r="D18" s="99"/>
      <c r="E18" s="129">
        <v>0</v>
      </c>
      <c r="F18" s="129">
        <v>0</v>
      </c>
      <c r="G18" s="99"/>
      <c r="H18" s="99"/>
      <c r="I18" s="99"/>
      <c r="J18" s="99"/>
      <c r="K18" s="99"/>
      <c r="L18" s="99"/>
      <c r="M18" s="99"/>
      <c r="N18" s="99"/>
      <c r="O18" s="99"/>
      <c r="P18" s="99"/>
      <c r="Q18" s="99"/>
      <c r="R18" s="99"/>
      <c r="S18" s="99"/>
    </row>
    <row r="19" spans="1:19" x14ac:dyDescent="0.2">
      <c r="A19" s="444" t="s">
        <v>391</v>
      </c>
      <c r="B19" s="129">
        <v>0</v>
      </c>
      <c r="C19" s="129">
        <v>0</v>
      </c>
      <c r="D19" s="99"/>
      <c r="E19" s="129">
        <v>0</v>
      </c>
      <c r="F19" s="129">
        <v>0</v>
      </c>
      <c r="G19" s="99"/>
      <c r="H19" s="99"/>
      <c r="I19" s="99"/>
      <c r="J19" s="99"/>
      <c r="K19" s="99"/>
      <c r="L19" s="99"/>
      <c r="M19" s="99"/>
      <c r="N19" s="99"/>
      <c r="O19" s="99"/>
      <c r="P19" s="99"/>
      <c r="Q19" s="99"/>
      <c r="R19" s="99"/>
      <c r="S19" s="99"/>
    </row>
    <row r="20" spans="1:19" x14ac:dyDescent="0.2">
      <c r="A20" s="444" t="s">
        <v>392</v>
      </c>
      <c r="B20" s="129">
        <v>0</v>
      </c>
      <c r="C20" s="129">
        <v>0</v>
      </c>
      <c r="D20" s="99"/>
      <c r="E20" s="129">
        <v>0</v>
      </c>
      <c r="F20" s="129">
        <v>0</v>
      </c>
      <c r="G20" s="99"/>
      <c r="H20" s="99"/>
      <c r="I20" s="99"/>
      <c r="J20" s="99"/>
      <c r="K20" s="99"/>
      <c r="L20" s="99"/>
      <c r="M20" s="99"/>
      <c r="N20" s="99"/>
      <c r="O20" s="99"/>
      <c r="P20" s="99"/>
      <c r="Q20" s="99"/>
      <c r="R20" s="99"/>
      <c r="S20" s="99"/>
    </row>
    <row r="21" spans="1:19" x14ac:dyDescent="0.2">
      <c r="A21" s="444" t="s">
        <v>393</v>
      </c>
      <c r="B21" s="129">
        <v>0</v>
      </c>
      <c r="C21" s="129">
        <v>0</v>
      </c>
      <c r="D21" s="99"/>
      <c r="E21" s="129">
        <v>0</v>
      </c>
      <c r="F21" s="129">
        <v>0</v>
      </c>
      <c r="G21" s="99"/>
      <c r="H21" s="99"/>
      <c r="I21" s="99"/>
      <c r="J21" s="99"/>
      <c r="K21" s="99"/>
      <c r="L21" s="99"/>
      <c r="M21" s="99"/>
      <c r="N21" s="99"/>
      <c r="O21" s="99"/>
      <c r="P21" s="99"/>
      <c r="Q21" s="99"/>
      <c r="R21" s="99"/>
      <c r="S21" s="99"/>
    </row>
    <row r="22" spans="1:19" x14ac:dyDescent="0.2">
      <c r="A22" s="444" t="s">
        <v>57</v>
      </c>
      <c r="B22" s="129">
        <v>0</v>
      </c>
      <c r="C22" s="129">
        <v>0</v>
      </c>
      <c r="D22" s="99"/>
      <c r="E22" s="129">
        <v>0</v>
      </c>
      <c r="F22" s="129">
        <v>0</v>
      </c>
      <c r="G22" s="99"/>
      <c r="H22" s="99"/>
      <c r="I22" s="99"/>
      <c r="J22" s="99"/>
      <c r="K22" s="99"/>
      <c r="L22" s="99"/>
      <c r="M22" s="99"/>
      <c r="N22" s="99"/>
      <c r="O22" s="99"/>
      <c r="P22" s="99"/>
      <c r="Q22" s="99"/>
      <c r="R22" s="99"/>
      <c r="S22" s="99"/>
    </row>
    <row r="23" spans="1:19" x14ac:dyDescent="0.2">
      <c r="A23" s="444" t="s">
        <v>394</v>
      </c>
      <c r="B23" s="129">
        <v>0</v>
      </c>
      <c r="C23" s="129">
        <v>0</v>
      </c>
      <c r="D23" s="99"/>
      <c r="E23" s="129">
        <v>0</v>
      </c>
      <c r="F23" s="129">
        <v>0</v>
      </c>
      <c r="G23" s="99"/>
      <c r="H23" s="99"/>
      <c r="I23" s="99"/>
      <c r="J23" s="99"/>
      <c r="K23" s="99"/>
      <c r="L23" s="99"/>
      <c r="M23" s="99"/>
      <c r="N23" s="99"/>
      <c r="O23" s="99"/>
      <c r="P23" s="99"/>
      <c r="Q23" s="99"/>
      <c r="R23" s="99"/>
      <c r="S23" s="99"/>
    </row>
    <row r="24" spans="1:19" x14ac:dyDescent="0.2">
      <c r="A24" s="444" t="s">
        <v>128</v>
      </c>
      <c r="B24" s="129">
        <v>0</v>
      </c>
      <c r="C24" s="129">
        <v>0</v>
      </c>
      <c r="D24" s="99"/>
      <c r="E24" s="129">
        <v>0</v>
      </c>
      <c r="F24" s="129">
        <v>0</v>
      </c>
      <c r="G24" s="99"/>
      <c r="H24" s="99"/>
      <c r="I24" s="99"/>
      <c r="J24" s="99"/>
      <c r="K24" s="99"/>
      <c r="L24" s="99"/>
      <c r="M24" s="99"/>
      <c r="N24" s="99"/>
      <c r="O24" s="99"/>
      <c r="P24" s="99"/>
      <c r="Q24" s="99"/>
      <c r="R24" s="99"/>
      <c r="S24" s="99"/>
    </row>
    <row r="25" spans="1:19" x14ac:dyDescent="0.2">
      <c r="A25" s="444" t="s">
        <v>395</v>
      </c>
      <c r="B25" s="129">
        <v>0</v>
      </c>
      <c r="C25" s="129">
        <v>0</v>
      </c>
      <c r="D25" s="99"/>
      <c r="E25" s="129">
        <v>0</v>
      </c>
      <c r="F25" s="129">
        <v>0</v>
      </c>
      <c r="G25" s="99"/>
      <c r="H25" s="99"/>
      <c r="I25" s="99"/>
      <c r="J25" s="99"/>
      <c r="K25" s="99"/>
      <c r="L25" s="99"/>
      <c r="M25" s="99"/>
      <c r="N25" s="99"/>
      <c r="O25" s="99"/>
      <c r="P25" s="99"/>
      <c r="Q25" s="99"/>
      <c r="R25" s="99"/>
      <c r="S25" s="99"/>
    </row>
    <row r="26" spans="1:19" x14ac:dyDescent="0.2">
      <c r="A26" s="444" t="s">
        <v>396</v>
      </c>
      <c r="B26" s="129">
        <v>0</v>
      </c>
      <c r="C26" s="129">
        <v>0</v>
      </c>
      <c r="D26" s="99"/>
      <c r="E26" s="129">
        <v>0</v>
      </c>
      <c r="F26" s="129">
        <v>0</v>
      </c>
      <c r="G26" s="99"/>
      <c r="H26" s="99"/>
      <c r="I26" s="99"/>
      <c r="J26" s="99"/>
      <c r="K26" s="99"/>
      <c r="L26" s="99"/>
      <c r="M26" s="99"/>
      <c r="N26" s="99"/>
      <c r="O26" s="99"/>
      <c r="P26" s="99"/>
      <c r="Q26" s="99"/>
      <c r="R26" s="99"/>
      <c r="S26" s="99"/>
    </row>
    <row r="27" spans="1:19" x14ac:dyDescent="0.2">
      <c r="A27" s="444" t="s">
        <v>397</v>
      </c>
      <c r="B27" s="129">
        <v>0</v>
      </c>
      <c r="C27" s="129">
        <v>0</v>
      </c>
      <c r="D27" s="99"/>
      <c r="E27" s="129">
        <v>0</v>
      </c>
      <c r="F27" s="129">
        <v>0</v>
      </c>
      <c r="G27" s="99"/>
      <c r="H27" s="99"/>
      <c r="I27" s="99"/>
      <c r="J27" s="99"/>
      <c r="K27" s="99"/>
      <c r="L27" s="99"/>
      <c r="M27" s="99"/>
      <c r="N27" s="99"/>
      <c r="O27" s="99"/>
      <c r="P27" s="99"/>
      <c r="Q27" s="99"/>
      <c r="R27" s="99"/>
      <c r="S27" s="99"/>
    </row>
    <row r="28" spans="1:19" x14ac:dyDescent="0.2">
      <c r="A28" s="444" t="s">
        <v>398</v>
      </c>
      <c r="B28" s="129">
        <v>0</v>
      </c>
      <c r="C28" s="129">
        <v>0</v>
      </c>
      <c r="D28" s="99"/>
      <c r="E28" s="129">
        <v>0</v>
      </c>
      <c r="F28" s="129">
        <v>0</v>
      </c>
      <c r="G28" s="99"/>
      <c r="H28" s="99"/>
      <c r="I28" s="99"/>
      <c r="J28" s="99"/>
      <c r="K28" s="99"/>
      <c r="L28" s="99"/>
      <c r="M28" s="99"/>
      <c r="N28" s="99"/>
      <c r="O28" s="99"/>
      <c r="P28" s="99"/>
      <c r="Q28" s="99"/>
      <c r="R28" s="99"/>
      <c r="S28" s="99"/>
    </row>
    <row r="29" spans="1:19" x14ac:dyDescent="0.2">
      <c r="A29" s="444" t="s">
        <v>399</v>
      </c>
      <c r="B29" s="129">
        <v>0</v>
      </c>
      <c r="C29" s="129">
        <v>0</v>
      </c>
      <c r="D29" s="99"/>
      <c r="E29" s="129">
        <v>0</v>
      </c>
      <c r="F29" s="129">
        <v>0</v>
      </c>
      <c r="G29" s="99"/>
      <c r="H29" s="99"/>
      <c r="I29" s="99"/>
      <c r="J29" s="99"/>
      <c r="K29" s="99"/>
      <c r="L29" s="99"/>
      <c r="M29" s="99"/>
      <c r="N29" s="99"/>
      <c r="O29" s="99"/>
      <c r="P29" s="99"/>
      <c r="Q29" s="99"/>
      <c r="R29" s="99"/>
      <c r="S29" s="99"/>
    </row>
    <row r="30" spans="1:19" x14ac:dyDescent="0.2">
      <c r="A30" s="444" t="s">
        <v>400</v>
      </c>
      <c r="B30" s="129">
        <v>0</v>
      </c>
      <c r="C30" s="129">
        <v>0</v>
      </c>
      <c r="D30" s="99"/>
      <c r="E30" s="129">
        <v>0</v>
      </c>
      <c r="F30" s="129">
        <v>0</v>
      </c>
      <c r="G30" s="99"/>
      <c r="H30" s="99"/>
      <c r="I30" s="99"/>
      <c r="J30" s="99"/>
      <c r="K30" s="99"/>
      <c r="L30" s="99"/>
      <c r="M30" s="99"/>
      <c r="N30" s="99"/>
      <c r="O30" s="99"/>
      <c r="P30" s="99"/>
      <c r="Q30" s="99"/>
      <c r="R30" s="99"/>
      <c r="S30" s="99"/>
    </row>
    <row r="31" spans="1:19" x14ac:dyDescent="0.2">
      <c r="A31" s="444" t="s">
        <v>58</v>
      </c>
      <c r="B31" s="129">
        <v>0</v>
      </c>
      <c r="C31" s="129">
        <v>0</v>
      </c>
      <c r="D31" s="99"/>
      <c r="E31" s="129">
        <v>0</v>
      </c>
      <c r="F31" s="129">
        <v>0</v>
      </c>
      <c r="G31" s="99"/>
      <c r="H31" s="99"/>
      <c r="I31" s="99"/>
      <c r="J31" s="99"/>
      <c r="K31" s="99"/>
      <c r="L31" s="99"/>
      <c r="M31" s="99"/>
      <c r="N31" s="99"/>
      <c r="O31" s="99"/>
      <c r="P31" s="99"/>
      <c r="Q31" s="99"/>
      <c r="R31" s="99"/>
      <c r="S31" s="99"/>
    </row>
    <row r="32" spans="1:19" x14ac:dyDescent="0.2">
      <c r="A32" s="444" t="s">
        <v>401</v>
      </c>
      <c r="B32" s="129">
        <v>0</v>
      </c>
      <c r="C32" s="129">
        <v>0</v>
      </c>
      <c r="D32" s="99"/>
      <c r="E32" s="129">
        <v>0</v>
      </c>
      <c r="F32" s="129">
        <v>0</v>
      </c>
      <c r="G32" s="99"/>
      <c r="H32" s="99"/>
      <c r="I32" s="99"/>
      <c r="J32" s="99"/>
      <c r="K32" s="99"/>
      <c r="L32" s="99"/>
      <c r="M32" s="99"/>
      <c r="N32" s="99"/>
      <c r="O32" s="99"/>
      <c r="P32" s="99"/>
      <c r="Q32" s="99"/>
      <c r="R32" s="99"/>
      <c r="S32" s="99"/>
    </row>
    <row r="33" spans="1:19" ht="15" x14ac:dyDescent="0.2">
      <c r="A33" s="132"/>
      <c r="B33" s="140"/>
      <c r="C33" s="140"/>
      <c r="D33" s="138" t="s">
        <v>4</v>
      </c>
      <c r="E33" s="139">
        <f>SUM(E11:E24)</f>
        <v>0</v>
      </c>
      <c r="F33" s="139">
        <f>SUM(F11:F24)</f>
        <v>0</v>
      </c>
      <c r="G33" s="99"/>
      <c r="H33" s="99"/>
      <c r="I33" s="99"/>
      <c r="J33" s="99"/>
      <c r="K33" s="99"/>
      <c r="L33" s="99"/>
      <c r="M33" s="99"/>
      <c r="N33" s="99"/>
      <c r="O33" s="99"/>
      <c r="P33" s="99"/>
      <c r="Q33" s="99"/>
      <c r="R33" s="99"/>
      <c r="S33" s="99"/>
    </row>
    <row r="34" spans="1:19" x14ac:dyDescent="0.2">
      <c r="A34" s="122" t="s">
        <v>178</v>
      </c>
      <c r="B34" s="140"/>
      <c r="C34" s="140"/>
      <c r="D34" s="99"/>
      <c r="E34" s="99"/>
      <c r="F34" s="99"/>
      <c r="G34" s="99"/>
      <c r="H34" s="99"/>
      <c r="I34" s="99"/>
      <c r="J34" s="99"/>
      <c r="K34" s="99"/>
      <c r="L34" s="99"/>
      <c r="M34" s="99"/>
      <c r="N34" s="99"/>
      <c r="O34" s="99"/>
      <c r="P34" s="99"/>
      <c r="Q34" s="99"/>
      <c r="R34" s="99"/>
      <c r="S34" s="99"/>
    </row>
    <row r="35" spans="1:19" x14ac:dyDescent="0.2">
      <c r="A35" s="131" t="s">
        <v>182</v>
      </c>
      <c r="B35" s="138" t="str">
        <f>B10</f>
        <v>MyCounty</v>
      </c>
      <c r="C35" s="99" t="str">
        <f>C10</f>
        <v>MyRegion</v>
      </c>
      <c r="D35" s="99"/>
      <c r="E35" s="99"/>
      <c r="F35" s="99"/>
      <c r="G35" s="99"/>
      <c r="H35" s="99"/>
      <c r="I35" s="99"/>
      <c r="J35" s="99"/>
      <c r="K35" s="99"/>
      <c r="L35" s="99"/>
      <c r="M35" s="99"/>
      <c r="N35" s="99"/>
      <c r="O35" s="99"/>
      <c r="P35" s="99"/>
      <c r="Q35" s="99"/>
      <c r="R35" s="99"/>
      <c r="S35" s="99"/>
    </row>
    <row r="36" spans="1:19" x14ac:dyDescent="0.2">
      <c r="A36" s="444" t="s">
        <v>388</v>
      </c>
      <c r="B36" s="129">
        <v>0</v>
      </c>
      <c r="C36" s="129">
        <v>0</v>
      </c>
      <c r="D36" s="99"/>
      <c r="E36" s="99"/>
      <c r="F36" s="99"/>
      <c r="G36" s="99"/>
      <c r="H36" s="99"/>
      <c r="I36" s="99"/>
      <c r="J36" s="99"/>
      <c r="K36" s="99"/>
      <c r="L36" s="99"/>
      <c r="M36" s="99"/>
      <c r="N36" s="99"/>
      <c r="O36" s="99"/>
      <c r="P36" s="99"/>
      <c r="Q36" s="99"/>
      <c r="R36" s="99"/>
      <c r="S36" s="99"/>
    </row>
    <row r="37" spans="1:19" x14ac:dyDescent="0.2">
      <c r="A37" s="444" t="s">
        <v>124</v>
      </c>
      <c r="B37" s="129">
        <v>0</v>
      </c>
      <c r="C37" s="129">
        <v>0</v>
      </c>
      <c r="D37" s="99"/>
      <c r="E37" s="99"/>
      <c r="F37" s="99"/>
      <c r="G37" s="99"/>
      <c r="H37" s="99"/>
      <c r="I37" s="99"/>
      <c r="J37" s="99"/>
      <c r="K37" s="99"/>
      <c r="L37" s="99"/>
      <c r="M37" s="99"/>
      <c r="N37" s="99"/>
      <c r="O37" s="99"/>
      <c r="P37" s="99"/>
      <c r="Q37" s="99"/>
      <c r="R37" s="99"/>
      <c r="S37" s="99"/>
    </row>
    <row r="38" spans="1:19" x14ac:dyDescent="0.2">
      <c r="A38" s="444" t="s">
        <v>56</v>
      </c>
      <c r="B38" s="129">
        <v>0</v>
      </c>
      <c r="C38" s="129">
        <v>0</v>
      </c>
      <c r="D38" s="99"/>
      <c r="E38" s="99"/>
      <c r="F38" s="99"/>
      <c r="G38" s="99"/>
      <c r="H38" s="99"/>
      <c r="I38" s="99"/>
      <c r="J38" s="99"/>
      <c r="K38" s="99"/>
      <c r="L38" s="99"/>
      <c r="M38" s="99"/>
      <c r="N38" s="99"/>
      <c r="O38" s="99"/>
      <c r="P38" s="99"/>
      <c r="Q38" s="99"/>
      <c r="R38" s="99"/>
      <c r="S38" s="99"/>
    </row>
    <row r="39" spans="1:19" x14ac:dyDescent="0.2">
      <c r="A39" s="444" t="s">
        <v>389</v>
      </c>
      <c r="B39" s="129">
        <v>0</v>
      </c>
      <c r="C39" s="129">
        <v>0</v>
      </c>
      <c r="D39" s="99"/>
      <c r="E39" s="99"/>
      <c r="F39" s="99"/>
      <c r="G39" s="99"/>
      <c r="H39" s="99"/>
      <c r="I39" s="99"/>
      <c r="J39" s="99"/>
      <c r="K39" s="99"/>
      <c r="L39" s="99"/>
      <c r="M39" s="99"/>
      <c r="N39" s="99"/>
      <c r="O39" s="99"/>
      <c r="P39" s="99"/>
      <c r="Q39" s="99"/>
      <c r="R39" s="99"/>
      <c r="S39" s="99"/>
    </row>
    <row r="40" spans="1:19" x14ac:dyDescent="0.2">
      <c r="A40" s="444" t="s">
        <v>390</v>
      </c>
      <c r="B40" s="129">
        <v>0</v>
      </c>
      <c r="C40" s="129">
        <v>0</v>
      </c>
      <c r="D40" s="99"/>
      <c r="E40" s="99"/>
      <c r="F40" s="99"/>
      <c r="G40" s="99"/>
      <c r="H40" s="99"/>
      <c r="I40" s="99"/>
      <c r="J40" s="99"/>
      <c r="K40" s="99"/>
      <c r="L40" s="99"/>
      <c r="M40" s="99"/>
      <c r="N40" s="99"/>
      <c r="O40" s="99"/>
      <c r="P40" s="99"/>
      <c r="Q40" s="99"/>
      <c r="R40" s="99"/>
      <c r="S40" s="99"/>
    </row>
    <row r="41" spans="1:19" x14ac:dyDescent="0.2">
      <c r="A41" s="444" t="s">
        <v>125</v>
      </c>
      <c r="B41" s="129">
        <v>0</v>
      </c>
      <c r="C41" s="129">
        <v>0</v>
      </c>
      <c r="D41" s="99"/>
      <c r="E41" s="99"/>
      <c r="F41" s="99"/>
      <c r="G41" s="99"/>
      <c r="H41" s="99"/>
      <c r="I41" s="99"/>
      <c r="J41" s="99"/>
      <c r="K41" s="99"/>
      <c r="L41" s="99"/>
      <c r="M41" s="99"/>
      <c r="N41" s="99"/>
      <c r="O41" s="99"/>
      <c r="P41" s="99"/>
      <c r="Q41" s="99"/>
      <c r="R41" s="99"/>
      <c r="S41" s="99"/>
    </row>
    <row r="42" spans="1:19" x14ac:dyDescent="0.2">
      <c r="A42" s="444" t="s">
        <v>126</v>
      </c>
      <c r="B42" s="129">
        <v>0</v>
      </c>
      <c r="C42" s="129">
        <v>0</v>
      </c>
      <c r="D42" s="99"/>
      <c r="E42" s="99"/>
      <c r="F42" s="99"/>
      <c r="G42" s="99"/>
      <c r="H42" s="99"/>
      <c r="I42" s="99"/>
      <c r="J42" s="99"/>
      <c r="K42" s="99"/>
      <c r="L42" s="99"/>
      <c r="M42" s="99"/>
      <c r="N42" s="99"/>
      <c r="O42" s="99"/>
      <c r="P42" s="99"/>
      <c r="Q42" s="99"/>
      <c r="R42" s="99"/>
      <c r="S42" s="99"/>
    </row>
    <row r="43" spans="1:19" x14ac:dyDescent="0.2">
      <c r="A43" s="444" t="s">
        <v>127</v>
      </c>
      <c r="B43" s="129">
        <v>0</v>
      </c>
      <c r="C43" s="129">
        <v>0</v>
      </c>
      <c r="D43" s="99"/>
      <c r="E43" s="99"/>
      <c r="F43" s="99"/>
      <c r="G43" s="99"/>
      <c r="H43" s="99"/>
      <c r="I43" s="99"/>
      <c r="J43" s="99"/>
      <c r="K43" s="99"/>
      <c r="L43" s="99"/>
      <c r="M43" s="99"/>
      <c r="N43" s="99"/>
      <c r="O43" s="99"/>
      <c r="P43" s="99"/>
      <c r="Q43" s="99"/>
      <c r="R43" s="99"/>
      <c r="S43" s="99"/>
    </row>
    <row r="44" spans="1:19" x14ac:dyDescent="0.2">
      <c r="A44" s="444" t="s">
        <v>391</v>
      </c>
      <c r="B44" s="129">
        <v>0</v>
      </c>
      <c r="C44" s="129">
        <v>0</v>
      </c>
      <c r="D44" s="99"/>
      <c r="E44" s="99"/>
      <c r="F44" s="99"/>
      <c r="G44" s="99"/>
      <c r="H44" s="99"/>
      <c r="I44" s="99"/>
      <c r="J44" s="99"/>
      <c r="K44" s="99"/>
      <c r="L44" s="99"/>
      <c r="M44" s="99"/>
      <c r="N44" s="99"/>
      <c r="O44" s="99"/>
      <c r="P44" s="99"/>
      <c r="Q44" s="99"/>
      <c r="R44" s="99"/>
      <c r="S44" s="99"/>
    </row>
    <row r="45" spans="1:19" x14ac:dyDescent="0.2">
      <c r="A45" s="444" t="s">
        <v>392</v>
      </c>
      <c r="B45" s="129">
        <v>0</v>
      </c>
      <c r="C45" s="129">
        <v>0</v>
      </c>
      <c r="D45" s="99"/>
      <c r="E45" s="99"/>
      <c r="F45" s="99"/>
      <c r="G45" s="99"/>
      <c r="H45" s="99"/>
      <c r="I45" s="99"/>
      <c r="J45" s="99"/>
      <c r="K45" s="99"/>
      <c r="L45" s="99"/>
      <c r="M45" s="99"/>
      <c r="N45" s="99"/>
      <c r="O45" s="99"/>
      <c r="P45" s="99"/>
      <c r="Q45" s="99"/>
      <c r="R45" s="99"/>
      <c r="S45" s="99"/>
    </row>
    <row r="46" spans="1:19" x14ac:dyDescent="0.2">
      <c r="A46" s="444" t="s">
        <v>393</v>
      </c>
      <c r="B46" s="129">
        <v>0</v>
      </c>
      <c r="C46" s="129">
        <v>0</v>
      </c>
      <c r="D46" s="99"/>
      <c r="E46" s="99"/>
      <c r="F46" s="99"/>
      <c r="G46" s="99"/>
      <c r="H46" s="99"/>
      <c r="I46" s="99"/>
      <c r="J46" s="99"/>
      <c r="K46" s="99"/>
      <c r="L46" s="99"/>
      <c r="M46" s="99"/>
      <c r="N46" s="99"/>
      <c r="O46" s="99"/>
      <c r="P46" s="99"/>
      <c r="Q46" s="99"/>
      <c r="R46" s="99"/>
      <c r="S46" s="99"/>
    </row>
    <row r="47" spans="1:19" x14ac:dyDescent="0.2">
      <c r="A47" s="444" t="s">
        <v>57</v>
      </c>
      <c r="B47" s="129">
        <v>0</v>
      </c>
      <c r="C47" s="129">
        <v>0</v>
      </c>
      <c r="D47" s="99"/>
      <c r="E47" s="99"/>
      <c r="F47" s="99"/>
      <c r="G47" s="99"/>
      <c r="H47" s="99"/>
      <c r="I47" s="99"/>
      <c r="J47" s="99"/>
      <c r="K47" s="99"/>
      <c r="L47" s="99"/>
      <c r="M47" s="99"/>
      <c r="N47" s="99"/>
      <c r="O47" s="99"/>
      <c r="P47" s="99"/>
      <c r="Q47" s="99"/>
      <c r="R47" s="99"/>
      <c r="S47" s="99"/>
    </row>
    <row r="48" spans="1:19" x14ac:dyDescent="0.2">
      <c r="A48" s="444" t="s">
        <v>394</v>
      </c>
      <c r="B48" s="129">
        <v>0</v>
      </c>
      <c r="C48" s="129">
        <v>0</v>
      </c>
      <c r="D48" s="99"/>
      <c r="E48" s="99"/>
      <c r="F48" s="99"/>
      <c r="G48" s="99"/>
      <c r="H48" s="99"/>
      <c r="I48" s="99"/>
      <c r="J48" s="99"/>
      <c r="K48" s="99"/>
      <c r="L48" s="99"/>
      <c r="M48" s="99"/>
      <c r="N48" s="99"/>
      <c r="O48" s="99"/>
      <c r="P48" s="99"/>
      <c r="Q48" s="99"/>
      <c r="R48" s="99"/>
      <c r="S48" s="99"/>
    </row>
    <row r="49" spans="1:19" x14ac:dyDescent="0.2">
      <c r="A49" s="444" t="s">
        <v>128</v>
      </c>
      <c r="B49" s="129">
        <v>0</v>
      </c>
      <c r="C49" s="129">
        <v>0</v>
      </c>
      <c r="D49" s="99"/>
      <c r="E49" s="99"/>
      <c r="F49" s="99"/>
      <c r="G49" s="99"/>
      <c r="H49" s="99"/>
      <c r="I49" s="99"/>
      <c r="J49" s="99"/>
      <c r="K49" s="99"/>
      <c r="L49" s="99"/>
      <c r="M49" s="99"/>
      <c r="N49" s="99"/>
      <c r="O49" s="99"/>
      <c r="P49" s="99"/>
      <c r="Q49" s="99"/>
      <c r="R49" s="99"/>
      <c r="S49" s="99"/>
    </row>
    <row r="50" spans="1:19" x14ac:dyDescent="0.2">
      <c r="A50" s="444" t="s">
        <v>395</v>
      </c>
      <c r="B50" s="129">
        <v>0</v>
      </c>
      <c r="C50" s="129">
        <v>0</v>
      </c>
      <c r="D50" s="99"/>
      <c r="E50" s="99"/>
      <c r="F50" s="99"/>
      <c r="G50" s="99"/>
      <c r="H50" s="99"/>
      <c r="I50" s="99"/>
      <c r="J50" s="99"/>
      <c r="K50" s="99"/>
      <c r="L50" s="99"/>
      <c r="M50" s="99"/>
      <c r="N50" s="99"/>
      <c r="O50" s="99"/>
      <c r="P50" s="99"/>
      <c r="Q50" s="99"/>
      <c r="R50" s="99"/>
      <c r="S50" s="99"/>
    </row>
    <row r="51" spans="1:19" x14ac:dyDescent="0.2">
      <c r="A51" s="444" t="s">
        <v>396</v>
      </c>
      <c r="B51" s="129">
        <v>0</v>
      </c>
      <c r="C51" s="129">
        <v>0</v>
      </c>
      <c r="D51" s="99"/>
      <c r="E51" s="99"/>
      <c r="F51" s="99"/>
      <c r="G51" s="99"/>
      <c r="H51" s="99"/>
      <c r="I51" s="99"/>
      <c r="J51" s="99"/>
      <c r="K51" s="99"/>
      <c r="L51" s="99"/>
      <c r="M51" s="99"/>
      <c r="N51" s="99"/>
      <c r="O51" s="99"/>
      <c r="P51" s="99"/>
      <c r="Q51" s="99"/>
      <c r="R51" s="99"/>
      <c r="S51" s="99"/>
    </row>
    <row r="52" spans="1:19" x14ac:dyDescent="0.2">
      <c r="A52" s="444" t="s">
        <v>397</v>
      </c>
      <c r="B52" s="129">
        <v>0</v>
      </c>
      <c r="C52" s="129">
        <v>0</v>
      </c>
      <c r="D52" s="99"/>
      <c r="E52" s="99"/>
      <c r="F52" s="99"/>
      <c r="G52" s="99"/>
      <c r="H52" s="99"/>
      <c r="I52" s="99"/>
      <c r="J52" s="99"/>
      <c r="K52" s="99"/>
      <c r="L52" s="99"/>
      <c r="M52" s="99"/>
      <c r="N52" s="99"/>
      <c r="O52" s="99"/>
      <c r="P52" s="99"/>
      <c r="Q52" s="99"/>
      <c r="R52" s="99"/>
      <c r="S52" s="99"/>
    </row>
    <row r="53" spans="1:19" x14ac:dyDescent="0.2">
      <c r="A53" s="444" t="s">
        <v>398</v>
      </c>
      <c r="B53" s="129">
        <v>0</v>
      </c>
      <c r="C53" s="129">
        <v>0</v>
      </c>
      <c r="D53" s="99"/>
      <c r="E53" s="99"/>
      <c r="F53" s="99"/>
      <c r="G53" s="99"/>
      <c r="H53" s="99"/>
      <c r="I53" s="99"/>
      <c r="J53" s="99"/>
      <c r="K53" s="99"/>
      <c r="L53" s="99"/>
      <c r="M53" s="99"/>
      <c r="N53" s="99"/>
      <c r="O53" s="99"/>
      <c r="P53" s="99"/>
      <c r="Q53" s="99"/>
      <c r="R53" s="99"/>
      <c r="S53" s="99"/>
    </row>
    <row r="54" spans="1:19" x14ac:dyDescent="0.2">
      <c r="A54" s="444" t="s">
        <v>399</v>
      </c>
      <c r="B54" s="129">
        <v>0</v>
      </c>
      <c r="C54" s="129">
        <v>0</v>
      </c>
      <c r="D54" s="99"/>
      <c r="E54" s="99"/>
      <c r="F54" s="99"/>
      <c r="G54" s="99"/>
      <c r="H54" s="99"/>
      <c r="I54" s="99"/>
      <c r="J54" s="99"/>
      <c r="K54" s="99"/>
      <c r="L54" s="99"/>
      <c r="M54" s="99"/>
      <c r="N54" s="99"/>
      <c r="O54" s="99"/>
      <c r="P54" s="99"/>
      <c r="Q54" s="99"/>
      <c r="R54" s="99"/>
      <c r="S54" s="99"/>
    </row>
    <row r="55" spans="1:19" x14ac:dyDescent="0.2">
      <c r="A55" s="444" t="s">
        <v>400</v>
      </c>
      <c r="B55" s="129">
        <v>0</v>
      </c>
      <c r="C55" s="129">
        <v>0</v>
      </c>
      <c r="D55" s="99"/>
      <c r="E55" s="99"/>
      <c r="F55" s="99"/>
      <c r="G55" s="99"/>
      <c r="H55" s="99"/>
      <c r="I55" s="99"/>
      <c r="J55" s="99"/>
      <c r="K55" s="99"/>
      <c r="L55" s="99"/>
      <c r="M55" s="99"/>
      <c r="N55" s="99"/>
      <c r="O55" s="99"/>
      <c r="P55" s="99"/>
      <c r="Q55" s="99"/>
      <c r="R55" s="99"/>
      <c r="S55" s="99"/>
    </row>
    <row r="56" spans="1:19" x14ac:dyDescent="0.2">
      <c r="A56" s="444" t="s">
        <v>58</v>
      </c>
      <c r="B56" s="129">
        <v>0</v>
      </c>
      <c r="C56" s="129">
        <v>0</v>
      </c>
      <c r="D56" s="99"/>
      <c r="E56" s="99"/>
      <c r="F56" s="99"/>
      <c r="G56" s="99"/>
      <c r="H56" s="99"/>
      <c r="I56" s="99"/>
      <c r="J56" s="99"/>
      <c r="K56" s="99"/>
      <c r="L56" s="99"/>
      <c r="M56" s="99"/>
      <c r="N56" s="99"/>
      <c r="O56" s="99"/>
      <c r="P56" s="99"/>
      <c r="Q56" s="99"/>
      <c r="R56" s="99"/>
      <c r="S56" s="99"/>
    </row>
    <row r="57" spans="1:19" x14ac:dyDescent="0.2">
      <c r="A57" s="444" t="s">
        <v>401</v>
      </c>
      <c r="B57" s="129">
        <v>0</v>
      </c>
      <c r="C57" s="129">
        <v>0</v>
      </c>
      <c r="D57" s="99"/>
      <c r="E57" s="99"/>
      <c r="F57" s="99"/>
      <c r="G57" s="99"/>
      <c r="H57" s="99"/>
      <c r="I57" s="99"/>
      <c r="J57" s="99"/>
      <c r="K57" s="99"/>
      <c r="L57" s="99"/>
      <c r="M57" s="99"/>
      <c r="N57" s="99"/>
      <c r="O57" s="99"/>
      <c r="P57" s="99"/>
      <c r="Q57" s="99"/>
      <c r="R57" s="99"/>
      <c r="S57" s="99"/>
    </row>
    <row r="58" spans="1:19" ht="15" x14ac:dyDescent="0.2">
      <c r="A58" s="132"/>
      <c r="B58" s="140"/>
      <c r="C58" s="140"/>
      <c r="D58" s="99"/>
      <c r="E58" s="99"/>
      <c r="F58" s="99"/>
      <c r="G58" s="99"/>
      <c r="H58" s="99"/>
      <c r="I58" s="99"/>
      <c r="J58" s="99"/>
      <c r="K58" s="99"/>
      <c r="L58" s="99"/>
      <c r="M58" s="99"/>
      <c r="N58" s="99"/>
      <c r="O58" s="99"/>
      <c r="P58" s="99"/>
      <c r="Q58" s="99"/>
      <c r="R58" s="99"/>
      <c r="S58" s="99"/>
    </row>
    <row r="59" spans="1:19" x14ac:dyDescent="0.2">
      <c r="A59" s="122" t="s">
        <v>178</v>
      </c>
      <c r="B59" s="140"/>
      <c r="C59" s="140"/>
      <c r="D59" s="99"/>
      <c r="E59" s="99"/>
      <c r="F59" s="99"/>
      <c r="G59" s="99"/>
      <c r="H59" s="99"/>
      <c r="I59" s="99"/>
      <c r="J59" s="99"/>
      <c r="K59" s="99"/>
      <c r="L59" s="99"/>
      <c r="M59" s="99"/>
      <c r="N59" s="99"/>
      <c r="O59" s="99"/>
      <c r="P59" s="99"/>
      <c r="Q59" s="99"/>
      <c r="R59" s="99"/>
      <c r="S59" s="99"/>
    </row>
    <row r="60" spans="1:19" x14ac:dyDescent="0.2">
      <c r="A60" s="131" t="s">
        <v>184</v>
      </c>
      <c r="B60" s="138" t="str">
        <f>B35</f>
        <v>MyCounty</v>
      </c>
      <c r="C60" s="99" t="str">
        <f>C35</f>
        <v>MyRegion</v>
      </c>
      <c r="D60" s="99"/>
      <c r="E60" s="99"/>
      <c r="F60" s="99"/>
      <c r="G60" s="99"/>
      <c r="H60" s="99"/>
      <c r="I60" s="99"/>
      <c r="J60" s="99"/>
      <c r="K60" s="99"/>
      <c r="L60" s="99"/>
      <c r="M60" s="99"/>
      <c r="N60" s="99"/>
      <c r="O60" s="99"/>
      <c r="P60" s="99"/>
      <c r="Q60" s="99"/>
      <c r="R60" s="99"/>
      <c r="S60" s="99"/>
    </row>
    <row r="61" spans="1:19" x14ac:dyDescent="0.2">
      <c r="A61" s="444" t="s">
        <v>388</v>
      </c>
      <c r="B61" s="129">
        <v>0</v>
      </c>
      <c r="C61" s="129">
        <v>0</v>
      </c>
      <c r="D61" s="99"/>
      <c r="E61" s="99"/>
      <c r="F61" s="99"/>
      <c r="G61" s="99"/>
      <c r="H61" s="99"/>
      <c r="I61" s="99"/>
      <c r="J61" s="99"/>
      <c r="K61" s="99"/>
      <c r="L61" s="99"/>
      <c r="M61" s="99"/>
      <c r="N61" s="99"/>
      <c r="O61" s="99"/>
      <c r="P61" s="99"/>
      <c r="Q61" s="99"/>
      <c r="R61" s="99"/>
      <c r="S61" s="99"/>
    </row>
    <row r="62" spans="1:19" x14ac:dyDescent="0.2">
      <c r="A62" s="444" t="s">
        <v>124</v>
      </c>
      <c r="B62" s="129">
        <v>0</v>
      </c>
      <c r="C62" s="129">
        <v>0</v>
      </c>
      <c r="D62" s="99"/>
      <c r="E62" s="99"/>
      <c r="F62" s="99"/>
      <c r="G62" s="99"/>
      <c r="H62" s="99"/>
      <c r="I62" s="99"/>
      <c r="J62" s="99"/>
      <c r="K62" s="99"/>
      <c r="L62" s="99"/>
      <c r="M62" s="99"/>
      <c r="N62" s="99"/>
      <c r="O62" s="99"/>
      <c r="P62" s="99"/>
      <c r="Q62" s="99"/>
      <c r="R62" s="99"/>
      <c r="S62" s="99"/>
    </row>
    <row r="63" spans="1:19" x14ac:dyDescent="0.2">
      <c r="A63" s="444" t="s">
        <v>56</v>
      </c>
      <c r="B63" s="129">
        <v>0</v>
      </c>
      <c r="C63" s="129">
        <v>0</v>
      </c>
      <c r="D63" s="99"/>
      <c r="E63" s="99"/>
      <c r="F63" s="99"/>
      <c r="G63" s="99"/>
      <c r="H63" s="99"/>
      <c r="I63" s="99"/>
      <c r="J63" s="99"/>
      <c r="K63" s="99"/>
      <c r="L63" s="99"/>
      <c r="M63" s="99"/>
      <c r="N63" s="99"/>
      <c r="O63" s="99"/>
      <c r="P63" s="99"/>
      <c r="Q63" s="99"/>
      <c r="R63" s="99"/>
      <c r="S63" s="99"/>
    </row>
    <row r="64" spans="1:19" x14ac:dyDescent="0.2">
      <c r="A64" s="444" t="s">
        <v>389</v>
      </c>
      <c r="B64" s="129">
        <v>0</v>
      </c>
      <c r="C64" s="129">
        <v>0</v>
      </c>
      <c r="D64" s="99"/>
      <c r="E64" s="99"/>
      <c r="F64" s="99"/>
      <c r="G64" s="99"/>
      <c r="H64" s="99"/>
      <c r="I64" s="99"/>
      <c r="J64" s="99"/>
      <c r="K64" s="99"/>
      <c r="L64" s="99"/>
      <c r="M64" s="99"/>
      <c r="N64" s="99"/>
      <c r="O64" s="99"/>
      <c r="P64" s="99"/>
      <c r="Q64" s="99"/>
      <c r="R64" s="99"/>
      <c r="S64" s="99"/>
    </row>
    <row r="65" spans="1:19" x14ac:dyDescent="0.2">
      <c r="A65" s="444" t="s">
        <v>390</v>
      </c>
      <c r="B65" s="129">
        <v>0</v>
      </c>
      <c r="C65" s="129">
        <v>0</v>
      </c>
      <c r="D65" s="99"/>
      <c r="E65" s="99"/>
      <c r="F65" s="99"/>
      <c r="G65" s="99"/>
      <c r="H65" s="99"/>
      <c r="I65" s="99"/>
      <c r="J65" s="99"/>
      <c r="K65" s="99"/>
      <c r="L65" s="99"/>
      <c r="M65" s="99"/>
      <c r="N65" s="99"/>
      <c r="O65" s="99"/>
      <c r="P65" s="99"/>
      <c r="Q65" s="99"/>
      <c r="R65" s="99"/>
      <c r="S65" s="99"/>
    </row>
    <row r="66" spans="1:19" x14ac:dyDescent="0.2">
      <c r="A66" s="444" t="s">
        <v>125</v>
      </c>
      <c r="B66" s="129">
        <v>0</v>
      </c>
      <c r="C66" s="129">
        <v>0</v>
      </c>
      <c r="D66" s="99"/>
      <c r="E66" s="99"/>
      <c r="F66" s="99"/>
      <c r="G66" s="99"/>
      <c r="H66" s="99"/>
      <c r="I66" s="99"/>
      <c r="J66" s="99"/>
      <c r="K66" s="99"/>
      <c r="L66" s="99"/>
      <c r="M66" s="99"/>
      <c r="N66" s="99"/>
      <c r="O66" s="99"/>
      <c r="P66" s="99"/>
      <c r="Q66" s="99"/>
      <c r="R66" s="99"/>
      <c r="S66" s="99"/>
    </row>
    <row r="67" spans="1:19" x14ac:dyDescent="0.2">
      <c r="A67" s="444" t="s">
        <v>126</v>
      </c>
      <c r="B67" s="129">
        <v>0</v>
      </c>
      <c r="C67" s="129">
        <v>0</v>
      </c>
      <c r="D67" s="99"/>
      <c r="E67" s="99"/>
      <c r="F67" s="99"/>
      <c r="G67" s="99"/>
      <c r="H67" s="99"/>
      <c r="I67" s="99"/>
      <c r="J67" s="99"/>
      <c r="K67" s="99"/>
      <c r="L67" s="99"/>
      <c r="M67" s="99"/>
      <c r="N67" s="99"/>
      <c r="O67" s="99"/>
      <c r="P67" s="99"/>
      <c r="Q67" s="99"/>
      <c r="R67" s="99"/>
      <c r="S67" s="99"/>
    </row>
    <row r="68" spans="1:19" x14ac:dyDescent="0.2">
      <c r="A68" s="444" t="s">
        <v>127</v>
      </c>
      <c r="B68" s="129">
        <v>0</v>
      </c>
      <c r="C68" s="129">
        <v>0</v>
      </c>
      <c r="D68" s="99"/>
      <c r="E68" s="99"/>
      <c r="F68" s="99"/>
      <c r="G68" s="99"/>
      <c r="H68" s="99"/>
      <c r="I68" s="99"/>
      <c r="J68" s="99"/>
      <c r="K68" s="99"/>
      <c r="L68" s="99"/>
      <c r="M68" s="99"/>
      <c r="N68" s="99"/>
      <c r="O68" s="99"/>
      <c r="P68" s="99"/>
      <c r="Q68" s="99"/>
      <c r="R68" s="99"/>
      <c r="S68" s="99"/>
    </row>
    <row r="69" spans="1:19" x14ac:dyDescent="0.2">
      <c r="A69" s="444" t="s">
        <v>391</v>
      </c>
      <c r="B69" s="129">
        <v>0</v>
      </c>
      <c r="C69" s="129">
        <v>0</v>
      </c>
      <c r="D69" s="99"/>
      <c r="E69" s="99"/>
      <c r="F69" s="99"/>
      <c r="G69" s="99"/>
      <c r="H69" s="99"/>
      <c r="I69" s="99"/>
      <c r="J69" s="99"/>
      <c r="K69" s="99"/>
      <c r="L69" s="99"/>
      <c r="M69" s="99"/>
      <c r="N69" s="99"/>
      <c r="O69" s="99"/>
      <c r="P69" s="99"/>
      <c r="Q69" s="99"/>
      <c r="R69" s="99"/>
      <c r="S69" s="99"/>
    </row>
    <row r="70" spans="1:19" x14ac:dyDescent="0.2">
      <c r="A70" s="444" t="s">
        <v>392</v>
      </c>
      <c r="B70" s="129">
        <v>0</v>
      </c>
      <c r="C70" s="129">
        <v>0</v>
      </c>
      <c r="D70" s="99"/>
      <c r="E70" s="99"/>
      <c r="F70" s="99"/>
      <c r="G70" s="99"/>
      <c r="H70" s="99"/>
      <c r="I70" s="99"/>
      <c r="J70" s="99"/>
      <c r="K70" s="99"/>
      <c r="L70" s="99"/>
      <c r="M70" s="99"/>
      <c r="N70" s="99"/>
      <c r="O70" s="99"/>
      <c r="P70" s="99"/>
      <c r="Q70" s="99"/>
      <c r="R70" s="99"/>
      <c r="S70" s="99"/>
    </row>
    <row r="71" spans="1:19" x14ac:dyDescent="0.2">
      <c r="A71" s="444" t="s">
        <v>393</v>
      </c>
      <c r="B71" s="129">
        <v>0</v>
      </c>
      <c r="C71" s="129">
        <v>0</v>
      </c>
      <c r="D71" s="99"/>
      <c r="E71" s="99"/>
      <c r="F71" s="99"/>
      <c r="G71" s="99"/>
      <c r="H71" s="99"/>
      <c r="I71" s="99"/>
      <c r="J71" s="99"/>
      <c r="K71" s="99"/>
      <c r="L71" s="99"/>
      <c r="M71" s="99"/>
      <c r="N71" s="99"/>
      <c r="O71" s="99"/>
      <c r="P71" s="99"/>
      <c r="Q71" s="99"/>
      <c r="R71" s="99"/>
      <c r="S71" s="99"/>
    </row>
    <row r="72" spans="1:19" x14ac:dyDescent="0.2">
      <c r="A72" s="444" t="s">
        <v>57</v>
      </c>
      <c r="B72" s="129">
        <v>0</v>
      </c>
      <c r="C72" s="129">
        <v>0</v>
      </c>
      <c r="D72" s="99"/>
      <c r="E72" s="99"/>
      <c r="F72" s="99"/>
      <c r="G72" s="99"/>
      <c r="H72" s="99"/>
      <c r="I72" s="99"/>
      <c r="J72" s="99"/>
      <c r="K72" s="99"/>
      <c r="L72" s="99"/>
      <c r="M72" s="99"/>
      <c r="N72" s="99"/>
      <c r="O72" s="99"/>
      <c r="P72" s="99"/>
      <c r="Q72" s="99"/>
      <c r="R72" s="99"/>
      <c r="S72" s="99"/>
    </row>
    <row r="73" spans="1:19" x14ac:dyDescent="0.2">
      <c r="A73" s="444" t="s">
        <v>394</v>
      </c>
      <c r="B73" s="129">
        <v>0</v>
      </c>
      <c r="C73" s="129">
        <v>0</v>
      </c>
      <c r="D73" s="99"/>
      <c r="E73" s="99"/>
      <c r="F73" s="99"/>
      <c r="G73" s="99"/>
      <c r="H73" s="99"/>
      <c r="I73" s="99"/>
      <c r="J73" s="99"/>
      <c r="K73" s="99"/>
      <c r="L73" s="99"/>
      <c r="M73" s="99"/>
      <c r="N73" s="99"/>
      <c r="O73" s="99"/>
      <c r="P73" s="99"/>
      <c r="Q73" s="99"/>
      <c r="R73" s="99"/>
      <c r="S73" s="99"/>
    </row>
    <row r="74" spans="1:19" x14ac:dyDescent="0.2">
      <c r="A74" s="444" t="s">
        <v>128</v>
      </c>
      <c r="B74" s="129">
        <v>0</v>
      </c>
      <c r="C74" s="129">
        <v>0</v>
      </c>
      <c r="D74" s="99"/>
      <c r="E74" s="99"/>
      <c r="F74" s="99"/>
      <c r="G74" s="99"/>
      <c r="H74" s="99"/>
      <c r="I74" s="99"/>
      <c r="J74" s="99"/>
      <c r="K74" s="99"/>
      <c r="L74" s="99"/>
      <c r="M74" s="99"/>
      <c r="N74" s="99"/>
      <c r="O74" s="99"/>
      <c r="P74" s="99"/>
      <c r="Q74" s="99"/>
      <c r="R74" s="99"/>
      <c r="S74" s="99"/>
    </row>
    <row r="75" spans="1:19" x14ac:dyDescent="0.2">
      <c r="A75" s="444" t="s">
        <v>395</v>
      </c>
      <c r="B75" s="129">
        <v>0</v>
      </c>
      <c r="C75" s="129">
        <v>0</v>
      </c>
      <c r="D75" s="99"/>
      <c r="E75" s="99"/>
      <c r="F75" s="99"/>
      <c r="G75" s="99"/>
      <c r="H75" s="99"/>
      <c r="I75" s="99"/>
      <c r="J75" s="99"/>
      <c r="K75" s="99"/>
      <c r="L75" s="99"/>
      <c r="M75" s="99"/>
      <c r="N75" s="99"/>
      <c r="O75" s="99"/>
      <c r="P75" s="99"/>
      <c r="Q75" s="99"/>
      <c r="R75" s="99"/>
      <c r="S75" s="99"/>
    </row>
    <row r="76" spans="1:19" x14ac:dyDescent="0.2">
      <c r="A76" s="444" t="s">
        <v>396</v>
      </c>
      <c r="B76" s="129">
        <v>0</v>
      </c>
      <c r="C76" s="129">
        <v>0</v>
      </c>
      <c r="D76" s="99"/>
      <c r="E76" s="99"/>
      <c r="F76" s="99"/>
      <c r="G76" s="99"/>
      <c r="H76" s="99"/>
      <c r="I76" s="99"/>
      <c r="J76" s="99"/>
      <c r="K76" s="99"/>
      <c r="L76" s="99"/>
      <c r="M76" s="99"/>
      <c r="N76" s="99"/>
      <c r="O76" s="99"/>
      <c r="P76" s="99"/>
      <c r="Q76" s="99"/>
      <c r="R76" s="99"/>
      <c r="S76" s="99"/>
    </row>
    <row r="77" spans="1:19" x14ac:dyDescent="0.2">
      <c r="A77" s="444" t="s">
        <v>397</v>
      </c>
      <c r="B77" s="129">
        <v>0</v>
      </c>
      <c r="C77" s="129">
        <v>0</v>
      </c>
      <c r="D77" s="99"/>
      <c r="E77" s="99"/>
      <c r="F77" s="99"/>
      <c r="G77" s="99"/>
      <c r="H77" s="99"/>
      <c r="I77" s="99"/>
      <c r="J77" s="99"/>
      <c r="K77" s="99"/>
      <c r="L77" s="99"/>
      <c r="M77" s="99"/>
      <c r="N77" s="99"/>
      <c r="O77" s="99"/>
      <c r="P77" s="99"/>
      <c r="Q77" s="99"/>
      <c r="R77" s="99"/>
      <c r="S77" s="99"/>
    </row>
    <row r="78" spans="1:19" x14ac:dyDescent="0.2">
      <c r="A78" s="444" t="s">
        <v>398</v>
      </c>
      <c r="B78" s="129">
        <v>0</v>
      </c>
      <c r="C78" s="129">
        <v>0</v>
      </c>
      <c r="D78" s="99"/>
      <c r="E78" s="99"/>
      <c r="F78" s="99"/>
      <c r="G78" s="99"/>
      <c r="H78" s="99"/>
      <c r="I78" s="99"/>
      <c r="J78" s="99"/>
      <c r="K78" s="99"/>
      <c r="L78" s="99"/>
      <c r="M78" s="99"/>
      <c r="N78" s="99"/>
      <c r="O78" s="99"/>
      <c r="P78" s="99"/>
      <c r="Q78" s="99"/>
      <c r="R78" s="99"/>
      <c r="S78" s="99"/>
    </row>
    <row r="79" spans="1:19" x14ac:dyDescent="0.2">
      <c r="A79" s="444" t="s">
        <v>399</v>
      </c>
      <c r="B79" s="129">
        <v>0</v>
      </c>
      <c r="C79" s="129">
        <v>0</v>
      </c>
      <c r="D79" s="99"/>
      <c r="E79" s="99"/>
      <c r="F79" s="99"/>
      <c r="G79" s="99"/>
      <c r="H79" s="99"/>
      <c r="I79" s="99"/>
      <c r="J79" s="99"/>
      <c r="K79" s="99"/>
      <c r="L79" s="99"/>
      <c r="M79" s="99"/>
      <c r="N79" s="99"/>
      <c r="O79" s="99"/>
      <c r="P79" s="99"/>
      <c r="Q79" s="99"/>
      <c r="R79" s="99"/>
      <c r="S79" s="99"/>
    </row>
    <row r="80" spans="1:19" x14ac:dyDescent="0.2">
      <c r="A80" s="444" t="s">
        <v>400</v>
      </c>
      <c r="B80" s="129">
        <v>0</v>
      </c>
      <c r="C80" s="129">
        <v>0</v>
      </c>
      <c r="D80" s="99"/>
      <c r="E80" s="99"/>
      <c r="F80" s="99"/>
      <c r="G80" s="99"/>
      <c r="H80" s="99"/>
      <c r="I80" s="99"/>
      <c r="J80" s="99"/>
      <c r="K80" s="99"/>
      <c r="L80" s="99"/>
      <c r="M80" s="99"/>
      <c r="N80" s="99"/>
      <c r="O80" s="99"/>
      <c r="P80" s="99"/>
      <c r="Q80" s="99"/>
      <c r="R80" s="99"/>
      <c r="S80" s="99"/>
    </row>
    <row r="81" spans="1:19" x14ac:dyDescent="0.2">
      <c r="A81" s="444" t="s">
        <v>58</v>
      </c>
      <c r="B81" s="129">
        <v>0</v>
      </c>
      <c r="C81" s="129">
        <v>0</v>
      </c>
      <c r="D81" s="99"/>
      <c r="E81" s="99"/>
      <c r="F81" s="99"/>
      <c r="G81" s="99"/>
      <c r="H81" s="99"/>
      <c r="I81" s="99"/>
      <c r="J81" s="99"/>
      <c r="K81" s="99"/>
      <c r="L81" s="99"/>
      <c r="M81" s="99"/>
      <c r="N81" s="99"/>
      <c r="O81" s="99"/>
      <c r="P81" s="99"/>
      <c r="Q81" s="99"/>
      <c r="R81" s="99"/>
      <c r="S81" s="99"/>
    </row>
    <row r="82" spans="1:19" x14ac:dyDescent="0.2">
      <c r="A82" s="444" t="s">
        <v>401</v>
      </c>
      <c r="B82" s="129">
        <v>0</v>
      </c>
      <c r="C82" s="129">
        <v>0</v>
      </c>
      <c r="D82" s="99"/>
      <c r="E82" s="99"/>
      <c r="F82" s="99"/>
      <c r="G82" s="99"/>
      <c r="H82" s="99"/>
      <c r="I82" s="99"/>
      <c r="J82" s="99"/>
      <c r="K82" s="99"/>
      <c r="L82" s="99"/>
      <c r="M82" s="99"/>
      <c r="N82" s="99"/>
      <c r="O82" s="99"/>
      <c r="P82" s="99"/>
      <c r="Q82" s="99"/>
      <c r="R82" s="99"/>
      <c r="S82" s="99"/>
    </row>
    <row r="83" spans="1:19" ht="15" x14ac:dyDescent="0.2">
      <c r="A83" s="132"/>
      <c r="B83" s="140"/>
      <c r="C83" s="140"/>
      <c r="D83" s="99"/>
      <c r="E83" s="99"/>
      <c r="F83" s="99"/>
      <c r="G83" s="99"/>
      <c r="H83" s="99"/>
      <c r="I83" s="99"/>
      <c r="J83" s="99"/>
      <c r="K83" s="99"/>
      <c r="L83" s="99"/>
      <c r="M83" s="99"/>
      <c r="N83" s="99"/>
      <c r="O83" s="99"/>
      <c r="P83" s="99"/>
      <c r="Q83" s="99"/>
      <c r="R83" s="99"/>
      <c r="S83" s="99"/>
    </row>
    <row r="84" spans="1:19" x14ac:dyDescent="0.2">
      <c r="A84" s="122" t="s">
        <v>179</v>
      </c>
      <c r="B84" s="140"/>
      <c r="C84" s="140"/>
      <c r="D84" s="99"/>
      <c r="E84" s="99"/>
      <c r="F84" s="99"/>
      <c r="G84" s="99"/>
      <c r="H84" s="99"/>
      <c r="I84" s="99"/>
      <c r="J84" s="99"/>
      <c r="K84" s="99"/>
      <c r="L84" s="99"/>
      <c r="M84" s="99"/>
      <c r="N84" s="99"/>
      <c r="O84" s="99"/>
      <c r="P84" s="99"/>
      <c r="Q84" s="99"/>
      <c r="R84" s="99"/>
      <c r="S84" s="99"/>
    </row>
    <row r="85" spans="1:19" x14ac:dyDescent="0.2">
      <c r="A85" s="133" t="s">
        <v>145</v>
      </c>
      <c r="B85" s="138" t="str">
        <f>B60</f>
        <v>MyCounty</v>
      </c>
      <c r="C85" s="99" t="str">
        <f>C60</f>
        <v>MyRegion</v>
      </c>
      <c r="D85" s="99"/>
      <c r="E85" s="99"/>
      <c r="F85" s="99"/>
      <c r="G85" s="99"/>
      <c r="H85" s="99"/>
      <c r="I85" s="99"/>
      <c r="J85" s="99"/>
      <c r="K85" s="99"/>
      <c r="L85" s="99"/>
      <c r="M85" s="99"/>
      <c r="N85" s="99"/>
      <c r="O85" s="99"/>
      <c r="P85" s="99"/>
      <c r="Q85" s="99"/>
      <c r="R85" s="99"/>
      <c r="S85" s="99"/>
    </row>
    <row r="86" spans="1:19" x14ac:dyDescent="0.2">
      <c r="A86" s="444" t="s">
        <v>388</v>
      </c>
      <c r="B86" s="129">
        <v>0</v>
      </c>
      <c r="C86" s="129">
        <v>0</v>
      </c>
      <c r="D86" s="99"/>
      <c r="E86" s="99"/>
      <c r="F86" s="99"/>
      <c r="G86" s="99"/>
      <c r="H86" s="99"/>
      <c r="I86" s="99"/>
      <c r="J86" s="99"/>
      <c r="K86" s="99"/>
      <c r="L86" s="99"/>
      <c r="M86" s="99"/>
      <c r="N86" s="99"/>
      <c r="O86" s="99"/>
      <c r="P86" s="99"/>
      <c r="Q86" s="99"/>
      <c r="R86" s="99"/>
      <c r="S86" s="99"/>
    </row>
    <row r="87" spans="1:19" x14ac:dyDescent="0.2">
      <c r="A87" s="444" t="s">
        <v>124</v>
      </c>
      <c r="B87" s="129">
        <v>0</v>
      </c>
      <c r="C87" s="129">
        <v>0</v>
      </c>
      <c r="D87" s="99"/>
      <c r="E87" s="99"/>
      <c r="F87" s="99"/>
      <c r="G87" s="99"/>
      <c r="H87" s="99"/>
      <c r="I87" s="99"/>
      <c r="J87" s="99"/>
      <c r="K87" s="99"/>
      <c r="L87" s="99"/>
      <c r="M87" s="99"/>
      <c r="N87" s="99"/>
      <c r="O87" s="99"/>
      <c r="P87" s="99"/>
      <c r="Q87" s="99"/>
      <c r="R87" s="99"/>
      <c r="S87" s="99"/>
    </row>
    <row r="88" spans="1:19" x14ac:dyDescent="0.2">
      <c r="A88" s="444" t="s">
        <v>56</v>
      </c>
      <c r="B88" s="129">
        <v>0</v>
      </c>
      <c r="C88" s="129">
        <v>0</v>
      </c>
      <c r="D88" s="99"/>
      <c r="E88" s="99"/>
      <c r="F88" s="99"/>
      <c r="G88" s="99"/>
      <c r="H88" s="99"/>
      <c r="I88" s="99"/>
      <c r="J88" s="99"/>
      <c r="K88" s="99"/>
      <c r="L88" s="99"/>
      <c r="M88" s="99"/>
      <c r="N88" s="99"/>
      <c r="O88" s="99"/>
      <c r="P88" s="99"/>
      <c r="Q88" s="99"/>
      <c r="R88" s="99"/>
      <c r="S88" s="99"/>
    </row>
    <row r="89" spans="1:19" x14ac:dyDescent="0.2">
      <c r="A89" s="444" t="s">
        <v>389</v>
      </c>
      <c r="B89" s="129">
        <v>0</v>
      </c>
      <c r="C89" s="129">
        <v>0</v>
      </c>
      <c r="D89" s="99"/>
      <c r="E89" s="99"/>
      <c r="F89" s="99"/>
      <c r="G89" s="99"/>
      <c r="H89" s="99"/>
      <c r="I89" s="99"/>
      <c r="J89" s="99"/>
      <c r="K89" s="99"/>
      <c r="L89" s="99"/>
      <c r="M89" s="99"/>
      <c r="N89" s="99"/>
      <c r="O89" s="99"/>
      <c r="P89" s="99"/>
      <c r="Q89" s="99"/>
      <c r="R89" s="99"/>
      <c r="S89" s="99"/>
    </row>
    <row r="90" spans="1:19" x14ac:dyDescent="0.2">
      <c r="A90" s="444" t="s">
        <v>390</v>
      </c>
      <c r="B90" s="129">
        <v>0</v>
      </c>
      <c r="C90" s="129">
        <v>0</v>
      </c>
      <c r="D90" s="99"/>
      <c r="E90" s="99"/>
      <c r="F90" s="99"/>
      <c r="G90" s="99"/>
      <c r="H90" s="99"/>
      <c r="I90" s="99"/>
      <c r="J90" s="99"/>
      <c r="K90" s="99"/>
      <c r="L90" s="99"/>
      <c r="M90" s="99"/>
      <c r="N90" s="99"/>
      <c r="O90" s="99"/>
      <c r="P90" s="99"/>
      <c r="Q90" s="99"/>
      <c r="R90" s="99"/>
      <c r="S90" s="99"/>
    </row>
    <row r="91" spans="1:19" x14ac:dyDescent="0.2">
      <c r="A91" s="444" t="s">
        <v>125</v>
      </c>
      <c r="B91" s="129">
        <v>0</v>
      </c>
      <c r="C91" s="129">
        <v>0</v>
      </c>
      <c r="D91" s="99"/>
      <c r="E91" s="99"/>
      <c r="F91" s="99"/>
      <c r="G91" s="99"/>
      <c r="H91" s="99"/>
      <c r="I91" s="99"/>
      <c r="J91" s="99"/>
      <c r="K91" s="99"/>
      <c r="L91" s="99"/>
      <c r="M91" s="99"/>
      <c r="N91" s="99"/>
      <c r="O91" s="99"/>
      <c r="P91" s="99"/>
      <c r="Q91" s="99"/>
      <c r="R91" s="99"/>
      <c r="S91" s="99"/>
    </row>
    <row r="92" spans="1:19" x14ac:dyDescent="0.2">
      <c r="A92" s="444" t="s">
        <v>126</v>
      </c>
      <c r="B92" s="129">
        <v>0</v>
      </c>
      <c r="C92" s="129">
        <v>0</v>
      </c>
      <c r="D92" s="99"/>
      <c r="E92" s="99"/>
      <c r="F92" s="99"/>
      <c r="G92" s="99"/>
      <c r="H92" s="99"/>
      <c r="I92" s="99"/>
      <c r="J92" s="99"/>
      <c r="K92" s="99"/>
      <c r="L92" s="99"/>
      <c r="M92" s="99"/>
      <c r="N92" s="99"/>
      <c r="O92" s="99"/>
      <c r="P92" s="99"/>
      <c r="Q92" s="99"/>
      <c r="R92" s="99"/>
      <c r="S92" s="99"/>
    </row>
    <row r="93" spans="1:19" x14ac:dyDescent="0.2">
      <c r="A93" s="444" t="s">
        <v>127</v>
      </c>
      <c r="B93" s="129">
        <v>0</v>
      </c>
      <c r="C93" s="129">
        <v>0</v>
      </c>
      <c r="D93" s="99"/>
      <c r="E93" s="99"/>
      <c r="F93" s="99"/>
      <c r="G93" s="99"/>
      <c r="H93" s="99"/>
      <c r="I93" s="99"/>
      <c r="J93" s="99"/>
      <c r="K93" s="99"/>
      <c r="L93" s="99"/>
      <c r="M93" s="99"/>
      <c r="N93" s="99"/>
      <c r="O93" s="99"/>
      <c r="P93" s="99"/>
      <c r="Q93" s="99"/>
      <c r="R93" s="99"/>
      <c r="S93" s="99"/>
    </row>
    <row r="94" spans="1:19" x14ac:dyDescent="0.2">
      <c r="A94" s="444" t="s">
        <v>391</v>
      </c>
      <c r="B94" s="129">
        <v>0</v>
      </c>
      <c r="C94" s="129">
        <v>0</v>
      </c>
      <c r="D94" s="99"/>
      <c r="E94" s="99"/>
      <c r="F94" s="99"/>
      <c r="G94" s="99"/>
      <c r="H94" s="99"/>
      <c r="I94" s="99"/>
      <c r="J94" s="99"/>
      <c r="K94" s="99"/>
      <c r="L94" s="99"/>
      <c r="M94" s="99"/>
      <c r="N94" s="99"/>
      <c r="O94" s="99"/>
      <c r="P94" s="99"/>
      <c r="Q94" s="99"/>
      <c r="R94" s="99"/>
      <c r="S94" s="99"/>
    </row>
    <row r="95" spans="1:19" x14ac:dyDescent="0.2">
      <c r="A95" s="444" t="s">
        <v>392</v>
      </c>
      <c r="B95" s="129">
        <v>0</v>
      </c>
      <c r="C95" s="129">
        <v>0</v>
      </c>
      <c r="D95" s="99"/>
      <c r="E95" s="99"/>
      <c r="F95" s="99"/>
      <c r="G95" s="99"/>
      <c r="H95" s="99"/>
      <c r="I95" s="99"/>
      <c r="J95" s="99"/>
      <c r="K95" s="99"/>
      <c r="L95" s="99"/>
      <c r="M95" s="99"/>
      <c r="N95" s="99"/>
      <c r="O95" s="99"/>
      <c r="P95" s="99"/>
      <c r="Q95" s="99"/>
      <c r="R95" s="99"/>
      <c r="S95" s="99"/>
    </row>
    <row r="96" spans="1:19" x14ac:dyDescent="0.2">
      <c r="A96" s="444" t="s">
        <v>393</v>
      </c>
      <c r="B96" s="129">
        <v>0</v>
      </c>
      <c r="C96" s="129">
        <v>0</v>
      </c>
      <c r="D96" s="99"/>
      <c r="E96" s="99"/>
      <c r="F96" s="99"/>
      <c r="G96" s="99"/>
      <c r="H96" s="99"/>
      <c r="I96" s="99"/>
      <c r="J96" s="99"/>
      <c r="K96" s="99"/>
      <c r="L96" s="99"/>
      <c r="M96" s="99"/>
      <c r="N96" s="99"/>
      <c r="O96" s="99"/>
      <c r="P96" s="99"/>
      <c r="Q96" s="99"/>
      <c r="R96" s="99"/>
      <c r="S96" s="99"/>
    </row>
    <row r="97" spans="1:19" x14ac:dyDescent="0.2">
      <c r="A97" s="444" t="s">
        <v>57</v>
      </c>
      <c r="B97" s="129">
        <v>0</v>
      </c>
      <c r="C97" s="129">
        <v>0</v>
      </c>
      <c r="D97" s="99"/>
      <c r="E97" s="99"/>
      <c r="F97" s="99"/>
      <c r="G97" s="99"/>
      <c r="H97" s="99"/>
      <c r="I97" s="99"/>
      <c r="J97" s="99"/>
      <c r="K97" s="99"/>
      <c r="L97" s="99"/>
      <c r="M97" s="99"/>
      <c r="N97" s="99"/>
      <c r="O97" s="99"/>
      <c r="P97" s="99"/>
      <c r="Q97" s="99"/>
      <c r="R97" s="99"/>
      <c r="S97" s="99"/>
    </row>
    <row r="98" spans="1:19" x14ac:dyDescent="0.2">
      <c r="A98" s="444" t="s">
        <v>394</v>
      </c>
      <c r="B98" s="129">
        <v>0</v>
      </c>
      <c r="C98" s="129">
        <v>0</v>
      </c>
      <c r="D98" s="99"/>
      <c r="E98" s="99"/>
      <c r="F98" s="99"/>
      <c r="G98" s="99"/>
      <c r="H98" s="99"/>
      <c r="I98" s="99"/>
      <c r="J98" s="99"/>
      <c r="K98" s="99"/>
      <c r="L98" s="99"/>
      <c r="M98" s="99"/>
      <c r="N98" s="99"/>
      <c r="O98" s="99"/>
      <c r="P98" s="99"/>
      <c r="Q98" s="99"/>
      <c r="R98" s="99"/>
      <c r="S98" s="99"/>
    </row>
    <row r="99" spans="1:19" x14ac:dyDescent="0.2">
      <c r="A99" s="444" t="s">
        <v>128</v>
      </c>
      <c r="B99" s="129">
        <v>0</v>
      </c>
      <c r="C99" s="129">
        <v>0</v>
      </c>
      <c r="D99" s="99"/>
      <c r="E99" s="99"/>
      <c r="F99" s="99"/>
      <c r="G99" s="99"/>
      <c r="H99" s="99"/>
      <c r="I99" s="99"/>
      <c r="J99" s="99"/>
      <c r="K99" s="99"/>
      <c r="L99" s="99"/>
      <c r="M99" s="99"/>
      <c r="N99" s="99"/>
      <c r="O99" s="99"/>
      <c r="P99" s="99"/>
      <c r="Q99" s="99"/>
      <c r="R99" s="99"/>
      <c r="S99" s="99"/>
    </row>
    <row r="100" spans="1:19" x14ac:dyDescent="0.2">
      <c r="A100" s="444" t="s">
        <v>395</v>
      </c>
      <c r="B100" s="129">
        <v>0</v>
      </c>
      <c r="C100" s="129">
        <v>0</v>
      </c>
      <c r="D100" s="99"/>
      <c r="E100" s="99"/>
      <c r="F100" s="99"/>
      <c r="G100" s="99"/>
      <c r="H100" s="99"/>
      <c r="I100" s="99"/>
      <c r="J100" s="99"/>
      <c r="K100" s="99"/>
      <c r="L100" s="99"/>
      <c r="M100" s="99"/>
      <c r="N100" s="99"/>
      <c r="O100" s="99"/>
      <c r="P100" s="99"/>
      <c r="Q100" s="99"/>
      <c r="R100" s="99"/>
      <c r="S100" s="99"/>
    </row>
    <row r="101" spans="1:19" x14ac:dyDescent="0.2">
      <c r="A101" s="444" t="s">
        <v>396</v>
      </c>
      <c r="B101" s="129">
        <v>0</v>
      </c>
      <c r="C101" s="129">
        <v>0</v>
      </c>
      <c r="D101" s="99"/>
      <c r="E101" s="99"/>
      <c r="F101" s="99"/>
      <c r="G101" s="99"/>
      <c r="H101" s="99"/>
      <c r="I101" s="99"/>
      <c r="J101" s="99"/>
      <c r="K101" s="99"/>
      <c r="L101" s="99"/>
      <c r="M101" s="99"/>
      <c r="N101" s="99"/>
      <c r="O101" s="99"/>
      <c r="P101" s="99"/>
      <c r="Q101" s="99"/>
      <c r="R101" s="99"/>
      <c r="S101" s="99"/>
    </row>
    <row r="102" spans="1:19" x14ac:dyDescent="0.2">
      <c r="A102" s="444" t="s">
        <v>397</v>
      </c>
      <c r="B102" s="129">
        <v>0</v>
      </c>
      <c r="C102" s="129">
        <v>0</v>
      </c>
      <c r="D102" s="99"/>
      <c r="E102" s="99"/>
      <c r="F102" s="99"/>
      <c r="G102" s="99"/>
      <c r="H102" s="99"/>
      <c r="I102" s="99"/>
      <c r="J102" s="99"/>
      <c r="K102" s="99"/>
      <c r="L102" s="99"/>
      <c r="M102" s="99"/>
      <c r="N102" s="99"/>
      <c r="O102" s="99"/>
      <c r="P102" s="99"/>
      <c r="Q102" s="99"/>
      <c r="R102" s="99"/>
      <c r="S102" s="99"/>
    </row>
    <row r="103" spans="1:19" x14ac:dyDescent="0.2">
      <c r="A103" s="444" t="s">
        <v>398</v>
      </c>
      <c r="B103" s="129">
        <v>0</v>
      </c>
      <c r="C103" s="129">
        <v>0</v>
      </c>
      <c r="D103" s="99"/>
      <c r="E103" s="99"/>
      <c r="F103" s="99"/>
      <c r="G103" s="99"/>
      <c r="H103" s="99"/>
      <c r="I103" s="99"/>
      <c r="J103" s="99"/>
      <c r="K103" s="99"/>
      <c r="L103" s="99"/>
      <c r="M103" s="99"/>
      <c r="N103" s="99"/>
      <c r="O103" s="99"/>
      <c r="P103" s="99"/>
      <c r="Q103" s="99"/>
      <c r="R103" s="99"/>
      <c r="S103" s="99"/>
    </row>
    <row r="104" spans="1:19" x14ac:dyDescent="0.2">
      <c r="A104" s="444" t="s">
        <v>399</v>
      </c>
      <c r="B104" s="129">
        <v>0</v>
      </c>
      <c r="C104" s="129">
        <v>0</v>
      </c>
      <c r="D104" s="99"/>
      <c r="E104" s="99"/>
      <c r="F104" s="99"/>
      <c r="G104" s="99"/>
      <c r="H104" s="99"/>
      <c r="I104" s="99"/>
      <c r="J104" s="99"/>
      <c r="K104" s="99"/>
      <c r="L104" s="99"/>
      <c r="M104" s="99"/>
      <c r="N104" s="99"/>
      <c r="O104" s="99"/>
      <c r="P104" s="99"/>
      <c r="Q104" s="99"/>
      <c r="R104" s="99"/>
      <c r="S104" s="99"/>
    </row>
    <row r="105" spans="1:19" x14ac:dyDescent="0.2">
      <c r="A105" s="444" t="s">
        <v>400</v>
      </c>
      <c r="B105" s="129">
        <v>0</v>
      </c>
      <c r="C105" s="129">
        <v>0</v>
      </c>
      <c r="D105" s="99"/>
      <c r="E105" s="99"/>
      <c r="F105" s="99"/>
      <c r="G105" s="99"/>
      <c r="H105" s="99"/>
      <c r="I105" s="99"/>
      <c r="J105" s="99"/>
      <c r="K105" s="99"/>
      <c r="L105" s="99"/>
      <c r="M105" s="99"/>
      <c r="N105" s="99"/>
      <c r="O105" s="99"/>
      <c r="P105" s="99"/>
      <c r="Q105" s="99"/>
      <c r="R105" s="99"/>
      <c r="S105" s="99"/>
    </row>
    <row r="106" spans="1:19" x14ac:dyDescent="0.2">
      <c r="A106" s="444" t="s">
        <v>58</v>
      </c>
      <c r="B106" s="129">
        <v>0</v>
      </c>
      <c r="C106" s="129">
        <v>0</v>
      </c>
      <c r="D106" s="99"/>
      <c r="E106" s="99"/>
      <c r="F106" s="99"/>
      <c r="G106" s="99"/>
      <c r="H106" s="99"/>
      <c r="I106" s="99"/>
      <c r="J106" s="99"/>
      <c r="K106" s="99"/>
      <c r="L106" s="99"/>
      <c r="M106" s="99"/>
      <c r="N106" s="99"/>
      <c r="O106" s="99"/>
      <c r="P106" s="99"/>
      <c r="Q106" s="99"/>
      <c r="R106" s="99"/>
      <c r="S106" s="99"/>
    </row>
    <row r="107" spans="1:19" x14ac:dyDescent="0.2">
      <c r="A107" s="444" t="s">
        <v>401</v>
      </c>
      <c r="B107" s="129">
        <v>0</v>
      </c>
      <c r="C107" s="129">
        <v>0</v>
      </c>
      <c r="D107" s="99"/>
      <c r="E107" s="99"/>
      <c r="F107" s="99"/>
      <c r="G107" s="99"/>
      <c r="H107" s="99"/>
      <c r="I107" s="99"/>
      <c r="J107" s="99"/>
      <c r="K107" s="99"/>
      <c r="L107" s="99"/>
      <c r="M107" s="99"/>
      <c r="N107" s="99"/>
      <c r="O107" s="99"/>
      <c r="P107" s="99"/>
      <c r="Q107" s="99"/>
      <c r="R107" s="99"/>
      <c r="S107" s="99"/>
    </row>
    <row r="108" spans="1:19" ht="15" x14ac:dyDescent="0.2">
      <c r="A108" s="134"/>
      <c r="B108" s="140"/>
      <c r="C108" s="140"/>
      <c r="D108" s="99"/>
      <c r="E108" s="99"/>
      <c r="F108" s="99"/>
      <c r="G108" s="99"/>
      <c r="H108" s="99"/>
      <c r="I108" s="99"/>
      <c r="J108" s="99"/>
      <c r="K108" s="99"/>
      <c r="L108" s="99"/>
      <c r="M108" s="99"/>
      <c r="N108" s="99"/>
      <c r="O108" s="99"/>
      <c r="P108" s="99"/>
      <c r="Q108" s="99"/>
      <c r="R108" s="99"/>
      <c r="S108" s="99"/>
    </row>
    <row r="109" spans="1:19" x14ac:dyDescent="0.2">
      <c r="A109" s="122" t="s">
        <v>179</v>
      </c>
      <c r="B109" s="140"/>
      <c r="C109" s="140"/>
      <c r="D109" s="99"/>
      <c r="E109" s="99"/>
      <c r="F109" s="99"/>
      <c r="G109" s="99"/>
      <c r="H109" s="99"/>
      <c r="I109" s="99"/>
      <c r="J109" s="99"/>
      <c r="K109" s="99"/>
      <c r="L109" s="99"/>
      <c r="M109" s="99"/>
      <c r="N109" s="99"/>
      <c r="O109" s="99"/>
      <c r="P109" s="99"/>
      <c r="Q109" s="99"/>
      <c r="R109" s="99"/>
      <c r="S109" s="99"/>
    </row>
    <row r="110" spans="1:19" x14ac:dyDescent="0.2">
      <c r="A110" s="135" t="s">
        <v>185</v>
      </c>
      <c r="B110" s="138" t="str">
        <f>B85</f>
        <v>MyCounty</v>
      </c>
      <c r="C110" s="99" t="str">
        <f>C85</f>
        <v>MyRegion</v>
      </c>
      <c r="D110" s="99"/>
      <c r="E110" s="99"/>
      <c r="F110" s="99"/>
      <c r="G110" s="99"/>
      <c r="H110" s="99"/>
      <c r="I110" s="99"/>
      <c r="J110" s="99"/>
      <c r="K110" s="99"/>
      <c r="L110" s="99"/>
      <c r="M110" s="99"/>
      <c r="N110" s="99"/>
      <c r="O110" s="99"/>
      <c r="P110" s="99"/>
      <c r="Q110" s="99"/>
      <c r="R110" s="99"/>
      <c r="S110" s="99"/>
    </row>
    <row r="111" spans="1:19" x14ac:dyDescent="0.2">
      <c r="A111" s="444" t="s">
        <v>388</v>
      </c>
      <c r="B111" s="129">
        <v>0</v>
      </c>
      <c r="C111" s="129">
        <v>0</v>
      </c>
      <c r="D111" s="99"/>
      <c r="E111" s="99"/>
      <c r="F111" s="99"/>
      <c r="G111" s="99"/>
      <c r="H111" s="99"/>
      <c r="I111" s="99"/>
      <c r="J111" s="99"/>
      <c r="K111" s="99"/>
      <c r="L111" s="99"/>
      <c r="M111" s="99"/>
      <c r="N111" s="99"/>
      <c r="O111" s="99"/>
      <c r="P111" s="99"/>
      <c r="Q111" s="99"/>
      <c r="R111" s="99"/>
      <c r="S111" s="99"/>
    </row>
    <row r="112" spans="1:19" x14ac:dyDescent="0.2">
      <c r="A112" s="444" t="s">
        <v>124</v>
      </c>
      <c r="B112" s="129">
        <v>0</v>
      </c>
      <c r="C112" s="129">
        <v>0</v>
      </c>
      <c r="D112" s="99"/>
      <c r="E112" s="99"/>
      <c r="F112" s="99"/>
      <c r="G112" s="99"/>
      <c r="H112" s="99"/>
      <c r="I112" s="99"/>
      <c r="J112" s="99"/>
      <c r="K112" s="99"/>
      <c r="L112" s="99"/>
      <c r="M112" s="99"/>
      <c r="N112" s="99"/>
      <c r="O112" s="99"/>
      <c r="P112" s="99"/>
      <c r="Q112" s="99"/>
      <c r="R112" s="99"/>
      <c r="S112" s="99"/>
    </row>
    <row r="113" spans="1:19" x14ac:dyDescent="0.2">
      <c r="A113" s="444" t="s">
        <v>56</v>
      </c>
      <c r="B113" s="129">
        <v>0</v>
      </c>
      <c r="C113" s="129">
        <v>0</v>
      </c>
      <c r="D113" s="99"/>
      <c r="E113" s="99"/>
      <c r="F113" s="99"/>
      <c r="G113" s="99"/>
      <c r="H113" s="99"/>
      <c r="I113" s="99"/>
      <c r="J113" s="99"/>
      <c r="K113" s="99"/>
      <c r="L113" s="99"/>
      <c r="M113" s="99"/>
      <c r="N113" s="99"/>
      <c r="O113" s="99"/>
      <c r="P113" s="99"/>
      <c r="Q113" s="99"/>
      <c r="R113" s="99"/>
      <c r="S113" s="99"/>
    </row>
    <row r="114" spans="1:19" x14ac:dyDescent="0.2">
      <c r="A114" s="444" t="s">
        <v>389</v>
      </c>
      <c r="B114" s="129">
        <v>0</v>
      </c>
      <c r="C114" s="129">
        <v>0</v>
      </c>
      <c r="D114" s="99"/>
      <c r="E114" s="99"/>
      <c r="F114" s="99"/>
      <c r="G114" s="99"/>
      <c r="H114" s="99"/>
      <c r="I114" s="99"/>
      <c r="J114" s="99"/>
      <c r="K114" s="99"/>
      <c r="L114" s="99"/>
      <c r="M114" s="99"/>
      <c r="N114" s="99"/>
      <c r="O114" s="99"/>
      <c r="P114" s="99"/>
      <c r="Q114" s="99"/>
      <c r="R114" s="99"/>
      <c r="S114" s="99"/>
    </row>
    <row r="115" spans="1:19" x14ac:dyDescent="0.2">
      <c r="A115" s="444" t="s">
        <v>390</v>
      </c>
      <c r="B115" s="129">
        <v>0</v>
      </c>
      <c r="C115" s="129">
        <v>0</v>
      </c>
      <c r="D115" s="99"/>
      <c r="E115" s="99"/>
      <c r="F115" s="99"/>
      <c r="G115" s="99"/>
      <c r="H115" s="99"/>
      <c r="I115" s="99"/>
      <c r="J115" s="99"/>
      <c r="K115" s="99"/>
      <c r="L115" s="99"/>
      <c r="M115" s="99"/>
      <c r="N115" s="99"/>
      <c r="O115" s="99"/>
      <c r="P115" s="99"/>
      <c r="Q115" s="99"/>
      <c r="R115" s="99"/>
      <c r="S115" s="99"/>
    </row>
    <row r="116" spans="1:19" x14ac:dyDescent="0.2">
      <c r="A116" s="444" t="s">
        <v>125</v>
      </c>
      <c r="B116" s="129">
        <v>0</v>
      </c>
      <c r="C116" s="129">
        <v>0</v>
      </c>
      <c r="D116" s="99"/>
      <c r="E116" s="99"/>
      <c r="F116" s="99"/>
      <c r="G116" s="99"/>
      <c r="H116" s="99"/>
      <c r="I116" s="99"/>
      <c r="J116" s="99"/>
      <c r="K116" s="99"/>
      <c r="L116" s="99"/>
      <c r="M116" s="99"/>
      <c r="N116" s="99"/>
      <c r="O116" s="99"/>
      <c r="P116" s="99"/>
      <c r="Q116" s="99"/>
      <c r="R116" s="99"/>
      <c r="S116" s="99"/>
    </row>
    <row r="117" spans="1:19" x14ac:dyDescent="0.2">
      <c r="A117" s="444" t="s">
        <v>126</v>
      </c>
      <c r="B117" s="129">
        <v>0</v>
      </c>
      <c r="C117" s="129">
        <v>0</v>
      </c>
      <c r="D117" s="99"/>
      <c r="E117" s="99"/>
      <c r="F117" s="99"/>
      <c r="G117" s="99"/>
      <c r="H117" s="99"/>
      <c r="I117" s="99"/>
      <c r="J117" s="99"/>
      <c r="K117" s="99"/>
      <c r="L117" s="99"/>
      <c r="M117" s="99"/>
      <c r="N117" s="99"/>
      <c r="O117" s="99"/>
      <c r="P117" s="99"/>
      <c r="Q117" s="99"/>
      <c r="R117" s="99"/>
      <c r="S117" s="99"/>
    </row>
    <row r="118" spans="1:19" x14ac:dyDescent="0.2">
      <c r="A118" s="444" t="s">
        <v>127</v>
      </c>
      <c r="B118" s="129">
        <v>0</v>
      </c>
      <c r="C118" s="129">
        <v>0</v>
      </c>
      <c r="D118" s="99"/>
      <c r="E118" s="99"/>
      <c r="F118" s="99"/>
      <c r="G118" s="99"/>
      <c r="H118" s="99"/>
      <c r="I118" s="99"/>
      <c r="J118" s="99"/>
      <c r="K118" s="99"/>
      <c r="L118" s="99"/>
      <c r="M118" s="99"/>
      <c r="N118" s="99"/>
      <c r="O118" s="99"/>
      <c r="P118" s="99"/>
      <c r="Q118" s="99"/>
      <c r="R118" s="99"/>
      <c r="S118" s="99"/>
    </row>
    <row r="119" spans="1:19" x14ac:dyDescent="0.2">
      <c r="A119" s="444" t="s">
        <v>391</v>
      </c>
      <c r="B119" s="129">
        <v>0</v>
      </c>
      <c r="C119" s="129">
        <v>0</v>
      </c>
      <c r="D119" s="99"/>
      <c r="E119" s="99"/>
      <c r="F119" s="99"/>
      <c r="G119" s="99"/>
      <c r="H119" s="99"/>
      <c r="I119" s="99"/>
      <c r="J119" s="99"/>
      <c r="K119" s="99"/>
      <c r="L119" s="99"/>
      <c r="M119" s="99"/>
      <c r="N119" s="99"/>
      <c r="O119" s="99"/>
      <c r="P119" s="99"/>
      <c r="Q119" s="99"/>
      <c r="R119" s="99"/>
      <c r="S119" s="99"/>
    </row>
    <row r="120" spans="1:19" x14ac:dyDescent="0.2">
      <c r="A120" s="444" t="s">
        <v>392</v>
      </c>
      <c r="B120" s="129">
        <v>0</v>
      </c>
      <c r="C120" s="129">
        <v>0</v>
      </c>
      <c r="D120" s="99"/>
      <c r="E120" s="99"/>
      <c r="F120" s="99"/>
      <c r="G120" s="99"/>
      <c r="H120" s="99"/>
      <c r="I120" s="99"/>
      <c r="J120" s="99"/>
      <c r="K120" s="99"/>
      <c r="L120" s="99"/>
      <c r="M120" s="99"/>
      <c r="N120" s="99"/>
      <c r="O120" s="99"/>
      <c r="P120" s="99"/>
      <c r="Q120" s="99"/>
      <c r="R120" s="99"/>
      <c r="S120" s="99"/>
    </row>
    <row r="121" spans="1:19" x14ac:dyDescent="0.2">
      <c r="A121" s="444" t="s">
        <v>393</v>
      </c>
      <c r="B121" s="129">
        <v>0</v>
      </c>
      <c r="C121" s="129">
        <v>0</v>
      </c>
      <c r="D121" s="99"/>
      <c r="E121" s="99"/>
      <c r="F121" s="99"/>
      <c r="G121" s="99"/>
      <c r="H121" s="99"/>
      <c r="I121" s="99"/>
      <c r="J121" s="99"/>
      <c r="K121" s="99"/>
      <c r="L121" s="99"/>
      <c r="M121" s="99"/>
      <c r="N121" s="99"/>
      <c r="O121" s="99"/>
      <c r="P121" s="99"/>
      <c r="Q121" s="99"/>
      <c r="R121" s="99"/>
      <c r="S121" s="99"/>
    </row>
    <row r="122" spans="1:19" x14ac:dyDescent="0.2">
      <c r="A122" s="444" t="s">
        <v>57</v>
      </c>
      <c r="B122" s="129">
        <v>0</v>
      </c>
      <c r="C122" s="129">
        <v>0</v>
      </c>
      <c r="D122" s="99"/>
      <c r="E122" s="99"/>
      <c r="F122" s="99"/>
      <c r="G122" s="99"/>
      <c r="H122" s="99"/>
      <c r="I122" s="99"/>
      <c r="J122" s="99"/>
      <c r="K122" s="99"/>
      <c r="L122" s="99"/>
      <c r="M122" s="99"/>
      <c r="N122" s="99"/>
      <c r="O122" s="99"/>
      <c r="P122" s="99"/>
      <c r="Q122" s="99"/>
      <c r="R122" s="99"/>
      <c r="S122" s="99"/>
    </row>
    <row r="123" spans="1:19" x14ac:dyDescent="0.2">
      <c r="A123" s="444" t="s">
        <v>394</v>
      </c>
      <c r="B123" s="129">
        <v>0</v>
      </c>
      <c r="C123" s="129">
        <v>0</v>
      </c>
      <c r="D123" s="99"/>
      <c r="E123" s="99"/>
      <c r="F123" s="99"/>
      <c r="G123" s="99"/>
      <c r="H123" s="99"/>
      <c r="I123" s="99"/>
      <c r="J123" s="99"/>
      <c r="K123" s="99"/>
      <c r="L123" s="99"/>
      <c r="M123" s="99"/>
      <c r="N123" s="99"/>
      <c r="O123" s="99"/>
      <c r="P123" s="99"/>
      <c r="Q123" s="99"/>
      <c r="R123" s="99"/>
      <c r="S123" s="99"/>
    </row>
    <row r="124" spans="1:19" x14ac:dyDescent="0.2">
      <c r="A124" s="444" t="s">
        <v>128</v>
      </c>
      <c r="B124" s="129">
        <v>0</v>
      </c>
      <c r="C124" s="129">
        <v>0</v>
      </c>
      <c r="D124" s="99"/>
      <c r="E124" s="99"/>
      <c r="F124" s="99"/>
      <c r="G124" s="99"/>
      <c r="H124" s="99"/>
      <c r="I124" s="99"/>
      <c r="J124" s="99"/>
      <c r="K124" s="99"/>
      <c r="L124" s="99"/>
      <c r="M124" s="99"/>
      <c r="N124" s="99"/>
      <c r="O124" s="99"/>
      <c r="P124" s="99"/>
      <c r="Q124" s="99"/>
      <c r="R124" s="99"/>
      <c r="S124" s="99"/>
    </row>
    <row r="125" spans="1:19" x14ac:dyDescent="0.2">
      <c r="A125" s="444" t="s">
        <v>395</v>
      </c>
      <c r="B125" s="129">
        <v>0</v>
      </c>
      <c r="C125" s="129">
        <v>0</v>
      </c>
      <c r="D125" s="99"/>
      <c r="E125" s="99"/>
      <c r="F125" s="99"/>
      <c r="G125" s="99"/>
      <c r="H125" s="99"/>
      <c r="I125" s="99"/>
      <c r="J125" s="99"/>
      <c r="K125" s="99"/>
      <c r="L125" s="99"/>
      <c r="M125" s="99"/>
      <c r="N125" s="99"/>
      <c r="O125" s="99"/>
      <c r="P125" s="99"/>
      <c r="Q125" s="99"/>
      <c r="R125" s="99"/>
      <c r="S125" s="99"/>
    </row>
    <row r="126" spans="1:19" x14ac:dyDescent="0.2">
      <c r="A126" s="444" t="s">
        <v>396</v>
      </c>
      <c r="B126" s="129">
        <v>0</v>
      </c>
      <c r="C126" s="129">
        <v>0</v>
      </c>
      <c r="D126" s="99"/>
      <c r="E126" s="99"/>
      <c r="F126" s="99"/>
      <c r="G126" s="99"/>
      <c r="H126" s="99"/>
      <c r="I126" s="99"/>
      <c r="J126" s="99"/>
      <c r="K126" s="99"/>
      <c r="L126" s="99"/>
      <c r="M126" s="99"/>
      <c r="N126" s="99"/>
      <c r="O126" s="99"/>
      <c r="P126" s="99"/>
      <c r="Q126" s="99"/>
      <c r="R126" s="99"/>
      <c r="S126" s="99"/>
    </row>
    <row r="127" spans="1:19" x14ac:dyDescent="0.2">
      <c r="A127" s="444" t="s">
        <v>397</v>
      </c>
      <c r="B127" s="129">
        <v>0</v>
      </c>
      <c r="C127" s="129">
        <v>0</v>
      </c>
      <c r="D127" s="99"/>
      <c r="E127" s="99"/>
      <c r="F127" s="99"/>
      <c r="G127" s="99"/>
      <c r="H127" s="99"/>
      <c r="I127" s="99"/>
      <c r="J127" s="99"/>
      <c r="K127" s="99"/>
      <c r="L127" s="99"/>
      <c r="M127" s="99"/>
      <c r="N127" s="99"/>
      <c r="O127" s="99"/>
      <c r="P127" s="99"/>
      <c r="Q127" s="99"/>
      <c r="R127" s="99"/>
      <c r="S127" s="99"/>
    </row>
    <row r="128" spans="1:19" x14ac:dyDescent="0.2">
      <c r="A128" s="444" t="s">
        <v>398</v>
      </c>
      <c r="B128" s="129">
        <v>0</v>
      </c>
      <c r="C128" s="129">
        <v>0</v>
      </c>
      <c r="D128" s="99"/>
      <c r="E128" s="99"/>
      <c r="F128" s="99"/>
      <c r="G128" s="99"/>
      <c r="H128" s="99"/>
      <c r="I128" s="99"/>
      <c r="J128" s="99"/>
      <c r="K128" s="99"/>
      <c r="L128" s="99"/>
      <c r="M128" s="99"/>
      <c r="N128" s="99"/>
      <c r="O128" s="99"/>
      <c r="P128" s="99"/>
      <c r="Q128" s="99"/>
      <c r="R128" s="99"/>
      <c r="S128" s="99"/>
    </row>
    <row r="129" spans="1:19" x14ac:dyDescent="0.2">
      <c r="A129" s="444" t="s">
        <v>399</v>
      </c>
      <c r="B129" s="129">
        <v>0</v>
      </c>
      <c r="C129" s="129">
        <v>0</v>
      </c>
      <c r="D129" s="99"/>
      <c r="E129" s="99"/>
      <c r="F129" s="99"/>
      <c r="G129" s="99"/>
      <c r="H129" s="99"/>
      <c r="I129" s="99"/>
      <c r="J129" s="99"/>
      <c r="K129" s="99"/>
      <c r="L129" s="99"/>
      <c r="M129" s="99"/>
      <c r="N129" s="99"/>
      <c r="O129" s="99"/>
      <c r="P129" s="99"/>
      <c r="Q129" s="99"/>
      <c r="R129" s="99"/>
      <c r="S129" s="99"/>
    </row>
    <row r="130" spans="1:19" x14ac:dyDescent="0.2">
      <c r="A130" s="444" t="s">
        <v>400</v>
      </c>
      <c r="B130" s="129">
        <v>0</v>
      </c>
      <c r="C130" s="129">
        <v>0</v>
      </c>
      <c r="D130" s="99"/>
      <c r="E130" s="99"/>
      <c r="F130" s="99"/>
      <c r="G130" s="99"/>
      <c r="H130" s="99"/>
      <c r="I130" s="99"/>
      <c r="J130" s="99"/>
      <c r="K130" s="99"/>
      <c r="L130" s="99"/>
      <c r="M130" s="99"/>
      <c r="N130" s="99"/>
      <c r="O130" s="99"/>
      <c r="P130" s="99"/>
      <c r="Q130" s="99"/>
      <c r="R130" s="99"/>
      <c r="S130" s="99"/>
    </row>
    <row r="131" spans="1:19" x14ac:dyDescent="0.2">
      <c r="A131" s="444" t="s">
        <v>58</v>
      </c>
      <c r="B131" s="129">
        <v>0</v>
      </c>
      <c r="C131" s="129">
        <v>0</v>
      </c>
      <c r="D131" s="99"/>
      <c r="E131" s="99"/>
      <c r="F131" s="99"/>
      <c r="G131" s="99"/>
      <c r="H131" s="99"/>
      <c r="I131" s="99"/>
      <c r="J131" s="99"/>
      <c r="K131" s="99"/>
      <c r="L131" s="99"/>
      <c r="M131" s="99"/>
      <c r="N131" s="99"/>
      <c r="O131" s="99"/>
      <c r="P131" s="99"/>
      <c r="Q131" s="99"/>
      <c r="R131" s="99"/>
      <c r="S131" s="99"/>
    </row>
    <row r="132" spans="1:19" x14ac:dyDescent="0.2">
      <c r="A132" s="444" t="s">
        <v>401</v>
      </c>
      <c r="B132" s="129">
        <v>0</v>
      </c>
      <c r="C132" s="129">
        <v>0</v>
      </c>
      <c r="D132" s="99"/>
      <c r="E132" s="99"/>
      <c r="F132" s="99"/>
      <c r="G132" s="99"/>
      <c r="H132" s="99"/>
      <c r="I132" s="99"/>
      <c r="J132" s="99"/>
      <c r="K132" s="99"/>
      <c r="L132" s="99"/>
      <c r="M132" s="99"/>
      <c r="N132" s="99"/>
      <c r="O132" s="99"/>
      <c r="P132" s="99"/>
      <c r="Q132" s="99"/>
      <c r="R132" s="99"/>
      <c r="S132" s="99"/>
    </row>
    <row r="133" spans="1:19" ht="15" x14ac:dyDescent="0.2">
      <c r="A133" s="134"/>
      <c r="B133" s="140"/>
      <c r="C133" s="140"/>
      <c r="D133" s="99"/>
      <c r="E133" s="99"/>
      <c r="F133" s="99"/>
      <c r="G133" s="99"/>
      <c r="H133" s="99"/>
      <c r="I133" s="99"/>
      <c r="J133" s="99"/>
      <c r="K133" s="99"/>
      <c r="L133" s="99"/>
      <c r="M133" s="99"/>
      <c r="N133" s="99"/>
      <c r="O133" s="99"/>
      <c r="P133" s="99"/>
      <c r="Q133" s="99"/>
      <c r="R133" s="99"/>
      <c r="S133" s="99"/>
    </row>
    <row r="134" spans="1:19" x14ac:dyDescent="0.2">
      <c r="A134" s="122" t="s">
        <v>179</v>
      </c>
      <c r="B134" s="140"/>
      <c r="C134" s="140"/>
      <c r="D134" s="99"/>
      <c r="E134" s="99"/>
      <c r="F134" s="99"/>
      <c r="G134" s="99"/>
      <c r="H134" s="99"/>
      <c r="I134" s="99"/>
      <c r="J134" s="99"/>
      <c r="K134" s="99"/>
      <c r="L134" s="99"/>
      <c r="M134" s="99"/>
      <c r="N134" s="99"/>
      <c r="O134" s="99"/>
      <c r="P134" s="99"/>
      <c r="Q134" s="99"/>
      <c r="R134" s="99"/>
      <c r="S134" s="99"/>
    </row>
    <row r="135" spans="1:19" x14ac:dyDescent="0.2">
      <c r="A135" s="135" t="s">
        <v>186</v>
      </c>
      <c r="B135" s="138" t="str">
        <f>B110</f>
        <v>MyCounty</v>
      </c>
      <c r="C135" s="99" t="str">
        <f>C110</f>
        <v>MyRegion</v>
      </c>
      <c r="D135" s="99"/>
      <c r="E135" s="99"/>
      <c r="F135" s="99"/>
      <c r="G135" s="99"/>
      <c r="H135" s="99"/>
      <c r="I135" s="99"/>
      <c r="J135" s="99"/>
      <c r="K135" s="99"/>
      <c r="L135" s="99"/>
      <c r="M135" s="99"/>
      <c r="N135" s="99"/>
      <c r="O135" s="99"/>
      <c r="P135" s="99"/>
      <c r="Q135" s="99"/>
      <c r="R135" s="99"/>
      <c r="S135" s="99"/>
    </row>
    <row r="136" spans="1:19" x14ac:dyDescent="0.2">
      <c r="A136" s="444" t="s">
        <v>388</v>
      </c>
      <c r="B136" s="129">
        <v>0</v>
      </c>
      <c r="C136" s="129">
        <v>0</v>
      </c>
      <c r="D136" s="99"/>
      <c r="E136" s="99"/>
      <c r="F136" s="99"/>
      <c r="G136" s="99"/>
      <c r="H136" s="99"/>
      <c r="I136" s="99"/>
      <c r="J136" s="99"/>
      <c r="K136" s="99"/>
      <c r="L136" s="99"/>
      <c r="M136" s="99"/>
      <c r="N136" s="99"/>
      <c r="O136" s="99"/>
      <c r="P136" s="99"/>
      <c r="Q136" s="99"/>
      <c r="R136" s="99"/>
      <c r="S136" s="99"/>
    </row>
    <row r="137" spans="1:19" x14ac:dyDescent="0.2">
      <c r="A137" s="444" t="s">
        <v>124</v>
      </c>
      <c r="B137" s="129">
        <v>0</v>
      </c>
      <c r="C137" s="129">
        <v>0</v>
      </c>
      <c r="D137" s="99"/>
      <c r="E137" s="99"/>
      <c r="F137" s="99"/>
      <c r="G137" s="99"/>
      <c r="H137" s="99"/>
      <c r="I137" s="99"/>
      <c r="J137" s="99"/>
      <c r="K137" s="99"/>
      <c r="L137" s="99"/>
      <c r="M137" s="99"/>
      <c r="N137" s="99"/>
      <c r="O137" s="99"/>
      <c r="P137" s="99"/>
      <c r="Q137" s="99"/>
      <c r="R137" s="99"/>
      <c r="S137" s="99"/>
    </row>
    <row r="138" spans="1:19" x14ac:dyDescent="0.2">
      <c r="A138" s="444" t="s">
        <v>56</v>
      </c>
      <c r="B138" s="129">
        <v>0</v>
      </c>
      <c r="C138" s="129">
        <v>0</v>
      </c>
      <c r="D138" s="99"/>
      <c r="E138" s="99"/>
      <c r="F138" s="99"/>
      <c r="G138" s="99"/>
      <c r="H138" s="99"/>
      <c r="I138" s="99"/>
      <c r="J138" s="99"/>
      <c r="K138" s="99"/>
      <c r="L138" s="99"/>
      <c r="M138" s="99"/>
      <c r="N138" s="99"/>
      <c r="O138" s="99"/>
      <c r="P138" s="99"/>
      <c r="Q138" s="99"/>
      <c r="R138" s="99"/>
      <c r="S138" s="99"/>
    </row>
    <row r="139" spans="1:19" x14ac:dyDescent="0.2">
      <c r="A139" s="444" t="s">
        <v>389</v>
      </c>
      <c r="B139" s="129">
        <v>0</v>
      </c>
      <c r="C139" s="129">
        <v>0</v>
      </c>
      <c r="D139" s="99"/>
      <c r="E139" s="99"/>
      <c r="F139" s="99"/>
      <c r="G139" s="99"/>
      <c r="H139" s="99"/>
      <c r="I139" s="99"/>
      <c r="J139" s="99"/>
      <c r="K139" s="99"/>
      <c r="L139" s="99"/>
      <c r="M139" s="99"/>
      <c r="N139" s="99"/>
      <c r="O139" s="99"/>
      <c r="P139" s="99"/>
      <c r="Q139" s="99"/>
      <c r="R139" s="99"/>
      <c r="S139" s="99"/>
    </row>
    <row r="140" spans="1:19" x14ac:dyDescent="0.2">
      <c r="A140" s="444" t="s">
        <v>390</v>
      </c>
      <c r="B140" s="129">
        <v>0</v>
      </c>
      <c r="C140" s="129">
        <v>0</v>
      </c>
      <c r="D140" s="99"/>
      <c r="E140" s="99"/>
      <c r="F140" s="99"/>
      <c r="G140" s="99"/>
      <c r="H140" s="99"/>
      <c r="I140" s="99"/>
      <c r="J140" s="99"/>
      <c r="K140" s="99"/>
      <c r="L140" s="99"/>
      <c r="M140" s="99"/>
      <c r="N140" s="99"/>
      <c r="O140" s="99"/>
      <c r="P140" s="99"/>
      <c r="Q140" s="99"/>
      <c r="R140" s="99"/>
      <c r="S140" s="99"/>
    </row>
    <row r="141" spans="1:19" x14ac:dyDescent="0.2">
      <c r="A141" s="444" t="s">
        <v>125</v>
      </c>
      <c r="B141" s="129">
        <v>0</v>
      </c>
      <c r="C141" s="129">
        <v>0</v>
      </c>
      <c r="D141" s="99"/>
      <c r="E141" s="99"/>
      <c r="F141" s="99"/>
      <c r="G141" s="99"/>
      <c r="H141" s="99"/>
      <c r="I141" s="99"/>
      <c r="J141" s="99"/>
      <c r="K141" s="99"/>
      <c r="L141" s="99"/>
      <c r="M141" s="99"/>
      <c r="N141" s="99"/>
      <c r="O141" s="99"/>
      <c r="P141" s="99"/>
      <c r="Q141" s="99"/>
      <c r="R141" s="99"/>
      <c r="S141" s="99"/>
    </row>
    <row r="142" spans="1:19" x14ac:dyDescent="0.2">
      <c r="A142" s="444" t="s">
        <v>126</v>
      </c>
      <c r="B142" s="129">
        <v>0</v>
      </c>
      <c r="C142" s="129">
        <v>0</v>
      </c>
      <c r="D142" s="99"/>
      <c r="E142" s="99"/>
      <c r="F142" s="99"/>
      <c r="G142" s="99"/>
      <c r="H142" s="99"/>
      <c r="I142" s="99"/>
      <c r="J142" s="99"/>
      <c r="K142" s="99"/>
      <c r="L142" s="99"/>
      <c r="M142" s="99"/>
      <c r="N142" s="99"/>
      <c r="O142" s="99"/>
      <c r="P142" s="99"/>
      <c r="Q142" s="99"/>
      <c r="R142" s="99"/>
      <c r="S142" s="99"/>
    </row>
    <row r="143" spans="1:19" x14ac:dyDescent="0.2">
      <c r="A143" s="444" t="s">
        <v>127</v>
      </c>
      <c r="B143" s="129">
        <v>0</v>
      </c>
      <c r="C143" s="129">
        <v>0</v>
      </c>
      <c r="D143" s="99"/>
      <c r="E143" s="99"/>
      <c r="F143" s="99"/>
      <c r="G143" s="99"/>
      <c r="H143" s="99"/>
      <c r="I143" s="99"/>
      <c r="J143" s="99"/>
      <c r="K143" s="99"/>
      <c r="L143" s="99"/>
      <c r="M143" s="99"/>
      <c r="N143" s="99"/>
      <c r="O143" s="99"/>
      <c r="P143" s="99"/>
      <c r="Q143" s="99"/>
      <c r="R143" s="99"/>
      <c r="S143" s="99"/>
    </row>
    <row r="144" spans="1:19" x14ac:dyDescent="0.2">
      <c r="A144" s="444" t="s">
        <v>391</v>
      </c>
      <c r="B144" s="129">
        <v>0</v>
      </c>
      <c r="C144" s="129">
        <v>0</v>
      </c>
      <c r="D144" s="99"/>
      <c r="E144" s="99"/>
      <c r="F144" s="99"/>
      <c r="G144" s="99"/>
      <c r="H144" s="99"/>
      <c r="I144" s="99"/>
      <c r="J144" s="99"/>
      <c r="K144" s="99"/>
      <c r="L144" s="99"/>
      <c r="M144" s="99"/>
      <c r="N144" s="99"/>
      <c r="O144" s="99"/>
      <c r="P144" s="99"/>
      <c r="Q144" s="99"/>
      <c r="R144" s="99"/>
      <c r="S144" s="99"/>
    </row>
    <row r="145" spans="1:19" x14ac:dyDescent="0.2">
      <c r="A145" s="444" t="s">
        <v>392</v>
      </c>
      <c r="B145" s="129">
        <v>0</v>
      </c>
      <c r="C145" s="129">
        <v>0</v>
      </c>
      <c r="D145" s="99"/>
      <c r="E145" s="99"/>
      <c r="F145" s="99"/>
      <c r="G145" s="99"/>
      <c r="H145" s="99"/>
      <c r="I145" s="99"/>
      <c r="J145" s="99"/>
      <c r="K145" s="99"/>
      <c r="L145" s="99"/>
      <c r="M145" s="99"/>
      <c r="N145" s="99"/>
      <c r="O145" s="99"/>
      <c r="P145" s="99"/>
      <c r="Q145" s="99"/>
      <c r="R145" s="99"/>
      <c r="S145" s="99"/>
    </row>
    <row r="146" spans="1:19" x14ac:dyDescent="0.2">
      <c r="A146" s="444" t="s">
        <v>393</v>
      </c>
      <c r="B146" s="129">
        <v>0</v>
      </c>
      <c r="C146" s="129">
        <v>0</v>
      </c>
      <c r="D146" s="99"/>
      <c r="E146" s="99"/>
      <c r="F146" s="99"/>
      <c r="G146" s="99"/>
      <c r="H146" s="99"/>
      <c r="I146" s="99"/>
      <c r="J146" s="99"/>
      <c r="K146" s="99"/>
      <c r="L146" s="99"/>
      <c r="M146" s="99"/>
      <c r="N146" s="99"/>
      <c r="O146" s="99"/>
      <c r="P146" s="99"/>
      <c r="Q146" s="99"/>
      <c r="R146" s="99"/>
      <c r="S146" s="99"/>
    </row>
    <row r="147" spans="1:19" x14ac:dyDescent="0.2">
      <c r="A147" s="444" t="s">
        <v>57</v>
      </c>
      <c r="B147" s="129">
        <v>0</v>
      </c>
      <c r="C147" s="129">
        <v>0</v>
      </c>
      <c r="D147" s="99"/>
      <c r="E147" s="99"/>
      <c r="F147" s="99"/>
      <c r="G147" s="99"/>
      <c r="H147" s="99"/>
      <c r="I147" s="99"/>
      <c r="J147" s="99"/>
      <c r="K147" s="99"/>
      <c r="L147" s="99"/>
      <c r="M147" s="99"/>
      <c r="N147" s="99"/>
      <c r="O147" s="99"/>
      <c r="P147" s="99"/>
      <c r="Q147" s="99"/>
      <c r="R147" s="99"/>
      <c r="S147" s="99"/>
    </row>
    <row r="148" spans="1:19" x14ac:dyDescent="0.2">
      <c r="A148" s="444" t="s">
        <v>394</v>
      </c>
      <c r="B148" s="129">
        <v>0</v>
      </c>
      <c r="C148" s="129">
        <v>0</v>
      </c>
      <c r="D148" s="99"/>
      <c r="E148" s="99"/>
      <c r="F148" s="99"/>
      <c r="G148" s="99"/>
      <c r="H148" s="99"/>
      <c r="I148" s="99"/>
      <c r="J148" s="99"/>
      <c r="K148" s="99"/>
      <c r="L148" s="99"/>
      <c r="M148" s="99"/>
      <c r="N148" s="99"/>
      <c r="O148" s="99"/>
      <c r="P148" s="99"/>
      <c r="Q148" s="99"/>
      <c r="R148" s="99"/>
      <c r="S148" s="99"/>
    </row>
    <row r="149" spans="1:19" x14ac:dyDescent="0.2">
      <c r="A149" s="444" t="s">
        <v>128</v>
      </c>
      <c r="B149" s="129">
        <v>0</v>
      </c>
      <c r="C149" s="129">
        <v>0</v>
      </c>
      <c r="D149" s="99"/>
      <c r="E149" s="99"/>
      <c r="F149" s="99"/>
      <c r="G149" s="99"/>
      <c r="H149" s="99"/>
      <c r="I149" s="99"/>
      <c r="J149" s="99"/>
      <c r="K149" s="99"/>
      <c r="L149" s="99"/>
      <c r="M149" s="99"/>
      <c r="N149" s="99"/>
      <c r="O149" s="99"/>
      <c r="P149" s="99"/>
      <c r="Q149" s="99"/>
      <c r="R149" s="99"/>
      <c r="S149" s="99"/>
    </row>
    <row r="150" spans="1:19" x14ac:dyDescent="0.2">
      <c r="A150" s="444" t="s">
        <v>395</v>
      </c>
      <c r="B150" s="129">
        <v>0</v>
      </c>
      <c r="C150" s="129">
        <v>0</v>
      </c>
      <c r="D150" s="99"/>
      <c r="E150" s="99"/>
      <c r="F150" s="99"/>
      <c r="G150" s="99"/>
      <c r="H150" s="99"/>
      <c r="I150" s="99"/>
      <c r="J150" s="99"/>
      <c r="K150" s="99"/>
      <c r="L150" s="99"/>
      <c r="M150" s="99"/>
      <c r="N150" s="99"/>
      <c r="O150" s="99"/>
      <c r="P150" s="99"/>
      <c r="Q150" s="99"/>
      <c r="R150" s="99"/>
      <c r="S150" s="99"/>
    </row>
    <row r="151" spans="1:19" x14ac:dyDescent="0.2">
      <c r="A151" s="444" t="s">
        <v>396</v>
      </c>
      <c r="B151" s="129">
        <v>0</v>
      </c>
      <c r="C151" s="129">
        <v>0</v>
      </c>
      <c r="D151" s="99"/>
      <c r="E151" s="99"/>
      <c r="F151" s="99"/>
      <c r="G151" s="99"/>
      <c r="H151" s="99"/>
      <c r="I151" s="99"/>
      <c r="J151" s="99"/>
      <c r="K151" s="99"/>
      <c r="L151" s="99"/>
      <c r="M151" s="99"/>
      <c r="N151" s="99"/>
      <c r="O151" s="99"/>
      <c r="P151" s="99"/>
      <c r="Q151" s="99"/>
      <c r="R151" s="99"/>
      <c r="S151" s="99"/>
    </row>
    <row r="152" spans="1:19" x14ac:dyDescent="0.2">
      <c r="A152" s="444" t="s">
        <v>397</v>
      </c>
      <c r="B152" s="129">
        <v>0</v>
      </c>
      <c r="C152" s="129">
        <v>0</v>
      </c>
      <c r="D152" s="99"/>
      <c r="E152" s="99"/>
      <c r="F152" s="99"/>
      <c r="G152" s="99"/>
      <c r="H152" s="99"/>
      <c r="I152" s="99"/>
      <c r="J152" s="99"/>
      <c r="K152" s="99"/>
      <c r="L152" s="99"/>
      <c r="M152" s="99"/>
      <c r="N152" s="99"/>
      <c r="O152" s="99"/>
      <c r="P152" s="99"/>
      <c r="Q152" s="99"/>
      <c r="R152" s="99"/>
      <c r="S152" s="99"/>
    </row>
    <row r="153" spans="1:19" x14ac:dyDescent="0.2">
      <c r="A153" s="444" t="s">
        <v>398</v>
      </c>
      <c r="B153" s="129">
        <v>0</v>
      </c>
      <c r="C153" s="129">
        <v>0</v>
      </c>
      <c r="D153" s="99"/>
      <c r="E153" s="99"/>
      <c r="F153" s="99"/>
      <c r="G153" s="99"/>
      <c r="H153" s="99"/>
      <c r="I153" s="99"/>
      <c r="J153" s="99"/>
      <c r="K153" s="99"/>
      <c r="L153" s="99"/>
      <c r="M153" s="99"/>
      <c r="N153" s="99"/>
      <c r="O153" s="99"/>
      <c r="P153" s="99"/>
      <c r="Q153" s="99"/>
      <c r="R153" s="99"/>
      <c r="S153" s="99"/>
    </row>
    <row r="154" spans="1:19" x14ac:dyDescent="0.2">
      <c r="A154" s="444" t="s">
        <v>399</v>
      </c>
      <c r="B154" s="129">
        <v>0</v>
      </c>
      <c r="C154" s="129">
        <v>0</v>
      </c>
      <c r="D154" s="99"/>
      <c r="E154" s="99"/>
      <c r="F154" s="99"/>
      <c r="G154" s="99"/>
      <c r="H154" s="99"/>
      <c r="I154" s="99"/>
      <c r="J154" s="99"/>
      <c r="K154" s="99"/>
      <c r="L154" s="99"/>
      <c r="M154" s="99"/>
      <c r="N154" s="99"/>
      <c r="O154" s="99"/>
      <c r="P154" s="99"/>
      <c r="Q154" s="99"/>
      <c r="R154" s="99"/>
      <c r="S154" s="99"/>
    </row>
    <row r="155" spans="1:19" x14ac:dyDescent="0.2">
      <c r="A155" s="444" t="s">
        <v>400</v>
      </c>
      <c r="B155" s="129">
        <v>0</v>
      </c>
      <c r="C155" s="129">
        <v>0</v>
      </c>
      <c r="D155" s="99"/>
      <c r="E155" s="99"/>
      <c r="F155" s="99"/>
      <c r="G155" s="99"/>
      <c r="H155" s="99"/>
      <c r="I155" s="99"/>
      <c r="J155" s="99"/>
      <c r="K155" s="99"/>
      <c r="L155" s="99"/>
      <c r="M155" s="99"/>
      <c r="N155" s="99"/>
      <c r="O155" s="99"/>
      <c r="P155" s="99"/>
      <c r="Q155" s="99"/>
      <c r="R155" s="99"/>
      <c r="S155" s="99"/>
    </row>
    <row r="156" spans="1:19" x14ac:dyDescent="0.2">
      <c r="A156" s="444" t="s">
        <v>58</v>
      </c>
      <c r="B156" s="129">
        <v>0</v>
      </c>
      <c r="C156" s="129">
        <v>0</v>
      </c>
      <c r="D156" s="99"/>
      <c r="E156" s="99"/>
      <c r="F156" s="99"/>
      <c r="G156" s="99"/>
      <c r="H156" s="99"/>
      <c r="I156" s="99"/>
      <c r="J156" s="99"/>
      <c r="K156" s="99"/>
      <c r="L156" s="99"/>
      <c r="M156" s="99"/>
      <c r="N156" s="99"/>
      <c r="O156" s="99"/>
      <c r="P156" s="99"/>
      <c r="Q156" s="99"/>
      <c r="R156" s="99"/>
      <c r="S156" s="99"/>
    </row>
    <row r="157" spans="1:19" x14ac:dyDescent="0.2">
      <c r="A157" s="444" t="s">
        <v>401</v>
      </c>
      <c r="B157" s="129">
        <v>0</v>
      </c>
      <c r="C157" s="129">
        <v>0</v>
      </c>
      <c r="D157" s="99"/>
      <c r="E157" s="99"/>
      <c r="F157" s="99"/>
      <c r="G157" s="99"/>
      <c r="H157" s="99"/>
      <c r="I157" s="99"/>
      <c r="J157" s="99"/>
      <c r="K157" s="99"/>
      <c r="L157" s="99"/>
      <c r="M157" s="99"/>
      <c r="N157" s="99"/>
      <c r="O157" s="99"/>
      <c r="P157" s="99"/>
      <c r="Q157" s="99"/>
      <c r="R157" s="99"/>
      <c r="S157" s="99"/>
    </row>
    <row r="158" spans="1:19" ht="15" x14ac:dyDescent="0.2">
      <c r="A158" s="132"/>
      <c r="B158" s="140"/>
      <c r="C158" s="140"/>
      <c r="D158" s="99"/>
      <c r="E158" s="99"/>
      <c r="F158" s="99"/>
      <c r="G158" s="99"/>
      <c r="H158" s="99"/>
      <c r="I158" s="99"/>
      <c r="J158" s="99"/>
      <c r="K158" s="99"/>
      <c r="L158" s="99"/>
      <c r="M158" s="99"/>
      <c r="N158" s="99"/>
      <c r="O158" s="99"/>
      <c r="P158" s="99"/>
      <c r="Q158" s="99"/>
      <c r="R158" s="99"/>
      <c r="S158" s="99"/>
    </row>
    <row r="159" spans="1:19" x14ac:dyDescent="0.2">
      <c r="A159" s="136" t="s">
        <v>180</v>
      </c>
      <c r="B159" s="140"/>
      <c r="C159" s="140"/>
      <c r="D159" s="99"/>
      <c r="E159" s="99"/>
      <c r="F159" s="99"/>
      <c r="G159" s="99"/>
      <c r="H159" s="99"/>
      <c r="I159" s="99"/>
      <c r="J159" s="99"/>
      <c r="K159" s="99"/>
      <c r="L159" s="99"/>
      <c r="M159" s="99"/>
      <c r="N159" s="99"/>
      <c r="O159" s="99"/>
      <c r="P159" s="99"/>
      <c r="Q159" s="99"/>
      <c r="R159" s="99"/>
      <c r="S159" s="99"/>
    </row>
    <row r="160" spans="1:19" x14ac:dyDescent="0.2">
      <c r="A160" s="135" t="s">
        <v>187</v>
      </c>
      <c r="B160" s="138" t="str">
        <f>B135</f>
        <v>MyCounty</v>
      </c>
      <c r="C160" s="99" t="str">
        <f>C135</f>
        <v>MyRegion</v>
      </c>
      <c r="D160" s="99"/>
      <c r="E160" s="99"/>
      <c r="F160" s="99"/>
      <c r="G160" s="99"/>
      <c r="H160" s="99"/>
      <c r="I160" s="99"/>
      <c r="J160" s="99"/>
      <c r="K160" s="99"/>
      <c r="L160" s="99"/>
      <c r="M160" s="99"/>
      <c r="N160" s="99"/>
      <c r="O160" s="99"/>
      <c r="P160" s="99"/>
      <c r="Q160" s="99"/>
      <c r="R160" s="99"/>
      <c r="S160" s="99"/>
    </row>
    <row r="161" spans="1:19" x14ac:dyDescent="0.2">
      <c r="A161" s="444" t="s">
        <v>388</v>
      </c>
      <c r="B161" s="129">
        <v>0</v>
      </c>
      <c r="C161" s="129">
        <v>0</v>
      </c>
      <c r="D161" s="99"/>
      <c r="E161" s="99"/>
      <c r="F161" s="99"/>
      <c r="G161" s="99"/>
      <c r="H161" s="99"/>
      <c r="I161" s="99"/>
      <c r="J161" s="99"/>
      <c r="K161" s="99"/>
      <c r="L161" s="99"/>
      <c r="M161" s="99"/>
      <c r="N161" s="99"/>
      <c r="O161" s="99"/>
      <c r="P161" s="99"/>
      <c r="Q161" s="99"/>
      <c r="R161" s="99"/>
      <c r="S161" s="99"/>
    </row>
    <row r="162" spans="1:19" x14ac:dyDescent="0.2">
      <c r="A162" s="444" t="s">
        <v>124</v>
      </c>
      <c r="B162" s="129">
        <v>0</v>
      </c>
      <c r="C162" s="129">
        <v>0</v>
      </c>
      <c r="D162" s="99"/>
      <c r="E162" s="99"/>
      <c r="F162" s="99"/>
      <c r="G162" s="99"/>
      <c r="H162" s="99"/>
      <c r="I162" s="99"/>
      <c r="J162" s="99"/>
      <c r="K162" s="99"/>
      <c r="L162" s="99"/>
      <c r="M162" s="99"/>
      <c r="N162" s="99"/>
      <c r="O162" s="99"/>
      <c r="P162" s="99"/>
      <c r="Q162" s="99"/>
      <c r="R162" s="99"/>
      <c r="S162" s="99"/>
    </row>
    <row r="163" spans="1:19" x14ac:dyDescent="0.2">
      <c r="A163" s="444" t="s">
        <v>56</v>
      </c>
      <c r="B163" s="129">
        <v>0</v>
      </c>
      <c r="C163" s="129">
        <v>0</v>
      </c>
      <c r="D163" s="99"/>
      <c r="E163" s="99"/>
      <c r="F163" s="99"/>
      <c r="G163" s="99"/>
      <c r="H163" s="99"/>
      <c r="I163" s="99"/>
      <c r="J163" s="99"/>
      <c r="K163" s="99"/>
      <c r="L163" s="99"/>
      <c r="M163" s="99"/>
      <c r="N163" s="99"/>
      <c r="O163" s="99"/>
      <c r="P163" s="99"/>
      <c r="Q163" s="99"/>
      <c r="R163" s="99"/>
      <c r="S163" s="99"/>
    </row>
    <row r="164" spans="1:19" x14ac:dyDescent="0.2">
      <c r="A164" s="444" t="s">
        <v>389</v>
      </c>
      <c r="B164" s="129">
        <v>0</v>
      </c>
      <c r="C164" s="129">
        <v>0</v>
      </c>
      <c r="D164" s="99"/>
      <c r="E164" s="99"/>
      <c r="F164" s="99"/>
      <c r="G164" s="99"/>
      <c r="H164" s="99"/>
      <c r="I164" s="99"/>
      <c r="J164" s="99"/>
      <c r="K164" s="99"/>
      <c r="L164" s="99"/>
      <c r="M164" s="99"/>
      <c r="N164" s="99"/>
      <c r="O164" s="99"/>
      <c r="P164" s="99"/>
      <c r="Q164" s="99"/>
      <c r="R164" s="99"/>
      <c r="S164" s="99"/>
    </row>
    <row r="165" spans="1:19" x14ac:dyDescent="0.2">
      <c r="A165" s="444" t="s">
        <v>390</v>
      </c>
      <c r="B165" s="129">
        <v>0</v>
      </c>
      <c r="C165" s="129">
        <v>0</v>
      </c>
      <c r="D165" s="99"/>
      <c r="E165" s="99"/>
      <c r="F165" s="99"/>
      <c r="G165" s="99"/>
      <c r="H165" s="99"/>
      <c r="I165" s="99"/>
      <c r="J165" s="99"/>
      <c r="K165" s="99"/>
      <c r="L165" s="99"/>
      <c r="M165" s="99"/>
      <c r="N165" s="99"/>
      <c r="O165" s="99"/>
      <c r="P165" s="99"/>
      <c r="Q165" s="99"/>
      <c r="R165" s="99"/>
      <c r="S165" s="99"/>
    </row>
    <row r="166" spans="1:19" x14ac:dyDescent="0.2">
      <c r="A166" s="444" t="s">
        <v>125</v>
      </c>
      <c r="B166" s="129">
        <v>0</v>
      </c>
      <c r="C166" s="129">
        <v>0</v>
      </c>
      <c r="D166" s="99"/>
      <c r="E166" s="99"/>
      <c r="F166" s="99"/>
      <c r="G166" s="99"/>
      <c r="H166" s="99"/>
      <c r="I166" s="99"/>
      <c r="J166" s="99"/>
      <c r="K166" s="99"/>
      <c r="L166" s="99"/>
      <c r="M166" s="99"/>
      <c r="N166" s="99"/>
      <c r="O166" s="99"/>
      <c r="P166" s="99"/>
      <c r="Q166" s="99"/>
      <c r="R166" s="99"/>
      <c r="S166" s="99"/>
    </row>
    <row r="167" spans="1:19" x14ac:dyDescent="0.2">
      <c r="A167" s="444" t="s">
        <v>126</v>
      </c>
      <c r="B167" s="129">
        <v>0</v>
      </c>
      <c r="C167" s="129">
        <v>0</v>
      </c>
      <c r="D167" s="99"/>
      <c r="E167" s="99"/>
      <c r="F167" s="99"/>
      <c r="G167" s="99"/>
      <c r="H167" s="99"/>
      <c r="I167" s="99"/>
      <c r="J167" s="99"/>
      <c r="K167" s="99"/>
      <c r="L167" s="99"/>
      <c r="M167" s="99"/>
      <c r="N167" s="99"/>
      <c r="O167" s="99"/>
      <c r="P167" s="99"/>
      <c r="Q167" s="99"/>
      <c r="R167" s="99"/>
      <c r="S167" s="99"/>
    </row>
    <row r="168" spans="1:19" x14ac:dyDescent="0.2">
      <c r="A168" s="444" t="s">
        <v>127</v>
      </c>
      <c r="B168" s="129">
        <v>0</v>
      </c>
      <c r="C168" s="129">
        <v>0</v>
      </c>
      <c r="D168" s="99"/>
      <c r="E168" s="99"/>
      <c r="F168" s="99"/>
      <c r="G168" s="99"/>
      <c r="H168" s="99"/>
      <c r="I168" s="99"/>
      <c r="J168" s="99"/>
      <c r="K168" s="99"/>
      <c r="L168" s="99"/>
      <c r="M168" s="99"/>
      <c r="N168" s="99"/>
      <c r="O168" s="99"/>
      <c r="P168" s="99"/>
      <c r="Q168" s="99"/>
      <c r="R168" s="99"/>
      <c r="S168" s="99"/>
    </row>
    <row r="169" spans="1:19" x14ac:dyDescent="0.2">
      <c r="A169" s="444" t="s">
        <v>391</v>
      </c>
      <c r="B169" s="129">
        <v>0</v>
      </c>
      <c r="C169" s="129">
        <v>0</v>
      </c>
      <c r="D169" s="99"/>
      <c r="E169" s="99"/>
      <c r="F169" s="99"/>
      <c r="G169" s="99"/>
      <c r="H169" s="99"/>
      <c r="I169" s="99"/>
      <c r="J169" s="99"/>
      <c r="K169" s="99"/>
      <c r="L169" s="99"/>
      <c r="M169" s="99"/>
      <c r="N169" s="99"/>
      <c r="O169" s="99"/>
      <c r="P169" s="99"/>
      <c r="Q169" s="99"/>
      <c r="R169" s="99"/>
      <c r="S169" s="99"/>
    </row>
    <row r="170" spans="1:19" x14ac:dyDescent="0.2">
      <c r="A170" s="444" t="s">
        <v>392</v>
      </c>
      <c r="B170" s="129">
        <v>0</v>
      </c>
      <c r="C170" s="129">
        <v>0</v>
      </c>
      <c r="D170" s="99"/>
      <c r="E170" s="99"/>
      <c r="F170" s="99"/>
      <c r="G170" s="99"/>
      <c r="H170" s="99"/>
      <c r="I170" s="99"/>
      <c r="J170" s="99"/>
      <c r="K170" s="99"/>
      <c r="L170" s="99"/>
      <c r="M170" s="99"/>
      <c r="N170" s="99"/>
      <c r="O170" s="99"/>
      <c r="P170" s="99"/>
      <c r="Q170" s="99"/>
      <c r="R170" s="99"/>
      <c r="S170" s="99"/>
    </row>
    <row r="171" spans="1:19" x14ac:dyDescent="0.2">
      <c r="A171" s="444" t="s">
        <v>393</v>
      </c>
      <c r="B171" s="129">
        <v>0</v>
      </c>
      <c r="C171" s="129">
        <v>0</v>
      </c>
      <c r="D171" s="99"/>
      <c r="E171" s="99"/>
      <c r="F171" s="99"/>
      <c r="G171" s="99"/>
      <c r="H171" s="99"/>
      <c r="I171" s="99"/>
      <c r="J171" s="99"/>
      <c r="K171" s="99"/>
      <c r="L171" s="99"/>
      <c r="M171" s="99"/>
      <c r="N171" s="99"/>
      <c r="O171" s="99"/>
      <c r="P171" s="99"/>
      <c r="Q171" s="99"/>
      <c r="R171" s="99"/>
      <c r="S171" s="99"/>
    </row>
    <row r="172" spans="1:19" x14ac:dyDescent="0.2">
      <c r="A172" s="444" t="s">
        <v>57</v>
      </c>
      <c r="B172" s="129">
        <v>0</v>
      </c>
      <c r="C172" s="129">
        <v>0</v>
      </c>
      <c r="D172" s="99"/>
      <c r="E172" s="99"/>
      <c r="F172" s="99"/>
      <c r="G172" s="99"/>
      <c r="H172" s="99"/>
      <c r="I172" s="99"/>
      <c r="J172" s="99"/>
      <c r="K172" s="99"/>
      <c r="L172" s="99"/>
      <c r="M172" s="99"/>
      <c r="N172" s="99"/>
      <c r="O172" s="99"/>
      <c r="P172" s="99"/>
      <c r="Q172" s="99"/>
      <c r="R172" s="99"/>
      <c r="S172" s="99"/>
    </row>
    <row r="173" spans="1:19" x14ac:dyDescent="0.2">
      <c r="A173" s="444" t="s">
        <v>394</v>
      </c>
      <c r="B173" s="129">
        <v>0</v>
      </c>
      <c r="C173" s="129">
        <v>0</v>
      </c>
      <c r="D173" s="99"/>
      <c r="E173" s="99"/>
      <c r="F173" s="99"/>
      <c r="G173" s="99"/>
      <c r="H173" s="99"/>
      <c r="I173" s="99"/>
      <c r="J173" s="99"/>
      <c r="K173" s="99"/>
      <c r="L173" s="99"/>
      <c r="M173" s="99"/>
      <c r="N173" s="99"/>
      <c r="O173" s="99"/>
      <c r="P173" s="99"/>
      <c r="Q173" s="99"/>
      <c r="R173" s="99"/>
      <c r="S173" s="99"/>
    </row>
    <row r="174" spans="1:19" x14ac:dyDescent="0.2">
      <c r="A174" s="444" t="s">
        <v>128</v>
      </c>
      <c r="B174" s="129">
        <v>0</v>
      </c>
      <c r="C174" s="129">
        <v>0</v>
      </c>
      <c r="D174" s="99"/>
      <c r="E174" s="99"/>
      <c r="F174" s="99"/>
      <c r="G174" s="99"/>
      <c r="H174" s="99"/>
      <c r="I174" s="99"/>
      <c r="J174" s="99"/>
      <c r="K174" s="99"/>
      <c r="L174" s="99"/>
      <c r="M174" s="99"/>
      <c r="N174" s="99"/>
      <c r="O174" s="99"/>
      <c r="P174" s="99"/>
      <c r="Q174" s="99"/>
      <c r="R174" s="99"/>
      <c r="S174" s="99"/>
    </row>
    <row r="175" spans="1:19" x14ac:dyDescent="0.2">
      <c r="A175" s="444" t="s">
        <v>395</v>
      </c>
      <c r="B175" s="129">
        <v>0</v>
      </c>
      <c r="C175" s="129">
        <v>0</v>
      </c>
      <c r="D175" s="99"/>
      <c r="E175" s="99"/>
      <c r="F175" s="99"/>
      <c r="G175" s="99"/>
      <c r="H175" s="99"/>
      <c r="I175" s="99"/>
      <c r="J175" s="99"/>
      <c r="K175" s="99"/>
      <c r="L175" s="99"/>
      <c r="M175" s="99"/>
      <c r="N175" s="99"/>
      <c r="O175" s="99"/>
      <c r="P175" s="99"/>
      <c r="Q175" s="99"/>
      <c r="R175" s="99"/>
      <c r="S175" s="99"/>
    </row>
    <row r="176" spans="1:19" x14ac:dyDescent="0.2">
      <c r="A176" s="444" t="s">
        <v>396</v>
      </c>
      <c r="B176" s="129">
        <v>0</v>
      </c>
      <c r="C176" s="129">
        <v>0</v>
      </c>
      <c r="D176" s="99"/>
      <c r="E176" s="99"/>
      <c r="F176" s="99"/>
      <c r="G176" s="99"/>
      <c r="H176" s="99"/>
      <c r="I176" s="99"/>
      <c r="J176" s="99"/>
      <c r="K176" s="99"/>
      <c r="L176" s="99"/>
      <c r="M176" s="99"/>
      <c r="N176" s="99"/>
      <c r="O176" s="99"/>
      <c r="P176" s="99"/>
      <c r="Q176" s="99"/>
      <c r="R176" s="99"/>
      <c r="S176" s="99"/>
    </row>
    <row r="177" spans="1:19" x14ac:dyDescent="0.2">
      <c r="A177" s="444" t="s">
        <v>397</v>
      </c>
      <c r="B177" s="129">
        <v>0</v>
      </c>
      <c r="C177" s="129">
        <v>0</v>
      </c>
      <c r="D177" s="99"/>
      <c r="E177" s="99"/>
      <c r="F177" s="99"/>
      <c r="G177" s="99"/>
      <c r="H177" s="99"/>
      <c r="I177" s="99"/>
      <c r="J177" s="99"/>
      <c r="K177" s="99"/>
      <c r="L177" s="99"/>
      <c r="M177" s="99"/>
      <c r="N177" s="99"/>
      <c r="O177" s="99"/>
      <c r="P177" s="99"/>
      <c r="Q177" s="99"/>
      <c r="R177" s="99"/>
      <c r="S177" s="99"/>
    </row>
    <row r="178" spans="1:19" x14ac:dyDescent="0.2">
      <c r="A178" s="444" t="s">
        <v>398</v>
      </c>
      <c r="B178" s="129">
        <v>0</v>
      </c>
      <c r="C178" s="129">
        <v>0</v>
      </c>
      <c r="D178" s="99"/>
      <c r="E178" s="99"/>
      <c r="F178" s="99"/>
      <c r="G178" s="99"/>
      <c r="H178" s="99"/>
      <c r="I178" s="99"/>
      <c r="J178" s="99"/>
      <c r="K178" s="99"/>
      <c r="L178" s="99"/>
      <c r="M178" s="99"/>
      <c r="N178" s="99"/>
      <c r="O178" s="99"/>
      <c r="P178" s="99"/>
      <c r="Q178" s="99"/>
      <c r="R178" s="99"/>
      <c r="S178" s="99"/>
    </row>
    <row r="179" spans="1:19" x14ac:dyDescent="0.2">
      <c r="A179" s="444" t="s">
        <v>399</v>
      </c>
      <c r="B179" s="129">
        <v>0</v>
      </c>
      <c r="C179" s="129">
        <v>0</v>
      </c>
      <c r="D179" s="99"/>
      <c r="E179" s="99"/>
      <c r="F179" s="99"/>
      <c r="G179" s="99"/>
      <c r="H179" s="99"/>
      <c r="I179" s="99"/>
      <c r="J179" s="99"/>
      <c r="K179" s="99"/>
      <c r="L179" s="99"/>
      <c r="M179" s="99"/>
      <c r="N179" s="99"/>
      <c r="O179" s="99"/>
      <c r="P179" s="99"/>
      <c r="Q179" s="99"/>
      <c r="R179" s="99"/>
      <c r="S179" s="99"/>
    </row>
    <row r="180" spans="1:19" x14ac:dyDescent="0.2">
      <c r="A180" s="444" t="s">
        <v>400</v>
      </c>
      <c r="B180" s="129">
        <v>0</v>
      </c>
      <c r="C180" s="129">
        <v>0</v>
      </c>
      <c r="D180" s="99"/>
      <c r="E180" s="99"/>
      <c r="F180" s="99"/>
      <c r="G180" s="99"/>
      <c r="H180" s="99"/>
      <c r="I180" s="99"/>
      <c r="J180" s="99"/>
      <c r="K180" s="99"/>
      <c r="L180" s="99"/>
      <c r="M180" s="99"/>
      <c r="N180" s="99"/>
      <c r="O180" s="99"/>
      <c r="P180" s="99"/>
      <c r="Q180" s="99"/>
      <c r="R180" s="99"/>
      <c r="S180" s="99"/>
    </row>
    <row r="181" spans="1:19" x14ac:dyDescent="0.2">
      <c r="A181" s="444" t="s">
        <v>58</v>
      </c>
      <c r="B181" s="129">
        <v>0</v>
      </c>
      <c r="C181" s="129">
        <v>0</v>
      </c>
      <c r="D181" s="99"/>
      <c r="E181" s="99"/>
      <c r="F181" s="99"/>
      <c r="G181" s="99"/>
      <c r="H181" s="99"/>
      <c r="I181" s="99"/>
      <c r="J181" s="99"/>
      <c r="K181" s="99"/>
      <c r="L181" s="99"/>
      <c r="M181" s="99"/>
      <c r="N181" s="99"/>
      <c r="O181" s="99"/>
      <c r="P181" s="99"/>
      <c r="Q181" s="99"/>
      <c r="R181" s="99"/>
      <c r="S181" s="99"/>
    </row>
    <row r="182" spans="1:19" x14ac:dyDescent="0.2">
      <c r="A182" s="444" t="s">
        <v>401</v>
      </c>
      <c r="B182" s="129">
        <v>0</v>
      </c>
      <c r="C182" s="129">
        <v>0</v>
      </c>
      <c r="D182" s="99"/>
      <c r="E182" s="99"/>
      <c r="F182" s="99"/>
      <c r="G182" s="99"/>
      <c r="H182" s="99"/>
      <c r="I182" s="99"/>
      <c r="J182" s="99"/>
      <c r="K182" s="99"/>
      <c r="L182" s="99"/>
      <c r="M182" s="99"/>
      <c r="N182" s="99"/>
      <c r="O182" s="99"/>
      <c r="P182" s="99"/>
      <c r="Q182" s="99"/>
      <c r="R182" s="99"/>
      <c r="S182" s="99"/>
    </row>
    <row r="183" spans="1:19" ht="15" x14ac:dyDescent="0.2">
      <c r="A183" s="132"/>
      <c r="B183" s="140"/>
      <c r="C183" s="140"/>
      <c r="D183" s="99"/>
      <c r="E183" s="99"/>
      <c r="F183" s="99"/>
      <c r="G183" s="99"/>
      <c r="H183" s="99"/>
      <c r="I183" s="99"/>
      <c r="J183" s="99"/>
      <c r="K183" s="99"/>
      <c r="L183" s="99"/>
      <c r="M183" s="99"/>
      <c r="N183" s="99"/>
      <c r="O183" s="99"/>
      <c r="P183" s="99"/>
      <c r="Q183" s="99"/>
      <c r="R183" s="99"/>
      <c r="S183" s="99"/>
    </row>
    <row r="184" spans="1:19" x14ac:dyDescent="0.2">
      <c r="A184" s="136" t="s">
        <v>180</v>
      </c>
      <c r="B184" s="140"/>
      <c r="C184" s="140"/>
      <c r="D184" s="99"/>
      <c r="E184" s="99"/>
      <c r="F184" s="99"/>
      <c r="G184" s="99"/>
      <c r="H184" s="99"/>
      <c r="I184" s="99"/>
      <c r="J184" s="99"/>
      <c r="K184" s="99"/>
      <c r="L184" s="99"/>
      <c r="M184" s="99"/>
      <c r="N184" s="99"/>
      <c r="O184" s="99"/>
      <c r="P184" s="99"/>
      <c r="Q184" s="99"/>
      <c r="R184" s="99"/>
      <c r="S184" s="99"/>
    </row>
    <row r="185" spans="1:19" x14ac:dyDescent="0.2">
      <c r="A185" s="135" t="s">
        <v>188</v>
      </c>
      <c r="B185" s="138" t="str">
        <f>B160</f>
        <v>MyCounty</v>
      </c>
      <c r="C185" s="99" t="str">
        <f>C160</f>
        <v>MyRegion</v>
      </c>
      <c r="D185" s="99"/>
      <c r="E185" s="99"/>
      <c r="F185" s="99"/>
      <c r="G185" s="99"/>
      <c r="H185" s="99"/>
      <c r="I185" s="99"/>
      <c r="J185" s="99"/>
      <c r="K185" s="99"/>
      <c r="L185" s="99"/>
      <c r="M185" s="99"/>
      <c r="N185" s="99"/>
      <c r="O185" s="99"/>
      <c r="P185" s="99"/>
      <c r="Q185" s="99"/>
      <c r="R185" s="99"/>
      <c r="S185" s="99"/>
    </row>
    <row r="186" spans="1:19" x14ac:dyDescent="0.2">
      <c r="A186" s="444" t="s">
        <v>388</v>
      </c>
      <c r="B186" s="129">
        <v>0</v>
      </c>
      <c r="C186" s="129">
        <v>0</v>
      </c>
      <c r="D186" s="99"/>
      <c r="E186" s="99"/>
      <c r="F186" s="99"/>
      <c r="G186" s="99"/>
      <c r="H186" s="99"/>
      <c r="I186" s="99"/>
      <c r="J186" s="99"/>
      <c r="K186" s="99"/>
      <c r="L186" s="99"/>
      <c r="M186" s="99"/>
      <c r="N186" s="99"/>
      <c r="O186" s="99"/>
      <c r="P186" s="99"/>
      <c r="Q186" s="99"/>
      <c r="R186" s="99"/>
      <c r="S186" s="99"/>
    </row>
    <row r="187" spans="1:19" x14ac:dyDescent="0.2">
      <c r="A187" s="444" t="s">
        <v>124</v>
      </c>
      <c r="B187" s="129">
        <v>0</v>
      </c>
      <c r="C187" s="129">
        <v>0</v>
      </c>
      <c r="D187" s="99"/>
      <c r="E187" s="99"/>
      <c r="F187" s="99"/>
      <c r="G187" s="99"/>
      <c r="H187" s="99"/>
      <c r="I187" s="99"/>
      <c r="J187" s="99"/>
      <c r="K187" s="99"/>
      <c r="L187" s="99"/>
      <c r="M187" s="99"/>
      <c r="N187" s="99"/>
      <c r="O187" s="99"/>
      <c r="P187" s="99"/>
      <c r="Q187" s="99"/>
      <c r="R187" s="99"/>
      <c r="S187" s="99"/>
    </row>
    <row r="188" spans="1:19" x14ac:dyDescent="0.2">
      <c r="A188" s="444" t="s">
        <v>56</v>
      </c>
      <c r="B188" s="129">
        <v>0</v>
      </c>
      <c r="C188" s="129">
        <v>0</v>
      </c>
      <c r="D188" s="99"/>
      <c r="E188" s="99"/>
      <c r="F188" s="99"/>
      <c r="G188" s="99"/>
      <c r="H188" s="99"/>
      <c r="I188" s="99"/>
      <c r="J188" s="99"/>
      <c r="K188" s="99"/>
      <c r="L188" s="99"/>
      <c r="M188" s="99"/>
      <c r="N188" s="99"/>
      <c r="O188" s="99"/>
      <c r="P188" s="99"/>
      <c r="Q188" s="99"/>
      <c r="R188" s="99"/>
      <c r="S188" s="99"/>
    </row>
    <row r="189" spans="1:19" x14ac:dyDescent="0.2">
      <c r="A189" s="444" t="s">
        <v>389</v>
      </c>
      <c r="B189" s="129">
        <v>0</v>
      </c>
      <c r="C189" s="129">
        <v>0</v>
      </c>
      <c r="D189" s="99"/>
      <c r="E189" s="99"/>
      <c r="F189" s="99"/>
      <c r="G189" s="99"/>
      <c r="H189" s="99"/>
      <c r="I189" s="99"/>
      <c r="J189" s="99"/>
      <c r="K189" s="99"/>
      <c r="L189" s="99"/>
      <c r="M189" s="99"/>
      <c r="N189" s="99"/>
      <c r="O189" s="99"/>
      <c r="P189" s="99"/>
      <c r="Q189" s="99"/>
      <c r="R189" s="99"/>
      <c r="S189" s="99"/>
    </row>
    <row r="190" spans="1:19" x14ac:dyDescent="0.2">
      <c r="A190" s="444" t="s">
        <v>390</v>
      </c>
      <c r="B190" s="129">
        <v>0</v>
      </c>
      <c r="C190" s="129">
        <v>0</v>
      </c>
      <c r="D190" s="99"/>
      <c r="E190" s="99"/>
      <c r="F190" s="99"/>
      <c r="G190" s="99"/>
      <c r="H190" s="99"/>
      <c r="I190" s="99"/>
      <c r="J190" s="99"/>
      <c r="K190" s="99"/>
      <c r="L190" s="99"/>
      <c r="M190" s="99"/>
      <c r="N190" s="99"/>
      <c r="O190" s="99"/>
      <c r="P190" s="99"/>
      <c r="Q190" s="99"/>
      <c r="R190" s="99"/>
      <c r="S190" s="99"/>
    </row>
    <row r="191" spans="1:19" x14ac:dyDescent="0.2">
      <c r="A191" s="444" t="s">
        <v>125</v>
      </c>
      <c r="B191" s="129">
        <v>0</v>
      </c>
      <c r="C191" s="129">
        <v>0</v>
      </c>
      <c r="D191" s="99"/>
      <c r="E191" s="99"/>
      <c r="F191" s="99"/>
      <c r="G191" s="99"/>
      <c r="H191" s="99"/>
      <c r="I191" s="99"/>
      <c r="J191" s="99"/>
      <c r="K191" s="99"/>
      <c r="L191" s="99"/>
      <c r="M191" s="99"/>
      <c r="N191" s="99"/>
      <c r="O191" s="99"/>
      <c r="P191" s="99"/>
      <c r="Q191" s="99"/>
      <c r="R191" s="99"/>
      <c r="S191" s="99"/>
    </row>
    <row r="192" spans="1:19" x14ac:dyDescent="0.2">
      <c r="A192" s="444" t="s">
        <v>126</v>
      </c>
      <c r="B192" s="129">
        <v>0</v>
      </c>
      <c r="C192" s="129">
        <v>0</v>
      </c>
      <c r="D192" s="99"/>
      <c r="E192" s="99"/>
      <c r="F192" s="99"/>
      <c r="G192" s="99"/>
      <c r="H192" s="99"/>
      <c r="I192" s="99"/>
      <c r="J192" s="99"/>
      <c r="K192" s="99"/>
      <c r="L192" s="99"/>
      <c r="M192" s="99"/>
      <c r="N192" s="99"/>
      <c r="O192" s="99"/>
      <c r="P192" s="99"/>
      <c r="Q192" s="99"/>
      <c r="R192" s="99"/>
      <c r="S192" s="99"/>
    </row>
    <row r="193" spans="1:19" x14ac:dyDescent="0.2">
      <c r="A193" s="444" t="s">
        <v>127</v>
      </c>
      <c r="B193" s="129">
        <v>0</v>
      </c>
      <c r="C193" s="129">
        <v>0</v>
      </c>
      <c r="D193" s="99"/>
      <c r="E193" s="99"/>
      <c r="F193" s="99"/>
      <c r="G193" s="99"/>
      <c r="H193" s="99"/>
      <c r="I193" s="99"/>
      <c r="J193" s="99"/>
      <c r="K193" s="99"/>
      <c r="L193" s="99"/>
      <c r="M193" s="99"/>
      <c r="N193" s="99"/>
      <c r="O193" s="99"/>
      <c r="P193" s="99"/>
      <c r="Q193" s="99"/>
      <c r="R193" s="99"/>
      <c r="S193" s="99"/>
    </row>
    <row r="194" spans="1:19" x14ac:dyDescent="0.2">
      <c r="A194" s="444" t="s">
        <v>391</v>
      </c>
      <c r="B194" s="129">
        <v>0</v>
      </c>
      <c r="C194" s="129">
        <v>0</v>
      </c>
      <c r="D194" s="99"/>
      <c r="E194" s="99"/>
      <c r="F194" s="99"/>
      <c r="G194" s="99"/>
      <c r="H194" s="99"/>
      <c r="I194" s="99"/>
      <c r="J194" s="99"/>
      <c r="K194" s="99"/>
      <c r="L194" s="99"/>
      <c r="M194" s="99"/>
      <c r="N194" s="99"/>
      <c r="O194" s="99"/>
      <c r="P194" s="99"/>
      <c r="Q194" s="99"/>
      <c r="R194" s="99"/>
      <c r="S194" s="99"/>
    </row>
    <row r="195" spans="1:19" x14ac:dyDescent="0.2">
      <c r="A195" s="444" t="s">
        <v>392</v>
      </c>
      <c r="B195" s="129">
        <v>0</v>
      </c>
      <c r="C195" s="129">
        <v>0</v>
      </c>
      <c r="D195" s="99"/>
      <c r="E195" s="99"/>
      <c r="F195" s="99"/>
      <c r="G195" s="99"/>
      <c r="H195" s="99"/>
      <c r="I195" s="99"/>
      <c r="J195" s="99"/>
      <c r="K195" s="99"/>
      <c r="L195" s="99"/>
      <c r="M195" s="99"/>
      <c r="N195" s="99"/>
      <c r="O195" s="99"/>
      <c r="P195" s="99"/>
      <c r="Q195" s="99"/>
      <c r="R195" s="99"/>
      <c r="S195" s="99"/>
    </row>
    <row r="196" spans="1:19" x14ac:dyDescent="0.2">
      <c r="A196" s="444" t="s">
        <v>393</v>
      </c>
      <c r="B196" s="129">
        <v>0</v>
      </c>
      <c r="C196" s="129">
        <v>0</v>
      </c>
      <c r="D196" s="99"/>
      <c r="E196" s="99"/>
      <c r="F196" s="99"/>
      <c r="G196" s="99"/>
      <c r="H196" s="99"/>
      <c r="I196" s="99"/>
      <c r="J196" s="99"/>
      <c r="K196" s="99"/>
      <c r="L196" s="99"/>
      <c r="M196" s="99"/>
      <c r="N196" s="99"/>
      <c r="O196" s="99"/>
      <c r="P196" s="99"/>
      <c r="Q196" s="99"/>
      <c r="R196" s="99"/>
      <c r="S196" s="99"/>
    </row>
    <row r="197" spans="1:19" x14ac:dyDescent="0.2">
      <c r="A197" s="444" t="s">
        <v>57</v>
      </c>
      <c r="B197" s="129">
        <v>0</v>
      </c>
      <c r="C197" s="129">
        <v>0</v>
      </c>
      <c r="D197" s="99"/>
      <c r="E197" s="99"/>
      <c r="F197" s="99"/>
      <c r="G197" s="99"/>
      <c r="H197" s="99"/>
      <c r="I197" s="99"/>
      <c r="J197" s="99"/>
      <c r="K197" s="99"/>
      <c r="L197" s="99"/>
      <c r="M197" s="99"/>
      <c r="N197" s="99"/>
      <c r="O197" s="99"/>
      <c r="P197" s="99"/>
      <c r="Q197" s="99"/>
      <c r="R197" s="99"/>
      <c r="S197" s="99"/>
    </row>
    <row r="198" spans="1:19" x14ac:dyDescent="0.2">
      <c r="A198" s="444" t="s">
        <v>394</v>
      </c>
      <c r="B198" s="129">
        <v>0</v>
      </c>
      <c r="C198" s="129">
        <v>0</v>
      </c>
      <c r="D198" s="99"/>
      <c r="E198" s="99"/>
      <c r="F198" s="99"/>
      <c r="G198" s="99"/>
      <c r="H198" s="99"/>
      <c r="I198" s="99"/>
      <c r="J198" s="99"/>
      <c r="K198" s="99"/>
      <c r="L198" s="99"/>
      <c r="M198" s="99"/>
      <c r="N198" s="99"/>
      <c r="O198" s="99"/>
      <c r="P198" s="99"/>
      <c r="Q198" s="99"/>
      <c r="R198" s="99"/>
      <c r="S198" s="99"/>
    </row>
    <row r="199" spans="1:19" x14ac:dyDescent="0.2">
      <c r="A199" s="444" t="s">
        <v>128</v>
      </c>
      <c r="B199" s="129">
        <v>0</v>
      </c>
      <c r="C199" s="129">
        <v>0</v>
      </c>
      <c r="D199" s="99"/>
      <c r="E199" s="99"/>
      <c r="F199" s="99"/>
      <c r="G199" s="99"/>
      <c r="H199" s="99"/>
      <c r="I199" s="99"/>
      <c r="J199" s="99"/>
      <c r="K199" s="99"/>
      <c r="L199" s="99"/>
      <c r="M199" s="99"/>
      <c r="N199" s="99"/>
      <c r="O199" s="99"/>
      <c r="P199" s="99"/>
      <c r="Q199" s="99"/>
      <c r="R199" s="99"/>
      <c r="S199" s="99"/>
    </row>
    <row r="200" spans="1:19" x14ac:dyDescent="0.2">
      <c r="A200" s="444" t="s">
        <v>395</v>
      </c>
      <c r="B200" s="129">
        <v>0</v>
      </c>
      <c r="C200" s="129">
        <v>0</v>
      </c>
      <c r="D200" s="99"/>
      <c r="E200" s="99"/>
      <c r="F200" s="99"/>
      <c r="G200" s="99"/>
      <c r="H200" s="99"/>
      <c r="I200" s="99"/>
      <c r="J200" s="99"/>
      <c r="K200" s="99"/>
      <c r="L200" s="99"/>
      <c r="M200" s="99"/>
      <c r="N200" s="99"/>
      <c r="O200" s="99"/>
      <c r="P200" s="99"/>
      <c r="Q200" s="99"/>
      <c r="R200" s="99"/>
      <c r="S200" s="99"/>
    </row>
    <row r="201" spans="1:19" x14ac:dyDescent="0.2">
      <c r="A201" s="444" t="s">
        <v>396</v>
      </c>
      <c r="B201" s="129">
        <v>0</v>
      </c>
      <c r="C201" s="129">
        <v>0</v>
      </c>
      <c r="D201" s="99"/>
      <c r="E201" s="99"/>
      <c r="F201" s="99"/>
      <c r="G201" s="99"/>
      <c r="H201" s="99"/>
      <c r="I201" s="99"/>
      <c r="J201" s="99"/>
      <c r="K201" s="99"/>
      <c r="L201" s="99"/>
      <c r="M201" s="99"/>
      <c r="N201" s="99"/>
      <c r="O201" s="99"/>
      <c r="P201" s="99"/>
      <c r="Q201" s="99"/>
      <c r="R201" s="99"/>
      <c r="S201" s="99"/>
    </row>
    <row r="202" spans="1:19" x14ac:dyDescent="0.2">
      <c r="A202" s="444" t="s">
        <v>397</v>
      </c>
      <c r="B202" s="129">
        <v>0</v>
      </c>
      <c r="C202" s="129">
        <v>0</v>
      </c>
      <c r="D202" s="99"/>
      <c r="E202" s="99"/>
      <c r="F202" s="99"/>
      <c r="G202" s="99"/>
      <c r="H202" s="99"/>
      <c r="I202" s="99"/>
      <c r="J202" s="99"/>
      <c r="K202" s="99"/>
      <c r="L202" s="99"/>
      <c r="M202" s="99"/>
      <c r="N202" s="99"/>
      <c r="O202" s="99"/>
      <c r="P202" s="99"/>
      <c r="Q202" s="99"/>
      <c r="R202" s="99"/>
      <c r="S202" s="99"/>
    </row>
    <row r="203" spans="1:19" x14ac:dyDescent="0.2">
      <c r="A203" s="444" t="s">
        <v>398</v>
      </c>
      <c r="B203" s="129">
        <v>0</v>
      </c>
      <c r="C203" s="129">
        <v>0</v>
      </c>
      <c r="D203" s="99"/>
      <c r="E203" s="99"/>
      <c r="F203" s="99"/>
      <c r="G203" s="99"/>
      <c r="H203" s="99"/>
      <c r="I203" s="99"/>
      <c r="J203" s="99"/>
      <c r="K203" s="99"/>
      <c r="L203" s="99"/>
      <c r="M203" s="99"/>
      <c r="N203" s="99"/>
      <c r="O203" s="99"/>
      <c r="P203" s="99"/>
      <c r="Q203" s="99"/>
      <c r="R203" s="99"/>
      <c r="S203" s="99"/>
    </row>
    <row r="204" spans="1:19" x14ac:dyDescent="0.2">
      <c r="A204" s="444" t="s">
        <v>399</v>
      </c>
      <c r="B204" s="129">
        <v>0</v>
      </c>
      <c r="C204" s="129">
        <v>0</v>
      </c>
      <c r="D204" s="99"/>
      <c r="E204" s="99"/>
      <c r="F204" s="99"/>
      <c r="G204" s="99"/>
      <c r="H204" s="99"/>
      <c r="I204" s="99"/>
      <c r="J204" s="99"/>
      <c r="K204" s="99"/>
      <c r="L204" s="99"/>
      <c r="M204" s="99"/>
      <c r="N204" s="99"/>
      <c r="O204" s="99"/>
      <c r="P204" s="99"/>
      <c r="Q204" s="99"/>
      <c r="R204" s="99"/>
      <c r="S204" s="99"/>
    </row>
    <row r="205" spans="1:19" x14ac:dyDescent="0.2">
      <c r="A205" s="444" t="s">
        <v>400</v>
      </c>
      <c r="B205" s="129">
        <v>0</v>
      </c>
      <c r="C205" s="129">
        <v>0</v>
      </c>
      <c r="D205" s="99"/>
      <c r="E205" s="99"/>
      <c r="F205" s="99"/>
      <c r="G205" s="99"/>
      <c r="H205" s="99"/>
      <c r="I205" s="99"/>
      <c r="J205" s="99"/>
      <c r="K205" s="99"/>
      <c r="L205" s="99"/>
      <c r="M205" s="99"/>
      <c r="N205" s="99"/>
      <c r="O205" s="99"/>
      <c r="P205" s="99"/>
      <c r="Q205" s="99"/>
      <c r="R205" s="99"/>
      <c r="S205" s="99"/>
    </row>
    <row r="206" spans="1:19" x14ac:dyDescent="0.2">
      <c r="A206" s="444" t="s">
        <v>58</v>
      </c>
      <c r="B206" s="129">
        <v>0</v>
      </c>
      <c r="C206" s="129">
        <v>0</v>
      </c>
      <c r="D206" s="99"/>
      <c r="E206" s="99"/>
      <c r="F206" s="99"/>
      <c r="G206" s="99"/>
      <c r="H206" s="99"/>
      <c r="I206" s="99"/>
      <c r="J206" s="99"/>
      <c r="K206" s="99"/>
      <c r="L206" s="99"/>
      <c r="M206" s="99"/>
      <c r="N206" s="99"/>
      <c r="O206" s="99"/>
      <c r="P206" s="99"/>
      <c r="Q206" s="99"/>
      <c r="R206" s="99"/>
      <c r="S206" s="99"/>
    </row>
    <row r="207" spans="1:19" x14ac:dyDescent="0.2">
      <c r="A207" s="444" t="s">
        <v>401</v>
      </c>
      <c r="B207" s="129">
        <v>0</v>
      </c>
      <c r="C207" s="129">
        <v>0</v>
      </c>
      <c r="D207" s="99"/>
      <c r="E207" s="99"/>
      <c r="F207" s="99"/>
      <c r="G207" s="99"/>
      <c r="H207" s="99"/>
      <c r="I207" s="99"/>
      <c r="J207" s="99"/>
      <c r="K207" s="99"/>
      <c r="L207" s="99"/>
      <c r="M207" s="99"/>
      <c r="N207" s="99"/>
      <c r="O207" s="99"/>
      <c r="P207" s="99"/>
      <c r="Q207" s="99"/>
      <c r="R207" s="99"/>
      <c r="S207" s="99"/>
    </row>
    <row r="208" spans="1:19" x14ac:dyDescent="0.2">
      <c r="A208" s="99"/>
      <c r="B208" s="141"/>
      <c r="C208" s="141"/>
      <c r="D208" s="99"/>
      <c r="E208" s="99"/>
      <c r="F208" s="99"/>
      <c r="G208" s="99"/>
      <c r="H208" s="99"/>
      <c r="I208" s="99"/>
      <c r="J208" s="99"/>
      <c r="K208" s="99"/>
      <c r="L208" s="99"/>
      <c r="M208" s="99"/>
      <c r="N208" s="99"/>
      <c r="O208" s="99"/>
      <c r="P208" s="99"/>
      <c r="Q208" s="99"/>
      <c r="R208" s="99"/>
      <c r="S208" s="99"/>
    </row>
    <row r="209" spans="1:19" x14ac:dyDescent="0.2">
      <c r="A209" s="136" t="s">
        <v>180</v>
      </c>
      <c r="B209" s="141"/>
      <c r="C209" s="141"/>
      <c r="D209" s="99"/>
      <c r="E209" s="99"/>
      <c r="F209" s="99"/>
      <c r="G209" s="99"/>
      <c r="H209" s="99"/>
      <c r="I209" s="99"/>
      <c r="J209" s="99"/>
      <c r="K209" s="99"/>
      <c r="L209" s="99"/>
      <c r="M209" s="99"/>
      <c r="N209" s="99"/>
      <c r="O209" s="99"/>
      <c r="P209" s="99"/>
      <c r="Q209" s="99"/>
      <c r="R209" s="99"/>
      <c r="S209" s="99"/>
    </row>
    <row r="210" spans="1:19" x14ac:dyDescent="0.2">
      <c r="A210" s="135" t="s">
        <v>189</v>
      </c>
      <c r="B210" s="146" t="str">
        <f>B185</f>
        <v>MyCounty</v>
      </c>
      <c r="C210" s="142" t="str">
        <f>C185</f>
        <v>MyRegion</v>
      </c>
      <c r="D210" s="99"/>
      <c r="E210" s="99"/>
      <c r="F210" s="99"/>
      <c r="G210" s="99"/>
      <c r="H210" s="99"/>
      <c r="I210" s="99"/>
      <c r="J210" s="99"/>
      <c r="K210" s="99"/>
      <c r="L210" s="99"/>
      <c r="M210" s="99"/>
      <c r="N210" s="99"/>
      <c r="O210" s="99"/>
      <c r="P210" s="99"/>
      <c r="Q210" s="99"/>
      <c r="R210" s="99"/>
      <c r="S210" s="99"/>
    </row>
    <row r="211" spans="1:19" x14ac:dyDescent="0.2">
      <c r="A211" s="444" t="s">
        <v>388</v>
      </c>
      <c r="B211" s="129">
        <v>0</v>
      </c>
      <c r="C211" s="129">
        <v>0</v>
      </c>
      <c r="D211" s="99"/>
      <c r="E211" s="99"/>
      <c r="F211" s="99"/>
      <c r="G211" s="99"/>
      <c r="H211" s="99"/>
      <c r="I211" s="99"/>
      <c r="J211" s="99"/>
      <c r="K211" s="99"/>
      <c r="L211" s="99"/>
      <c r="M211" s="99"/>
      <c r="N211" s="99"/>
      <c r="O211" s="99"/>
      <c r="P211" s="99"/>
      <c r="Q211" s="99"/>
      <c r="R211" s="99"/>
      <c r="S211" s="99"/>
    </row>
    <row r="212" spans="1:19" x14ac:dyDescent="0.2">
      <c r="A212" s="444" t="s">
        <v>124</v>
      </c>
      <c r="B212" s="129">
        <v>0</v>
      </c>
      <c r="C212" s="129">
        <v>0</v>
      </c>
      <c r="D212" s="99"/>
      <c r="E212" s="99"/>
      <c r="F212" s="99"/>
      <c r="G212" s="99"/>
      <c r="H212" s="99"/>
      <c r="I212" s="99"/>
      <c r="J212" s="99"/>
      <c r="K212" s="99"/>
      <c r="L212" s="99"/>
      <c r="M212" s="99"/>
      <c r="N212" s="99"/>
      <c r="O212" s="99"/>
      <c r="P212" s="99"/>
      <c r="Q212" s="99"/>
      <c r="R212" s="99"/>
      <c r="S212" s="99"/>
    </row>
    <row r="213" spans="1:19" x14ac:dyDescent="0.2">
      <c r="A213" s="444" t="s">
        <v>56</v>
      </c>
      <c r="B213" s="129">
        <v>0</v>
      </c>
      <c r="C213" s="129">
        <v>0</v>
      </c>
      <c r="D213" s="99"/>
      <c r="E213" s="99"/>
      <c r="F213" s="99"/>
      <c r="G213" s="99"/>
      <c r="H213" s="99"/>
      <c r="I213" s="99"/>
      <c r="J213" s="99"/>
      <c r="K213" s="99"/>
      <c r="L213" s="99"/>
      <c r="M213" s="99"/>
      <c r="N213" s="99"/>
      <c r="O213" s="99"/>
      <c r="P213" s="99"/>
      <c r="Q213" s="99"/>
      <c r="R213" s="99"/>
      <c r="S213" s="99"/>
    </row>
    <row r="214" spans="1:19" x14ac:dyDescent="0.2">
      <c r="A214" s="444" t="s">
        <v>389</v>
      </c>
      <c r="B214" s="129">
        <v>0</v>
      </c>
      <c r="C214" s="129">
        <v>0</v>
      </c>
      <c r="D214" s="99"/>
      <c r="E214" s="99"/>
      <c r="F214" s="99"/>
      <c r="G214" s="99"/>
      <c r="H214" s="99"/>
      <c r="I214" s="99"/>
      <c r="J214" s="99"/>
      <c r="K214" s="99"/>
      <c r="L214" s="99"/>
      <c r="M214" s="99"/>
      <c r="N214" s="99"/>
      <c r="O214" s="99"/>
      <c r="P214" s="99"/>
      <c r="Q214" s="99"/>
      <c r="R214" s="99"/>
      <c r="S214" s="99"/>
    </row>
    <row r="215" spans="1:19" x14ac:dyDescent="0.2">
      <c r="A215" s="444" t="s">
        <v>390</v>
      </c>
      <c r="B215" s="129">
        <v>0</v>
      </c>
      <c r="C215" s="129">
        <v>0</v>
      </c>
      <c r="D215" s="99"/>
      <c r="E215" s="99"/>
      <c r="F215" s="99"/>
      <c r="G215" s="99"/>
      <c r="H215" s="99"/>
      <c r="I215" s="99"/>
      <c r="J215" s="99"/>
      <c r="K215" s="99"/>
      <c r="L215" s="99"/>
      <c r="M215" s="99"/>
      <c r="N215" s="99"/>
      <c r="O215" s="99"/>
      <c r="P215" s="99"/>
      <c r="Q215" s="99"/>
      <c r="R215" s="99"/>
      <c r="S215" s="99"/>
    </row>
    <row r="216" spans="1:19" x14ac:dyDescent="0.2">
      <c r="A216" s="444" t="s">
        <v>125</v>
      </c>
      <c r="B216" s="129">
        <v>0</v>
      </c>
      <c r="C216" s="129">
        <v>0</v>
      </c>
      <c r="D216" s="99"/>
      <c r="E216" s="99"/>
      <c r="F216" s="99"/>
      <c r="G216" s="99"/>
      <c r="H216" s="99"/>
      <c r="I216" s="99"/>
      <c r="J216" s="99"/>
      <c r="K216" s="99"/>
      <c r="L216" s="99"/>
      <c r="M216" s="99"/>
      <c r="N216" s="99"/>
      <c r="O216" s="99"/>
      <c r="P216" s="99"/>
      <c r="Q216" s="99"/>
      <c r="R216" s="99"/>
      <c r="S216" s="99"/>
    </row>
    <row r="217" spans="1:19" x14ac:dyDescent="0.2">
      <c r="A217" s="444" t="s">
        <v>126</v>
      </c>
      <c r="B217" s="129">
        <v>0</v>
      </c>
      <c r="C217" s="129">
        <v>0</v>
      </c>
      <c r="D217" s="99"/>
      <c r="E217" s="99"/>
      <c r="F217" s="99"/>
      <c r="G217" s="99"/>
      <c r="H217" s="99"/>
      <c r="I217" s="99"/>
      <c r="J217" s="99"/>
      <c r="K217" s="99"/>
      <c r="L217" s="99"/>
      <c r="M217" s="99"/>
      <c r="N217" s="99"/>
      <c r="O217" s="99"/>
      <c r="P217" s="99"/>
      <c r="Q217" s="99"/>
      <c r="R217" s="99"/>
      <c r="S217" s="99"/>
    </row>
    <row r="218" spans="1:19" x14ac:dyDescent="0.2">
      <c r="A218" s="444" t="s">
        <v>127</v>
      </c>
      <c r="B218" s="129">
        <v>0</v>
      </c>
      <c r="C218" s="129">
        <v>0</v>
      </c>
      <c r="D218" s="99"/>
      <c r="E218" s="99"/>
      <c r="F218" s="99"/>
      <c r="G218" s="99"/>
      <c r="H218" s="99"/>
      <c r="I218" s="99"/>
      <c r="J218" s="99"/>
      <c r="K218" s="99"/>
      <c r="L218" s="99"/>
      <c r="M218" s="99"/>
      <c r="N218" s="99"/>
      <c r="O218" s="99"/>
      <c r="P218" s="99"/>
      <c r="Q218" s="99"/>
      <c r="R218" s="99"/>
      <c r="S218" s="99"/>
    </row>
    <row r="219" spans="1:19" x14ac:dyDescent="0.2">
      <c r="A219" s="444" t="s">
        <v>391</v>
      </c>
      <c r="B219" s="129">
        <v>0</v>
      </c>
      <c r="C219" s="129">
        <v>0</v>
      </c>
      <c r="D219" s="99"/>
      <c r="E219" s="99"/>
      <c r="F219" s="99"/>
      <c r="G219" s="99"/>
      <c r="H219" s="99"/>
      <c r="I219" s="99"/>
      <c r="J219" s="99"/>
      <c r="K219" s="99"/>
      <c r="L219" s="99"/>
      <c r="M219" s="99"/>
      <c r="N219" s="99"/>
      <c r="O219" s="99"/>
      <c r="P219" s="99"/>
      <c r="Q219" s="99"/>
      <c r="R219" s="99"/>
      <c r="S219" s="99"/>
    </row>
    <row r="220" spans="1:19" x14ac:dyDescent="0.2">
      <c r="A220" s="444" t="s">
        <v>392</v>
      </c>
      <c r="B220" s="129">
        <v>0</v>
      </c>
      <c r="C220" s="129">
        <v>0</v>
      </c>
      <c r="D220" s="99"/>
      <c r="E220" s="99"/>
      <c r="F220" s="99"/>
      <c r="G220" s="99"/>
      <c r="H220" s="99"/>
      <c r="I220" s="99"/>
      <c r="J220" s="99"/>
      <c r="K220" s="99"/>
      <c r="L220" s="99"/>
      <c r="M220" s="99"/>
      <c r="N220" s="99"/>
      <c r="O220" s="99"/>
      <c r="P220" s="99"/>
      <c r="Q220" s="99"/>
      <c r="R220" s="99"/>
      <c r="S220" s="99"/>
    </row>
    <row r="221" spans="1:19" x14ac:dyDescent="0.2">
      <c r="A221" s="444" t="s">
        <v>393</v>
      </c>
      <c r="B221" s="129">
        <v>0</v>
      </c>
      <c r="C221" s="129">
        <v>0</v>
      </c>
      <c r="D221" s="99"/>
      <c r="E221" s="99"/>
      <c r="F221" s="99"/>
      <c r="G221" s="99"/>
      <c r="H221" s="99"/>
      <c r="I221" s="99"/>
      <c r="J221" s="99"/>
      <c r="K221" s="99"/>
      <c r="L221" s="99"/>
      <c r="M221" s="99"/>
      <c r="N221" s="99"/>
      <c r="O221" s="99"/>
      <c r="P221" s="99"/>
      <c r="Q221" s="99"/>
      <c r="R221" s="99"/>
      <c r="S221" s="99"/>
    </row>
    <row r="222" spans="1:19" x14ac:dyDescent="0.2">
      <c r="A222" s="444" t="s">
        <v>57</v>
      </c>
      <c r="B222" s="129">
        <v>0</v>
      </c>
      <c r="C222" s="129">
        <v>0</v>
      </c>
      <c r="D222" s="99"/>
      <c r="E222" s="99"/>
      <c r="F222" s="99"/>
      <c r="G222" s="99"/>
      <c r="H222" s="99"/>
      <c r="I222" s="99"/>
      <c r="J222" s="99"/>
      <c r="K222" s="99"/>
      <c r="L222" s="99"/>
      <c r="M222" s="99"/>
      <c r="N222" s="99"/>
      <c r="O222" s="99"/>
      <c r="P222" s="99"/>
      <c r="Q222" s="99"/>
      <c r="R222" s="99"/>
      <c r="S222" s="99"/>
    </row>
    <row r="223" spans="1:19" x14ac:dyDescent="0.2">
      <c r="A223" s="444" t="s">
        <v>394</v>
      </c>
      <c r="B223" s="129">
        <v>0</v>
      </c>
      <c r="C223" s="129">
        <v>0</v>
      </c>
      <c r="D223" s="99"/>
      <c r="E223" s="99"/>
      <c r="F223" s="99"/>
      <c r="G223" s="99"/>
      <c r="H223" s="99"/>
      <c r="I223" s="99"/>
      <c r="J223" s="99"/>
      <c r="K223" s="99"/>
      <c r="L223" s="99"/>
      <c r="M223" s="99"/>
      <c r="N223" s="99"/>
      <c r="O223" s="99"/>
      <c r="P223" s="99"/>
      <c r="Q223" s="99"/>
      <c r="R223" s="99"/>
      <c r="S223" s="99"/>
    </row>
    <row r="224" spans="1:19" x14ac:dyDescent="0.2">
      <c r="A224" s="444" t="s">
        <v>128</v>
      </c>
      <c r="B224" s="129">
        <v>0</v>
      </c>
      <c r="C224" s="129">
        <v>0</v>
      </c>
      <c r="D224" s="99"/>
      <c r="E224" s="99"/>
      <c r="F224" s="99"/>
      <c r="G224" s="99"/>
      <c r="H224" s="99"/>
      <c r="I224" s="99"/>
      <c r="J224" s="99"/>
      <c r="K224" s="99"/>
      <c r="L224" s="99"/>
      <c r="M224" s="99"/>
      <c r="N224" s="99"/>
      <c r="O224" s="99"/>
      <c r="P224" s="99"/>
      <c r="Q224" s="99"/>
      <c r="R224" s="99"/>
      <c r="S224" s="99"/>
    </row>
    <row r="225" spans="1:19" x14ac:dyDescent="0.2">
      <c r="A225" s="444" t="s">
        <v>395</v>
      </c>
      <c r="B225" s="129">
        <v>0</v>
      </c>
      <c r="C225" s="129">
        <v>0</v>
      </c>
      <c r="D225" s="99"/>
      <c r="E225" s="99"/>
      <c r="F225" s="99"/>
      <c r="G225" s="99"/>
      <c r="H225" s="99"/>
      <c r="I225" s="99"/>
      <c r="J225" s="99"/>
      <c r="K225" s="99"/>
      <c r="L225" s="99"/>
      <c r="M225" s="99"/>
      <c r="N225" s="99"/>
      <c r="O225" s="99"/>
      <c r="P225" s="99"/>
      <c r="Q225" s="99"/>
      <c r="R225" s="99"/>
      <c r="S225" s="99"/>
    </row>
    <row r="226" spans="1:19" x14ac:dyDescent="0.2">
      <c r="A226" s="444" t="s">
        <v>396</v>
      </c>
      <c r="B226" s="129">
        <v>0</v>
      </c>
      <c r="C226" s="129">
        <v>0</v>
      </c>
      <c r="D226" s="99"/>
      <c r="E226" s="99"/>
      <c r="F226" s="99"/>
      <c r="G226" s="99"/>
      <c r="H226" s="99"/>
      <c r="I226" s="99"/>
      <c r="J226" s="99"/>
      <c r="K226" s="99"/>
      <c r="L226" s="99"/>
      <c r="M226" s="99"/>
      <c r="N226" s="99"/>
      <c r="O226" s="99"/>
      <c r="P226" s="99"/>
      <c r="Q226" s="99"/>
      <c r="R226" s="99"/>
      <c r="S226" s="99"/>
    </row>
    <row r="227" spans="1:19" x14ac:dyDescent="0.2">
      <c r="A227" s="444" t="s">
        <v>397</v>
      </c>
      <c r="B227" s="129">
        <v>0</v>
      </c>
      <c r="C227" s="129">
        <v>0</v>
      </c>
      <c r="D227" s="99"/>
      <c r="E227" s="99"/>
      <c r="F227" s="99"/>
      <c r="G227" s="99"/>
      <c r="H227" s="99"/>
      <c r="I227" s="99"/>
      <c r="J227" s="99"/>
      <c r="K227" s="99"/>
      <c r="L227" s="99"/>
      <c r="M227" s="99"/>
      <c r="N227" s="99"/>
      <c r="O227" s="99"/>
      <c r="P227" s="99"/>
      <c r="Q227" s="99"/>
      <c r="R227" s="99"/>
      <c r="S227" s="99"/>
    </row>
    <row r="228" spans="1:19" x14ac:dyDescent="0.2">
      <c r="A228" s="444" t="s">
        <v>398</v>
      </c>
      <c r="B228" s="129">
        <v>0</v>
      </c>
      <c r="C228" s="129">
        <v>0</v>
      </c>
      <c r="D228" s="99"/>
      <c r="E228" s="99"/>
      <c r="F228" s="99"/>
      <c r="G228" s="99"/>
      <c r="H228" s="99"/>
      <c r="I228" s="99"/>
      <c r="J228" s="99"/>
      <c r="K228" s="99"/>
      <c r="L228" s="99"/>
      <c r="M228" s="99"/>
      <c r="N228" s="99"/>
      <c r="O228" s="99"/>
      <c r="P228" s="99"/>
      <c r="Q228" s="99"/>
      <c r="R228" s="99"/>
      <c r="S228" s="99"/>
    </row>
    <row r="229" spans="1:19" x14ac:dyDescent="0.2">
      <c r="A229" s="444" t="s">
        <v>399</v>
      </c>
      <c r="B229" s="129">
        <v>0</v>
      </c>
      <c r="C229" s="129">
        <v>0</v>
      </c>
      <c r="D229" s="99"/>
      <c r="E229" s="99"/>
      <c r="F229" s="99"/>
      <c r="G229" s="99"/>
      <c r="H229" s="99"/>
      <c r="I229" s="99"/>
      <c r="J229" s="99"/>
      <c r="K229" s="99"/>
      <c r="L229" s="99"/>
      <c r="M229" s="99"/>
      <c r="N229" s="99"/>
      <c r="O229" s="99"/>
      <c r="P229" s="99"/>
      <c r="Q229" s="99"/>
      <c r="R229" s="99"/>
      <c r="S229" s="99"/>
    </row>
    <row r="230" spans="1:19" x14ac:dyDescent="0.2">
      <c r="A230" s="444" t="s">
        <v>400</v>
      </c>
      <c r="B230" s="129">
        <v>0</v>
      </c>
      <c r="C230" s="129">
        <v>0</v>
      </c>
      <c r="D230" s="99"/>
      <c r="E230" s="99"/>
      <c r="F230" s="99"/>
      <c r="G230" s="99"/>
      <c r="H230" s="99"/>
      <c r="I230" s="99"/>
      <c r="J230" s="99"/>
      <c r="K230" s="99"/>
      <c r="L230" s="99"/>
      <c r="M230" s="99"/>
      <c r="N230" s="99"/>
      <c r="O230" s="99"/>
      <c r="P230" s="99"/>
      <c r="Q230" s="99"/>
      <c r="R230" s="99"/>
      <c r="S230" s="99"/>
    </row>
    <row r="231" spans="1:19" x14ac:dyDescent="0.2">
      <c r="A231" s="444" t="s">
        <v>58</v>
      </c>
      <c r="B231" s="129">
        <v>0</v>
      </c>
      <c r="C231" s="129">
        <v>0</v>
      </c>
      <c r="D231" s="99"/>
      <c r="E231" s="99"/>
      <c r="F231" s="99"/>
      <c r="G231" s="99"/>
      <c r="H231" s="99"/>
      <c r="I231" s="99"/>
      <c r="J231" s="99"/>
      <c r="K231" s="99"/>
      <c r="L231" s="99"/>
      <c r="M231" s="99"/>
      <c r="N231" s="99"/>
      <c r="O231" s="99"/>
      <c r="P231" s="99"/>
      <c r="Q231" s="99"/>
      <c r="R231" s="99"/>
      <c r="S231" s="99"/>
    </row>
    <row r="232" spans="1:19" x14ac:dyDescent="0.2">
      <c r="A232" s="444" t="s">
        <v>401</v>
      </c>
      <c r="B232" s="129">
        <v>0</v>
      </c>
      <c r="C232" s="129">
        <v>0</v>
      </c>
      <c r="D232" s="99"/>
      <c r="E232" s="99"/>
      <c r="F232" s="99"/>
      <c r="G232" s="99"/>
      <c r="H232" s="99"/>
      <c r="I232" s="99"/>
      <c r="J232" s="99"/>
      <c r="K232" s="99"/>
      <c r="L232" s="99"/>
      <c r="M232" s="99"/>
      <c r="N232" s="99"/>
      <c r="O232" s="99"/>
      <c r="P232" s="99"/>
      <c r="Q232" s="99"/>
      <c r="R232" s="99"/>
      <c r="S232" s="99"/>
    </row>
    <row r="233" spans="1:19" x14ac:dyDescent="0.2">
      <c r="A233" s="99"/>
      <c r="B233" s="99"/>
      <c r="C233" s="99"/>
      <c r="D233" s="99"/>
      <c r="E233" s="99"/>
      <c r="F233" s="99"/>
      <c r="G233" s="99"/>
      <c r="H233" s="99"/>
      <c r="I233" s="99"/>
      <c r="J233" s="99"/>
      <c r="K233" s="99"/>
      <c r="L233" s="99"/>
      <c r="M233" s="99"/>
      <c r="N233" s="99"/>
      <c r="O233" s="99"/>
      <c r="P233" s="99"/>
      <c r="Q233" s="99"/>
      <c r="R233" s="99"/>
      <c r="S233" s="99"/>
    </row>
    <row r="234" spans="1:19" x14ac:dyDescent="0.2">
      <c r="A234" s="99"/>
      <c r="B234" s="99"/>
      <c r="C234" s="99"/>
      <c r="D234" s="99"/>
      <c r="E234" s="99"/>
      <c r="F234" s="99"/>
      <c r="G234" s="99"/>
      <c r="H234" s="99"/>
      <c r="I234" s="99"/>
      <c r="J234" s="99"/>
      <c r="K234" s="99"/>
      <c r="L234" s="99"/>
      <c r="M234" s="99"/>
      <c r="N234" s="99"/>
      <c r="O234" s="99"/>
      <c r="P234" s="99"/>
      <c r="Q234" s="99"/>
      <c r="R234" s="99"/>
      <c r="S234" s="99"/>
    </row>
    <row r="235" spans="1:19" x14ac:dyDescent="0.2">
      <c r="A235" s="99"/>
      <c r="B235" s="99"/>
      <c r="C235" s="99"/>
      <c r="D235" s="99"/>
      <c r="E235" s="99"/>
      <c r="F235" s="99"/>
      <c r="G235" s="99"/>
      <c r="H235" s="99"/>
      <c r="I235" s="99"/>
      <c r="J235" s="99"/>
      <c r="K235" s="99"/>
      <c r="L235" s="99"/>
      <c r="M235" s="99"/>
      <c r="N235" s="99"/>
      <c r="O235" s="99"/>
      <c r="P235" s="99"/>
      <c r="Q235" s="99"/>
      <c r="R235" s="99"/>
      <c r="S235" s="99"/>
    </row>
    <row r="236" spans="1:19" x14ac:dyDescent="0.2">
      <c r="A236" s="99"/>
      <c r="B236" s="99"/>
      <c r="C236" s="99"/>
      <c r="D236" s="99"/>
      <c r="E236" s="99"/>
      <c r="F236" s="99"/>
      <c r="G236" s="99"/>
      <c r="H236" s="99"/>
      <c r="I236" s="99"/>
      <c r="J236" s="99"/>
      <c r="K236" s="99"/>
      <c r="L236" s="99"/>
      <c r="M236" s="99"/>
      <c r="N236" s="99"/>
      <c r="O236" s="99"/>
      <c r="P236" s="99"/>
      <c r="Q236" s="99"/>
      <c r="R236" s="99"/>
      <c r="S236" s="99"/>
    </row>
    <row r="237" spans="1:19" x14ac:dyDescent="0.2">
      <c r="A237" s="99"/>
      <c r="B237" s="99"/>
      <c r="C237" s="99"/>
      <c r="D237" s="99"/>
      <c r="E237" s="99"/>
      <c r="F237" s="99"/>
      <c r="G237" s="99"/>
      <c r="H237" s="99"/>
      <c r="I237" s="99"/>
      <c r="J237" s="99"/>
      <c r="K237" s="99"/>
      <c r="L237" s="99"/>
      <c r="M237" s="99"/>
      <c r="N237" s="99"/>
      <c r="O237" s="99"/>
      <c r="P237" s="99"/>
      <c r="Q237" s="99"/>
      <c r="R237" s="99"/>
      <c r="S237" s="99"/>
    </row>
    <row r="238" spans="1:19" x14ac:dyDescent="0.2">
      <c r="A238" s="99"/>
      <c r="B238" s="99"/>
      <c r="C238" s="99"/>
      <c r="D238" s="99"/>
      <c r="E238" s="99"/>
      <c r="F238" s="99"/>
      <c r="G238" s="99"/>
      <c r="H238" s="99"/>
      <c r="I238" s="99"/>
      <c r="J238" s="99"/>
      <c r="K238" s="99"/>
      <c r="L238" s="99"/>
      <c r="M238" s="99"/>
      <c r="N238" s="99"/>
      <c r="O238" s="99"/>
      <c r="P238" s="99"/>
      <c r="Q238" s="99"/>
      <c r="R238" s="99"/>
      <c r="S238" s="99"/>
    </row>
    <row r="239" spans="1:19" x14ac:dyDescent="0.2">
      <c r="A239" s="99"/>
      <c r="B239" s="99"/>
      <c r="C239" s="99"/>
      <c r="D239" s="99"/>
      <c r="E239" s="99"/>
      <c r="F239" s="99"/>
      <c r="G239" s="99"/>
      <c r="H239" s="99"/>
      <c r="I239" s="99"/>
      <c r="J239" s="99"/>
      <c r="K239" s="99"/>
      <c r="L239" s="99"/>
      <c r="M239" s="99"/>
      <c r="N239" s="99"/>
      <c r="O239" s="99"/>
      <c r="P239" s="99"/>
      <c r="Q239" s="99"/>
      <c r="R239" s="99"/>
      <c r="S239" s="99"/>
    </row>
    <row r="240" spans="1:19" x14ac:dyDescent="0.2">
      <c r="A240" s="99"/>
      <c r="B240" s="99"/>
      <c r="C240" s="99"/>
      <c r="D240" s="99"/>
      <c r="E240" s="99"/>
      <c r="F240" s="99"/>
      <c r="G240" s="99"/>
      <c r="H240" s="99"/>
      <c r="I240" s="99"/>
      <c r="J240" s="99"/>
      <c r="K240" s="99"/>
      <c r="L240" s="99"/>
      <c r="M240" s="99"/>
      <c r="N240" s="99"/>
      <c r="O240" s="99"/>
      <c r="P240" s="99"/>
      <c r="Q240" s="99"/>
      <c r="R240" s="99"/>
      <c r="S240" s="99"/>
    </row>
    <row r="241" spans="1:19" x14ac:dyDescent="0.2">
      <c r="A241" s="99"/>
      <c r="B241" s="99"/>
      <c r="C241" s="99"/>
      <c r="D241" s="99"/>
      <c r="E241" s="99"/>
      <c r="F241" s="99"/>
      <c r="G241" s="99"/>
      <c r="H241" s="99"/>
      <c r="I241" s="99"/>
      <c r="J241" s="99"/>
      <c r="K241" s="99"/>
      <c r="L241" s="99"/>
      <c r="M241" s="99"/>
      <c r="N241" s="99"/>
      <c r="O241" s="99"/>
      <c r="P241" s="99"/>
      <c r="Q241" s="99"/>
      <c r="R241" s="99"/>
      <c r="S241" s="99"/>
    </row>
    <row r="242" spans="1:19" x14ac:dyDescent="0.2">
      <c r="A242" s="99"/>
      <c r="B242" s="99"/>
      <c r="C242" s="99"/>
      <c r="D242" s="99"/>
      <c r="E242" s="99"/>
      <c r="F242" s="99"/>
      <c r="G242" s="99"/>
      <c r="H242" s="99"/>
      <c r="I242" s="99"/>
      <c r="J242" s="99"/>
      <c r="K242" s="99"/>
      <c r="L242" s="99"/>
      <c r="M242" s="99"/>
      <c r="N242" s="99"/>
      <c r="O242" s="99"/>
      <c r="P242" s="99"/>
      <c r="Q242" s="99"/>
      <c r="R242" s="99"/>
      <c r="S242" s="99"/>
    </row>
    <row r="243" spans="1:19" x14ac:dyDescent="0.2">
      <c r="A243" s="99"/>
      <c r="B243" s="99"/>
      <c r="C243" s="99"/>
      <c r="D243" s="99"/>
      <c r="E243" s="99"/>
      <c r="F243" s="99"/>
      <c r="G243" s="99"/>
      <c r="H243" s="99"/>
      <c r="I243" s="99"/>
      <c r="J243" s="99"/>
      <c r="K243" s="99"/>
      <c r="L243" s="99"/>
      <c r="M243" s="99"/>
      <c r="N243" s="99"/>
      <c r="O243" s="99"/>
      <c r="P243" s="99"/>
      <c r="Q243" s="99"/>
      <c r="R243" s="99"/>
      <c r="S243" s="99"/>
    </row>
    <row r="244" spans="1:19" x14ac:dyDescent="0.2">
      <c r="A244" s="99"/>
      <c r="B244" s="99"/>
      <c r="C244" s="99"/>
      <c r="D244" s="99"/>
      <c r="E244" s="99"/>
      <c r="F244" s="99"/>
      <c r="G244" s="99"/>
      <c r="H244" s="99"/>
      <c r="I244" s="99"/>
      <c r="J244" s="99"/>
      <c r="K244" s="99"/>
      <c r="L244" s="99"/>
      <c r="M244" s="99"/>
      <c r="N244" s="99"/>
      <c r="O244" s="99"/>
      <c r="P244" s="99"/>
      <c r="Q244" s="99"/>
      <c r="R244" s="99"/>
      <c r="S244" s="99"/>
    </row>
    <row r="245" spans="1:19" x14ac:dyDescent="0.2">
      <c r="A245" s="99"/>
      <c r="B245" s="99"/>
      <c r="C245" s="99"/>
      <c r="D245" s="99"/>
      <c r="E245" s="99"/>
      <c r="F245" s="99"/>
      <c r="G245" s="99"/>
      <c r="H245" s="99"/>
      <c r="I245" s="99"/>
      <c r="J245" s="99"/>
      <c r="K245" s="99"/>
      <c r="L245" s="99"/>
      <c r="M245" s="99"/>
      <c r="N245" s="99"/>
      <c r="O245" s="99"/>
      <c r="P245" s="99"/>
      <c r="Q245" s="99"/>
      <c r="R245" s="99"/>
      <c r="S245" s="99"/>
    </row>
    <row r="246" spans="1:19" x14ac:dyDescent="0.2">
      <c r="A246" s="99"/>
      <c r="B246" s="99"/>
      <c r="C246" s="99"/>
      <c r="D246" s="99"/>
      <c r="E246" s="99"/>
      <c r="F246" s="99"/>
      <c r="G246" s="99"/>
      <c r="H246" s="99"/>
      <c r="I246" s="99"/>
      <c r="J246" s="99"/>
      <c r="K246" s="99"/>
      <c r="L246" s="99"/>
      <c r="M246" s="99"/>
      <c r="N246" s="99"/>
      <c r="O246" s="99"/>
      <c r="P246" s="99"/>
      <c r="Q246" s="99"/>
      <c r="R246" s="99"/>
      <c r="S246" s="99"/>
    </row>
    <row r="247" spans="1:19" x14ac:dyDescent="0.2">
      <c r="A247" s="99"/>
      <c r="B247" s="99"/>
      <c r="C247" s="99"/>
      <c r="D247" s="99"/>
      <c r="E247" s="99"/>
      <c r="F247" s="99"/>
      <c r="G247" s="99"/>
      <c r="H247" s="99"/>
      <c r="I247" s="99"/>
      <c r="J247" s="99"/>
      <c r="K247" s="99"/>
      <c r="L247" s="99"/>
      <c r="M247" s="99"/>
      <c r="N247" s="99"/>
      <c r="O247" s="99"/>
      <c r="P247" s="99"/>
      <c r="Q247" s="99"/>
      <c r="R247" s="99"/>
      <c r="S247" s="99"/>
    </row>
    <row r="248" spans="1:19" x14ac:dyDescent="0.2">
      <c r="A248" s="99"/>
      <c r="B248" s="99"/>
      <c r="C248" s="99"/>
      <c r="D248" s="99"/>
      <c r="E248" s="99"/>
      <c r="F248" s="99"/>
      <c r="G248" s="99"/>
      <c r="H248" s="99"/>
      <c r="I248" s="99"/>
      <c r="J248" s="99"/>
      <c r="K248" s="99"/>
      <c r="L248" s="99"/>
      <c r="M248" s="99"/>
      <c r="N248" s="99"/>
      <c r="O248" s="99"/>
      <c r="P248" s="99"/>
      <c r="Q248" s="99"/>
      <c r="R248" s="99"/>
      <c r="S248" s="99"/>
    </row>
    <row r="249" spans="1:19" x14ac:dyDescent="0.2">
      <c r="A249" s="99"/>
      <c r="B249" s="99"/>
      <c r="C249" s="99"/>
      <c r="D249" s="99"/>
      <c r="E249" s="99"/>
      <c r="F249" s="99"/>
      <c r="G249" s="99"/>
      <c r="H249" s="99"/>
      <c r="I249" s="99"/>
      <c r="J249" s="99"/>
      <c r="K249" s="99"/>
      <c r="L249" s="99"/>
      <c r="M249" s="99"/>
      <c r="N249" s="99"/>
      <c r="O249" s="99"/>
      <c r="P249" s="99"/>
      <c r="Q249" s="99"/>
      <c r="R249" s="99"/>
      <c r="S249" s="99"/>
    </row>
    <row r="250" spans="1:19" x14ac:dyDescent="0.2">
      <c r="A250" s="99"/>
      <c r="B250" s="99"/>
      <c r="C250" s="99"/>
      <c r="D250" s="99"/>
      <c r="E250" s="99"/>
      <c r="F250" s="99"/>
      <c r="G250" s="99"/>
      <c r="H250" s="99"/>
      <c r="I250" s="99"/>
      <c r="J250" s="99"/>
      <c r="K250" s="99"/>
      <c r="L250" s="99"/>
      <c r="M250" s="99"/>
      <c r="N250" s="99"/>
      <c r="O250" s="99"/>
      <c r="P250" s="99"/>
      <c r="Q250" s="99"/>
      <c r="R250" s="99"/>
      <c r="S250" s="99"/>
    </row>
    <row r="251" spans="1:19" x14ac:dyDescent="0.2">
      <c r="A251" s="99"/>
      <c r="B251" s="99"/>
      <c r="C251" s="99"/>
      <c r="D251" s="99"/>
      <c r="E251" s="99"/>
      <c r="F251" s="99"/>
      <c r="G251" s="99"/>
      <c r="H251" s="99"/>
      <c r="I251" s="99"/>
      <c r="J251" s="99"/>
      <c r="K251" s="99"/>
      <c r="L251" s="99"/>
      <c r="M251" s="99"/>
      <c r="N251" s="99"/>
      <c r="O251" s="99"/>
      <c r="P251" s="99"/>
      <c r="Q251" s="99"/>
      <c r="R251" s="99"/>
      <c r="S251" s="99"/>
    </row>
    <row r="252" spans="1:19" x14ac:dyDescent="0.2">
      <c r="A252" s="99"/>
      <c r="B252" s="99"/>
      <c r="C252" s="99"/>
      <c r="D252" s="99"/>
      <c r="E252" s="99"/>
      <c r="F252" s="99"/>
      <c r="G252" s="99"/>
      <c r="H252" s="99"/>
      <c r="I252" s="99"/>
      <c r="J252" s="99"/>
      <c r="K252" s="99"/>
      <c r="L252" s="99"/>
      <c r="M252" s="99"/>
      <c r="N252" s="99"/>
      <c r="O252" s="99"/>
      <c r="P252" s="99"/>
      <c r="Q252" s="99"/>
      <c r="R252" s="99"/>
      <c r="S252" s="99"/>
    </row>
    <row r="253" spans="1:19" x14ac:dyDescent="0.2">
      <c r="A253" s="99"/>
      <c r="B253" s="99"/>
      <c r="C253" s="99"/>
      <c r="D253" s="99"/>
      <c r="E253" s="99"/>
      <c r="F253" s="99"/>
      <c r="G253" s="99"/>
      <c r="H253" s="99"/>
      <c r="I253" s="99"/>
      <c r="J253" s="99"/>
      <c r="K253" s="99"/>
      <c r="L253" s="99"/>
      <c r="M253" s="99"/>
      <c r="N253" s="99"/>
      <c r="O253" s="99"/>
      <c r="P253" s="99"/>
      <c r="Q253" s="99"/>
      <c r="R253" s="99"/>
      <c r="S253" s="99"/>
    </row>
    <row r="254" spans="1:19" x14ac:dyDescent="0.2">
      <c r="A254" s="99"/>
      <c r="B254" s="99"/>
      <c r="C254" s="99"/>
      <c r="D254" s="99"/>
      <c r="E254" s="99"/>
      <c r="F254" s="99"/>
      <c r="G254" s="99"/>
      <c r="H254" s="99"/>
      <c r="I254" s="99"/>
      <c r="J254" s="99"/>
      <c r="K254" s="99"/>
      <c r="L254" s="99"/>
      <c r="M254" s="99"/>
      <c r="N254" s="99"/>
      <c r="O254" s="99"/>
      <c r="P254" s="99"/>
      <c r="Q254" s="99"/>
      <c r="R254" s="99"/>
      <c r="S254" s="99"/>
    </row>
    <row r="255" spans="1:19" x14ac:dyDescent="0.2">
      <c r="A255" s="99"/>
      <c r="B255" s="99"/>
      <c r="C255" s="99"/>
      <c r="D255" s="99"/>
      <c r="E255" s="99"/>
      <c r="F255" s="99"/>
      <c r="G255" s="99"/>
      <c r="H255" s="99"/>
      <c r="I255" s="99"/>
      <c r="J255" s="99"/>
      <c r="K255" s="99"/>
      <c r="L255" s="99"/>
      <c r="M255" s="99"/>
      <c r="N255" s="99"/>
      <c r="O255" s="99"/>
      <c r="P255" s="99"/>
      <c r="Q255" s="99"/>
      <c r="R255" s="99"/>
      <c r="S255" s="99"/>
    </row>
    <row r="256" spans="1:19" x14ac:dyDescent="0.2">
      <c r="A256" s="99"/>
      <c r="B256" s="99"/>
      <c r="C256" s="99"/>
      <c r="D256" s="99"/>
      <c r="E256" s="99"/>
      <c r="F256" s="99"/>
      <c r="G256" s="99"/>
      <c r="H256" s="99"/>
      <c r="I256" s="99"/>
      <c r="J256" s="99"/>
      <c r="K256" s="99"/>
      <c r="L256" s="99"/>
      <c r="M256" s="99"/>
      <c r="N256" s="99"/>
      <c r="O256" s="99"/>
      <c r="P256" s="99"/>
      <c r="Q256" s="99"/>
      <c r="R256" s="99"/>
      <c r="S256" s="99"/>
    </row>
    <row r="257" spans="1:19" x14ac:dyDescent="0.2">
      <c r="A257" s="99"/>
      <c r="B257" s="99"/>
      <c r="C257" s="99"/>
      <c r="D257" s="99"/>
      <c r="E257" s="99"/>
      <c r="F257" s="99"/>
      <c r="G257" s="99"/>
      <c r="H257" s="99"/>
      <c r="I257" s="99"/>
      <c r="J257" s="99"/>
      <c r="K257" s="99"/>
      <c r="L257" s="99"/>
      <c r="M257" s="99"/>
      <c r="N257" s="99"/>
      <c r="O257" s="99"/>
      <c r="P257" s="99"/>
      <c r="Q257" s="99"/>
      <c r="R257" s="99"/>
      <c r="S257" s="99"/>
    </row>
    <row r="258" spans="1:19" x14ac:dyDescent="0.2">
      <c r="A258" s="99"/>
      <c r="B258" s="99"/>
      <c r="C258" s="99"/>
      <c r="D258" s="99"/>
      <c r="E258" s="99"/>
      <c r="F258" s="99"/>
      <c r="G258" s="99"/>
      <c r="H258" s="99"/>
      <c r="I258" s="99"/>
      <c r="J258" s="99"/>
      <c r="K258" s="99"/>
      <c r="L258" s="99"/>
      <c r="M258" s="99"/>
      <c r="N258" s="99"/>
      <c r="O258" s="99"/>
      <c r="P258" s="99"/>
      <c r="Q258" s="99"/>
      <c r="R258" s="99"/>
      <c r="S258" s="99"/>
    </row>
    <row r="259" spans="1:19" x14ac:dyDescent="0.2">
      <c r="A259" s="99"/>
      <c r="B259" s="99"/>
      <c r="C259" s="99"/>
      <c r="D259" s="99"/>
      <c r="E259" s="99"/>
      <c r="F259" s="99"/>
      <c r="G259" s="99"/>
      <c r="H259" s="99"/>
      <c r="I259" s="99"/>
      <c r="J259" s="99"/>
      <c r="K259" s="99"/>
      <c r="L259" s="99"/>
      <c r="M259" s="99"/>
      <c r="N259" s="99"/>
      <c r="O259" s="99"/>
      <c r="P259" s="99"/>
      <c r="Q259" s="99"/>
      <c r="R259" s="99"/>
      <c r="S259" s="99"/>
    </row>
    <row r="260" spans="1:19" x14ac:dyDescent="0.2">
      <c r="A260" s="99"/>
      <c r="B260" s="99"/>
      <c r="C260" s="99"/>
      <c r="D260" s="99"/>
      <c r="E260" s="99"/>
      <c r="F260" s="99"/>
      <c r="G260" s="99"/>
      <c r="H260" s="99"/>
      <c r="I260" s="99"/>
      <c r="J260" s="99"/>
      <c r="K260" s="99"/>
      <c r="L260" s="99"/>
      <c r="M260" s="99"/>
      <c r="N260" s="99"/>
      <c r="O260" s="99"/>
      <c r="P260" s="99"/>
      <c r="Q260" s="99"/>
      <c r="R260" s="99"/>
      <c r="S260" s="99"/>
    </row>
    <row r="261" spans="1:19" x14ac:dyDescent="0.2">
      <c r="A261" s="99"/>
      <c r="B261" s="99"/>
      <c r="C261" s="99"/>
      <c r="D261" s="99"/>
      <c r="E261" s="99"/>
      <c r="F261" s="99"/>
      <c r="G261" s="99"/>
      <c r="H261" s="99"/>
      <c r="I261" s="99"/>
      <c r="J261" s="99"/>
      <c r="K261" s="99"/>
      <c r="L261" s="99"/>
      <c r="M261" s="99"/>
      <c r="N261" s="99"/>
      <c r="O261" s="99"/>
      <c r="P261" s="99"/>
      <c r="Q261" s="99"/>
      <c r="R261" s="99"/>
      <c r="S261" s="99"/>
    </row>
    <row r="262" spans="1:19" x14ac:dyDescent="0.2">
      <c r="A262" s="99"/>
      <c r="B262" s="99"/>
      <c r="C262" s="99"/>
      <c r="D262" s="99"/>
      <c r="E262" s="99"/>
      <c r="F262" s="99"/>
      <c r="G262" s="99"/>
      <c r="H262" s="99"/>
      <c r="I262" s="99"/>
      <c r="J262" s="99"/>
      <c r="K262" s="99"/>
      <c r="L262" s="99"/>
      <c r="M262" s="99"/>
      <c r="N262" s="99"/>
      <c r="O262" s="99"/>
      <c r="P262" s="99"/>
      <c r="Q262" s="99"/>
      <c r="R262" s="99"/>
      <c r="S262" s="99"/>
    </row>
    <row r="263" spans="1:19" x14ac:dyDescent="0.2">
      <c r="A263" s="99"/>
      <c r="B263" s="99"/>
      <c r="C263" s="99"/>
      <c r="D263" s="99"/>
      <c r="E263" s="99"/>
      <c r="F263" s="99"/>
      <c r="G263" s="99"/>
      <c r="H263" s="99"/>
      <c r="I263" s="99"/>
      <c r="J263" s="99"/>
      <c r="K263" s="99"/>
      <c r="L263" s="99"/>
      <c r="M263" s="99"/>
      <c r="N263" s="99"/>
      <c r="O263" s="99"/>
      <c r="P263" s="99"/>
      <c r="Q263" s="99"/>
      <c r="R263" s="99"/>
      <c r="S263" s="99"/>
    </row>
    <row r="264" spans="1:19" x14ac:dyDescent="0.2">
      <c r="A264" s="99"/>
      <c r="B264" s="99"/>
      <c r="C264" s="99"/>
      <c r="D264" s="99"/>
      <c r="E264" s="99"/>
      <c r="F264" s="99"/>
      <c r="G264" s="99"/>
      <c r="H264" s="99"/>
      <c r="I264" s="99"/>
      <c r="J264" s="99"/>
      <c r="K264" s="99"/>
      <c r="L264" s="99"/>
      <c r="M264" s="99"/>
      <c r="N264" s="99"/>
      <c r="O264" s="99"/>
      <c r="P264" s="99"/>
      <c r="Q264" s="99"/>
      <c r="R264" s="99"/>
      <c r="S264" s="99"/>
    </row>
    <row r="265" spans="1:19" x14ac:dyDescent="0.2">
      <c r="A265" s="99"/>
      <c r="B265" s="99"/>
      <c r="C265" s="99"/>
      <c r="D265" s="99"/>
      <c r="E265" s="99"/>
      <c r="F265" s="99"/>
      <c r="G265" s="99"/>
      <c r="H265" s="99"/>
      <c r="I265" s="99"/>
      <c r="J265" s="99"/>
      <c r="K265" s="99"/>
      <c r="L265" s="99"/>
      <c r="M265" s="99"/>
      <c r="N265" s="99"/>
      <c r="O265" s="99"/>
      <c r="P265" s="99"/>
      <c r="Q265" s="99"/>
      <c r="R265" s="99"/>
      <c r="S265" s="99"/>
    </row>
    <row r="266" spans="1:19" x14ac:dyDescent="0.2">
      <c r="A266" s="99"/>
      <c r="B266" s="99"/>
      <c r="C266" s="99"/>
      <c r="D266" s="99"/>
      <c r="E266" s="99"/>
      <c r="F266" s="99"/>
      <c r="G266" s="99"/>
      <c r="H266" s="99"/>
      <c r="I266" s="99"/>
      <c r="J266" s="99"/>
      <c r="K266" s="99"/>
      <c r="L266" s="99"/>
      <c r="M266" s="99"/>
      <c r="N266" s="99"/>
      <c r="O266" s="99"/>
      <c r="P266" s="99"/>
      <c r="Q266" s="99"/>
      <c r="R266" s="99"/>
      <c r="S266" s="99"/>
    </row>
    <row r="267" spans="1:19" x14ac:dyDescent="0.2">
      <c r="A267" s="99"/>
      <c r="B267" s="99"/>
      <c r="C267" s="99"/>
      <c r="D267" s="99"/>
      <c r="E267" s="99"/>
      <c r="F267" s="99"/>
      <c r="G267" s="99"/>
      <c r="H267" s="99"/>
      <c r="I267" s="99"/>
      <c r="J267" s="99"/>
      <c r="K267" s="99"/>
      <c r="L267" s="99"/>
      <c r="M267" s="99"/>
      <c r="N267" s="99"/>
      <c r="O267" s="99"/>
      <c r="P267" s="99"/>
      <c r="Q267" s="99"/>
      <c r="R267" s="99"/>
      <c r="S267" s="99"/>
    </row>
    <row r="268" spans="1:19" x14ac:dyDescent="0.2">
      <c r="A268" s="99"/>
      <c r="B268" s="99"/>
      <c r="C268" s="99"/>
      <c r="D268" s="99"/>
      <c r="E268" s="99"/>
      <c r="F268" s="99"/>
      <c r="G268" s="99"/>
      <c r="H268" s="99"/>
      <c r="I268" s="99"/>
      <c r="J268" s="99"/>
      <c r="K268" s="99"/>
      <c r="L268" s="99"/>
      <c r="M268" s="99"/>
      <c r="N268" s="99"/>
      <c r="O268" s="99"/>
      <c r="P268" s="99"/>
      <c r="Q268" s="99"/>
      <c r="R268" s="99"/>
      <c r="S268" s="99"/>
    </row>
    <row r="269" spans="1:19" x14ac:dyDescent="0.2">
      <c r="A269" s="99"/>
      <c r="B269" s="99"/>
      <c r="C269" s="99"/>
      <c r="D269" s="99"/>
      <c r="E269" s="99"/>
      <c r="F269" s="99"/>
      <c r="G269" s="99"/>
      <c r="H269" s="99"/>
      <c r="I269" s="99"/>
      <c r="J269" s="99"/>
      <c r="K269" s="99"/>
      <c r="L269" s="99"/>
      <c r="M269" s="99"/>
      <c r="N269" s="99"/>
      <c r="O269" s="99"/>
      <c r="P269" s="99"/>
      <c r="Q269" s="99"/>
      <c r="R269" s="99"/>
      <c r="S269" s="99"/>
    </row>
    <row r="270" spans="1:19" x14ac:dyDescent="0.2">
      <c r="A270" s="99"/>
      <c r="B270" s="99"/>
      <c r="C270" s="99"/>
      <c r="D270" s="99"/>
      <c r="E270" s="99"/>
      <c r="F270" s="99"/>
      <c r="G270" s="99"/>
      <c r="H270" s="99"/>
      <c r="I270" s="99"/>
      <c r="J270" s="99"/>
      <c r="K270" s="99"/>
      <c r="L270" s="99"/>
      <c r="M270" s="99"/>
      <c r="N270" s="99"/>
      <c r="O270" s="99"/>
      <c r="P270" s="99"/>
      <c r="Q270" s="99"/>
      <c r="R270" s="99"/>
      <c r="S270" s="99"/>
    </row>
    <row r="271" spans="1:19" x14ac:dyDescent="0.2">
      <c r="A271" s="99"/>
      <c r="B271" s="99"/>
      <c r="C271" s="99"/>
      <c r="D271" s="99"/>
      <c r="E271" s="99"/>
      <c r="F271" s="99"/>
      <c r="G271" s="99"/>
      <c r="H271" s="99"/>
      <c r="I271" s="99"/>
      <c r="J271" s="99"/>
      <c r="K271" s="99"/>
      <c r="L271" s="99"/>
      <c r="M271" s="99"/>
      <c r="N271" s="99"/>
      <c r="O271" s="99"/>
      <c r="P271" s="99"/>
      <c r="Q271" s="99"/>
      <c r="R271" s="99"/>
      <c r="S271" s="99"/>
    </row>
    <row r="272" spans="1:19" x14ac:dyDescent="0.2">
      <c r="A272" s="99"/>
      <c r="B272" s="99"/>
      <c r="C272" s="99"/>
      <c r="D272" s="99"/>
      <c r="E272" s="99"/>
      <c r="F272" s="99"/>
      <c r="G272" s="99"/>
      <c r="H272" s="99"/>
      <c r="I272" s="99"/>
      <c r="J272" s="99"/>
      <c r="K272" s="99"/>
      <c r="L272" s="99"/>
      <c r="M272" s="99"/>
      <c r="N272" s="99"/>
      <c r="O272" s="99"/>
      <c r="P272" s="99"/>
      <c r="Q272" s="99"/>
      <c r="R272" s="99"/>
      <c r="S272" s="99"/>
    </row>
    <row r="273" spans="1:19" x14ac:dyDescent="0.2">
      <c r="A273" s="99"/>
      <c r="B273" s="99"/>
      <c r="C273" s="99"/>
      <c r="D273" s="99"/>
      <c r="E273" s="99"/>
      <c r="F273" s="99"/>
      <c r="G273" s="99"/>
      <c r="H273" s="99"/>
      <c r="I273" s="99"/>
      <c r="J273" s="99"/>
      <c r="K273" s="99"/>
      <c r="L273" s="99"/>
      <c r="M273" s="99"/>
      <c r="N273" s="99"/>
      <c r="O273" s="99"/>
      <c r="P273" s="99"/>
      <c r="Q273" s="99"/>
      <c r="R273" s="99"/>
      <c r="S273" s="99"/>
    </row>
    <row r="274" spans="1:19" x14ac:dyDescent="0.2">
      <c r="A274" s="99"/>
      <c r="B274" s="99"/>
      <c r="C274" s="99"/>
      <c r="D274" s="99"/>
      <c r="E274" s="99"/>
      <c r="F274" s="99"/>
      <c r="G274" s="99"/>
      <c r="H274" s="99"/>
      <c r="I274" s="99"/>
      <c r="J274" s="99"/>
      <c r="K274" s="99"/>
      <c r="L274" s="99"/>
      <c r="M274" s="99"/>
      <c r="N274" s="99"/>
      <c r="O274" s="99"/>
      <c r="P274" s="99"/>
      <c r="Q274" s="99"/>
      <c r="R274" s="99"/>
      <c r="S274" s="99"/>
    </row>
    <row r="275" spans="1:19" x14ac:dyDescent="0.2">
      <c r="A275" s="99"/>
      <c r="B275" s="99"/>
      <c r="C275" s="99"/>
      <c r="D275" s="99"/>
      <c r="E275" s="99"/>
      <c r="F275" s="99"/>
      <c r="G275" s="99"/>
      <c r="H275" s="99"/>
      <c r="I275" s="99"/>
      <c r="J275" s="99"/>
      <c r="K275" s="99"/>
      <c r="L275" s="99"/>
      <c r="M275" s="99"/>
      <c r="N275" s="99"/>
      <c r="O275" s="99"/>
      <c r="P275" s="99"/>
      <c r="Q275" s="99"/>
      <c r="R275" s="99"/>
      <c r="S275" s="99"/>
    </row>
    <row r="276" spans="1:19" x14ac:dyDescent="0.2">
      <c r="A276" s="99"/>
      <c r="B276" s="99"/>
      <c r="C276" s="99"/>
      <c r="D276" s="99"/>
      <c r="E276" s="99"/>
      <c r="F276" s="99"/>
      <c r="G276" s="99"/>
      <c r="H276" s="99"/>
      <c r="I276" s="99"/>
      <c r="J276" s="99"/>
      <c r="K276" s="99"/>
      <c r="L276" s="99"/>
      <c r="M276" s="99"/>
      <c r="N276" s="99"/>
      <c r="O276" s="99"/>
      <c r="P276" s="99"/>
      <c r="Q276" s="99"/>
      <c r="R276" s="99"/>
      <c r="S276" s="99"/>
    </row>
    <row r="277" spans="1:19" x14ac:dyDescent="0.2">
      <c r="A277" s="99"/>
      <c r="B277" s="99"/>
      <c r="C277" s="99"/>
      <c r="D277" s="99"/>
      <c r="E277" s="99"/>
      <c r="F277" s="99"/>
      <c r="G277" s="99"/>
      <c r="H277" s="99"/>
      <c r="I277" s="99"/>
      <c r="J277" s="99"/>
      <c r="K277" s="99"/>
      <c r="L277" s="99"/>
      <c r="M277" s="99"/>
      <c r="N277" s="99"/>
      <c r="O277" s="99"/>
      <c r="P277" s="99"/>
      <c r="Q277" s="99"/>
      <c r="R277" s="99"/>
      <c r="S277" s="99"/>
    </row>
    <row r="278" spans="1:19" x14ac:dyDescent="0.2">
      <c r="A278" s="99"/>
      <c r="B278" s="99"/>
      <c r="C278" s="99"/>
      <c r="D278" s="99"/>
      <c r="E278" s="99"/>
      <c r="F278" s="99"/>
      <c r="G278" s="99"/>
      <c r="H278" s="99"/>
      <c r="I278" s="99"/>
      <c r="J278" s="99"/>
      <c r="K278" s="99"/>
      <c r="L278" s="99"/>
      <c r="M278" s="99"/>
      <c r="N278" s="99"/>
      <c r="O278" s="99"/>
      <c r="P278" s="99"/>
      <c r="Q278" s="99"/>
      <c r="R278" s="99"/>
      <c r="S278" s="99"/>
    </row>
    <row r="279" spans="1:19" x14ac:dyDescent="0.2">
      <c r="A279" s="99"/>
      <c r="B279" s="99"/>
      <c r="C279" s="99"/>
      <c r="D279" s="99"/>
      <c r="E279" s="99"/>
      <c r="F279" s="99"/>
      <c r="G279" s="99"/>
      <c r="H279" s="99"/>
      <c r="I279" s="99"/>
      <c r="J279" s="99"/>
      <c r="K279" s="99"/>
      <c r="L279" s="99"/>
      <c r="M279" s="99"/>
      <c r="N279" s="99"/>
      <c r="O279" s="99"/>
      <c r="P279" s="99"/>
      <c r="Q279" s="99"/>
      <c r="R279" s="99"/>
      <c r="S279" s="99"/>
    </row>
    <row r="280" spans="1:19" x14ac:dyDescent="0.2">
      <c r="A280" s="99"/>
      <c r="B280" s="99"/>
      <c r="C280" s="99"/>
      <c r="D280" s="99"/>
      <c r="E280" s="99"/>
      <c r="F280" s="99"/>
      <c r="G280" s="99"/>
      <c r="H280" s="99"/>
      <c r="I280" s="99"/>
      <c r="J280" s="99"/>
      <c r="K280" s="99"/>
      <c r="L280" s="99"/>
      <c r="M280" s="99"/>
      <c r="N280" s="99"/>
      <c r="O280" s="99"/>
      <c r="P280" s="99"/>
      <c r="Q280" s="99"/>
      <c r="R280" s="99"/>
      <c r="S280" s="99"/>
    </row>
    <row r="281" spans="1:19" x14ac:dyDescent="0.2">
      <c r="A281" s="99"/>
      <c r="B281" s="99"/>
      <c r="C281" s="99"/>
      <c r="D281" s="99"/>
      <c r="E281" s="99"/>
      <c r="F281" s="99"/>
      <c r="G281" s="99"/>
      <c r="H281" s="99"/>
      <c r="I281" s="99"/>
      <c r="J281" s="99"/>
      <c r="K281" s="99"/>
      <c r="L281" s="99"/>
      <c r="M281" s="99"/>
      <c r="N281" s="99"/>
      <c r="O281" s="99"/>
      <c r="P281" s="99"/>
      <c r="Q281" s="99"/>
      <c r="R281" s="99"/>
      <c r="S281" s="99"/>
    </row>
    <row r="282" spans="1:19" x14ac:dyDescent="0.2">
      <c r="A282" s="99"/>
      <c r="B282" s="99"/>
      <c r="C282" s="99"/>
      <c r="D282" s="99"/>
      <c r="E282" s="99"/>
      <c r="F282" s="99"/>
      <c r="G282" s="99"/>
      <c r="H282" s="99"/>
      <c r="I282" s="99"/>
      <c r="J282" s="99"/>
      <c r="K282" s="99"/>
      <c r="L282" s="99"/>
      <c r="M282" s="99"/>
      <c r="N282" s="99"/>
      <c r="O282" s="99"/>
      <c r="P282" s="99"/>
      <c r="Q282" s="99"/>
      <c r="R282" s="99"/>
      <c r="S282" s="99"/>
    </row>
    <row r="283" spans="1:19" x14ac:dyDescent="0.2">
      <c r="A283" s="99"/>
      <c r="B283" s="99"/>
      <c r="C283" s="99"/>
      <c r="D283" s="99"/>
      <c r="E283" s="99"/>
      <c r="F283" s="99"/>
      <c r="G283" s="99"/>
      <c r="H283" s="99"/>
      <c r="I283" s="99"/>
      <c r="J283" s="99"/>
      <c r="K283" s="99"/>
      <c r="L283" s="99"/>
      <c r="M283" s="99"/>
      <c r="N283" s="99"/>
      <c r="O283" s="99"/>
      <c r="P283" s="99"/>
      <c r="Q283" s="99"/>
      <c r="R283" s="99"/>
      <c r="S283" s="99"/>
    </row>
    <row r="284" spans="1:19" x14ac:dyDescent="0.2">
      <c r="A284" s="99"/>
      <c r="B284" s="99"/>
      <c r="C284" s="99"/>
      <c r="D284" s="99"/>
      <c r="E284" s="99"/>
      <c r="F284" s="99"/>
      <c r="G284" s="99"/>
      <c r="H284" s="99"/>
      <c r="I284" s="99"/>
      <c r="J284" s="99"/>
      <c r="K284" s="99"/>
      <c r="L284" s="99"/>
      <c r="M284" s="99"/>
      <c r="N284" s="99"/>
      <c r="O284" s="99"/>
      <c r="P284" s="99"/>
      <c r="Q284" s="99"/>
      <c r="R284" s="99"/>
      <c r="S284" s="99"/>
    </row>
    <row r="285" spans="1:19" x14ac:dyDescent="0.2">
      <c r="A285" s="99"/>
      <c r="B285" s="99"/>
      <c r="C285" s="99"/>
      <c r="D285" s="99"/>
      <c r="E285" s="99"/>
      <c r="F285" s="99"/>
      <c r="G285" s="99"/>
      <c r="H285" s="99"/>
      <c r="I285" s="99"/>
      <c r="J285" s="99"/>
      <c r="K285" s="99"/>
      <c r="L285" s="99"/>
      <c r="M285" s="99"/>
      <c r="N285" s="99"/>
      <c r="O285" s="99"/>
      <c r="P285" s="99"/>
      <c r="Q285" s="99"/>
      <c r="R285" s="99"/>
      <c r="S285" s="99"/>
    </row>
    <row r="286" spans="1:19" x14ac:dyDescent="0.2">
      <c r="A286" s="99"/>
      <c r="B286" s="99"/>
      <c r="C286" s="99"/>
      <c r="D286" s="99"/>
      <c r="E286" s="99"/>
      <c r="F286" s="99"/>
      <c r="G286" s="99"/>
      <c r="H286" s="99"/>
      <c r="I286" s="99"/>
      <c r="J286" s="99"/>
      <c r="K286" s="99"/>
      <c r="L286" s="99"/>
      <c r="M286" s="99"/>
      <c r="N286" s="99"/>
      <c r="O286" s="99"/>
      <c r="P286" s="99"/>
      <c r="Q286" s="99"/>
      <c r="R286" s="99"/>
      <c r="S286" s="99"/>
    </row>
    <row r="287" spans="1:19" x14ac:dyDescent="0.2">
      <c r="A287" s="99"/>
      <c r="B287" s="99"/>
      <c r="C287" s="99"/>
      <c r="D287" s="99"/>
      <c r="E287" s="99"/>
      <c r="F287" s="99"/>
      <c r="G287" s="99"/>
      <c r="H287" s="99"/>
      <c r="I287" s="99"/>
      <c r="J287" s="99"/>
      <c r="K287" s="99"/>
      <c r="L287" s="99"/>
      <c r="M287" s="99"/>
      <c r="N287" s="99"/>
      <c r="O287" s="99"/>
      <c r="P287" s="99"/>
      <c r="Q287" s="99"/>
      <c r="R287" s="99"/>
      <c r="S287" s="99"/>
    </row>
    <row r="288" spans="1:19" x14ac:dyDescent="0.2">
      <c r="A288" s="99"/>
      <c r="B288" s="99"/>
      <c r="C288" s="99"/>
      <c r="D288" s="99"/>
      <c r="E288" s="99"/>
      <c r="F288" s="99"/>
      <c r="G288" s="99"/>
      <c r="H288" s="99"/>
      <c r="I288" s="99"/>
      <c r="J288" s="99"/>
      <c r="K288" s="99"/>
      <c r="L288" s="99"/>
      <c r="M288" s="99"/>
      <c r="N288" s="99"/>
      <c r="O288" s="99"/>
      <c r="P288" s="99"/>
      <c r="Q288" s="99"/>
      <c r="R288" s="99"/>
      <c r="S288" s="99"/>
    </row>
    <row r="289" spans="1:19" x14ac:dyDescent="0.2">
      <c r="A289" s="99"/>
      <c r="B289" s="99"/>
      <c r="C289" s="99"/>
      <c r="D289" s="99"/>
      <c r="E289" s="99"/>
      <c r="F289" s="99"/>
      <c r="G289" s="99"/>
      <c r="H289" s="99"/>
      <c r="I289" s="99"/>
      <c r="J289" s="99"/>
      <c r="K289" s="99"/>
      <c r="L289" s="99"/>
      <c r="M289" s="99"/>
      <c r="N289" s="99"/>
      <c r="O289" s="99"/>
      <c r="P289" s="99"/>
      <c r="Q289" s="99"/>
      <c r="R289" s="99"/>
      <c r="S289" s="99"/>
    </row>
    <row r="290" spans="1:19" x14ac:dyDescent="0.2">
      <c r="A290" s="99"/>
      <c r="B290" s="99"/>
      <c r="C290" s="99"/>
      <c r="D290" s="99"/>
      <c r="E290" s="99"/>
      <c r="F290" s="99"/>
      <c r="G290" s="99"/>
      <c r="H290" s="99"/>
      <c r="I290" s="99"/>
      <c r="J290" s="99"/>
      <c r="K290" s="99"/>
      <c r="L290" s="99"/>
      <c r="M290" s="99"/>
      <c r="N290" s="99"/>
      <c r="O290" s="99"/>
      <c r="P290" s="99"/>
      <c r="Q290" s="99"/>
      <c r="R290" s="99"/>
      <c r="S290" s="99"/>
    </row>
    <row r="291" spans="1:19" x14ac:dyDescent="0.2">
      <c r="A291" s="99"/>
      <c r="B291" s="99"/>
      <c r="C291" s="99"/>
      <c r="D291" s="99"/>
      <c r="E291" s="99"/>
      <c r="F291" s="99"/>
      <c r="G291" s="99"/>
      <c r="H291" s="99"/>
      <c r="I291" s="99"/>
      <c r="J291" s="99"/>
      <c r="K291" s="99"/>
      <c r="L291" s="99"/>
      <c r="M291" s="99"/>
      <c r="N291" s="99"/>
      <c r="O291" s="99"/>
      <c r="P291" s="99"/>
      <c r="Q291" s="99"/>
      <c r="R291" s="99"/>
      <c r="S291" s="99"/>
    </row>
    <row r="292" spans="1:19" x14ac:dyDescent="0.2">
      <c r="A292" s="99"/>
      <c r="B292" s="99"/>
      <c r="C292" s="99"/>
      <c r="D292" s="99"/>
      <c r="E292" s="99"/>
      <c r="F292" s="99"/>
      <c r="G292" s="99"/>
      <c r="H292" s="99"/>
      <c r="I292" s="99"/>
      <c r="J292" s="99"/>
      <c r="K292" s="99"/>
      <c r="L292" s="99"/>
      <c r="M292" s="99"/>
      <c r="N292" s="99"/>
      <c r="O292" s="99"/>
      <c r="P292" s="99"/>
      <c r="Q292" s="99"/>
      <c r="R292" s="99"/>
      <c r="S292" s="99"/>
    </row>
    <row r="293" spans="1:19" x14ac:dyDescent="0.2">
      <c r="A293" s="99"/>
      <c r="B293" s="99"/>
      <c r="C293" s="99"/>
      <c r="D293" s="99"/>
      <c r="E293" s="99"/>
      <c r="F293" s="99"/>
      <c r="G293" s="99"/>
      <c r="H293" s="99"/>
      <c r="I293" s="99"/>
      <c r="J293" s="99"/>
      <c r="K293" s="99"/>
      <c r="L293" s="99"/>
      <c r="M293" s="99"/>
      <c r="N293" s="99"/>
      <c r="O293" s="99"/>
      <c r="P293" s="99"/>
      <c r="Q293" s="99"/>
      <c r="R293" s="99"/>
      <c r="S293" s="99"/>
    </row>
    <row r="294" spans="1:19" x14ac:dyDescent="0.2">
      <c r="A294" s="99"/>
      <c r="B294" s="99"/>
      <c r="C294" s="99"/>
      <c r="D294" s="99"/>
      <c r="E294" s="99"/>
      <c r="F294" s="99"/>
      <c r="G294" s="99"/>
      <c r="H294" s="99"/>
      <c r="I294" s="99"/>
      <c r="J294" s="99"/>
      <c r="K294" s="99"/>
      <c r="L294" s="99"/>
      <c r="M294" s="99"/>
      <c r="N294" s="99"/>
      <c r="O294" s="99"/>
      <c r="P294" s="99"/>
      <c r="Q294" s="99"/>
      <c r="R294" s="99"/>
      <c r="S294" s="99"/>
    </row>
    <row r="295" spans="1:19" x14ac:dyDescent="0.2">
      <c r="A295" s="99"/>
      <c r="B295" s="99"/>
      <c r="C295" s="99"/>
      <c r="D295" s="99"/>
      <c r="E295" s="99"/>
      <c r="F295" s="99"/>
      <c r="G295" s="99"/>
      <c r="H295" s="99"/>
      <c r="I295" s="99"/>
      <c r="J295" s="99"/>
      <c r="K295" s="99"/>
      <c r="L295" s="99"/>
      <c r="M295" s="99"/>
      <c r="N295" s="99"/>
      <c r="O295" s="99"/>
      <c r="P295" s="99"/>
      <c r="Q295" s="99"/>
      <c r="R295" s="99"/>
      <c r="S295" s="99"/>
    </row>
    <row r="296" spans="1:19" x14ac:dyDescent="0.2">
      <c r="A296" s="99"/>
      <c r="B296" s="99"/>
      <c r="C296" s="99"/>
      <c r="D296" s="99"/>
      <c r="E296" s="99"/>
      <c r="F296" s="99"/>
      <c r="G296" s="99"/>
      <c r="H296" s="99"/>
      <c r="I296" s="99"/>
      <c r="J296" s="99"/>
      <c r="K296" s="99"/>
      <c r="L296" s="99"/>
      <c r="M296" s="99"/>
      <c r="N296" s="99"/>
      <c r="O296" s="99"/>
      <c r="P296" s="99"/>
      <c r="Q296" s="99"/>
      <c r="R296" s="99"/>
      <c r="S296" s="99"/>
    </row>
    <row r="297" spans="1:19" x14ac:dyDescent="0.2">
      <c r="A297" s="99"/>
      <c r="B297" s="99"/>
      <c r="C297" s="99"/>
      <c r="D297" s="99"/>
      <c r="E297" s="99"/>
      <c r="F297" s="99"/>
      <c r="G297" s="99"/>
      <c r="H297" s="99"/>
      <c r="I297" s="99"/>
      <c r="J297" s="99"/>
      <c r="K297" s="99"/>
      <c r="L297" s="99"/>
      <c r="M297" s="99"/>
      <c r="N297" s="99"/>
      <c r="O297" s="99"/>
      <c r="P297" s="99"/>
      <c r="Q297" s="99"/>
      <c r="R297" s="99"/>
      <c r="S297" s="99"/>
    </row>
    <row r="298" spans="1:19" x14ac:dyDescent="0.2">
      <c r="A298" s="99"/>
      <c r="B298" s="99"/>
      <c r="C298" s="99"/>
      <c r="D298" s="99"/>
      <c r="E298" s="99"/>
      <c r="F298" s="99"/>
      <c r="G298" s="99"/>
      <c r="H298" s="99"/>
      <c r="I298" s="99"/>
      <c r="J298" s="99"/>
      <c r="K298" s="99"/>
      <c r="L298" s="99"/>
      <c r="M298" s="99"/>
      <c r="N298" s="99"/>
      <c r="O298" s="99"/>
      <c r="P298" s="99"/>
      <c r="Q298" s="99"/>
      <c r="R298" s="99"/>
      <c r="S298" s="99"/>
    </row>
    <row r="299" spans="1:19" x14ac:dyDescent="0.2">
      <c r="A299" s="99"/>
      <c r="B299" s="99"/>
      <c r="C299" s="99"/>
      <c r="D299" s="99"/>
      <c r="E299" s="99"/>
      <c r="F299" s="99"/>
      <c r="G299" s="99"/>
      <c r="H299" s="99"/>
      <c r="I299" s="99"/>
      <c r="J299" s="99"/>
      <c r="K299" s="99"/>
      <c r="L299" s="99"/>
      <c r="M299" s="99"/>
      <c r="N299" s="99"/>
      <c r="O299" s="99"/>
      <c r="P299" s="99"/>
      <c r="Q299" s="99"/>
      <c r="R299" s="99"/>
      <c r="S299" s="99"/>
    </row>
    <row r="300" spans="1:19" x14ac:dyDescent="0.2">
      <c r="A300" s="99"/>
      <c r="B300" s="99"/>
      <c r="C300" s="99"/>
      <c r="D300" s="99"/>
      <c r="E300" s="99"/>
      <c r="F300" s="99"/>
      <c r="G300" s="99"/>
      <c r="H300" s="99"/>
      <c r="I300" s="99"/>
      <c r="J300" s="99"/>
      <c r="K300" s="99"/>
      <c r="L300" s="99"/>
      <c r="M300" s="99"/>
      <c r="N300" s="99"/>
      <c r="O300" s="99"/>
      <c r="P300" s="99"/>
      <c r="Q300" s="99"/>
      <c r="R300" s="99"/>
      <c r="S300" s="99"/>
    </row>
    <row r="301" spans="1:19" x14ac:dyDescent="0.2">
      <c r="A301" s="99"/>
      <c r="B301" s="99"/>
      <c r="C301" s="99"/>
      <c r="D301" s="99"/>
      <c r="E301" s="99"/>
      <c r="F301" s="99"/>
      <c r="G301" s="99"/>
      <c r="H301" s="99"/>
      <c r="I301" s="99"/>
      <c r="J301" s="99"/>
      <c r="K301" s="99"/>
      <c r="L301" s="99"/>
      <c r="M301" s="99"/>
      <c r="N301" s="99"/>
      <c r="O301" s="99"/>
      <c r="P301" s="99"/>
      <c r="Q301" s="99"/>
      <c r="R301" s="99"/>
      <c r="S301" s="99"/>
    </row>
    <row r="302" spans="1:19" x14ac:dyDescent="0.2">
      <c r="A302" s="99"/>
      <c r="B302" s="99"/>
      <c r="C302" s="99"/>
      <c r="D302" s="99"/>
      <c r="E302" s="99"/>
      <c r="F302" s="99"/>
      <c r="G302" s="99"/>
      <c r="H302" s="99"/>
      <c r="I302" s="99"/>
      <c r="J302" s="99"/>
      <c r="K302" s="99"/>
      <c r="L302" s="99"/>
      <c r="M302" s="99"/>
      <c r="N302" s="99"/>
      <c r="O302" s="99"/>
      <c r="P302" s="99"/>
      <c r="Q302" s="99"/>
      <c r="R302" s="99"/>
      <c r="S302" s="99"/>
    </row>
    <row r="303" spans="1:19" x14ac:dyDescent="0.2">
      <c r="A303" s="99"/>
      <c r="B303" s="99"/>
      <c r="C303" s="99"/>
      <c r="D303" s="99"/>
      <c r="E303" s="99"/>
      <c r="F303" s="99"/>
      <c r="G303" s="99"/>
      <c r="H303" s="99"/>
      <c r="I303" s="99"/>
      <c r="J303" s="99"/>
      <c r="K303" s="99"/>
      <c r="L303" s="99"/>
      <c r="M303" s="99"/>
      <c r="N303" s="99"/>
      <c r="O303" s="99"/>
      <c r="P303" s="99"/>
      <c r="Q303" s="99"/>
      <c r="R303" s="99"/>
      <c r="S303" s="99"/>
    </row>
    <row r="304" spans="1:19" x14ac:dyDescent="0.2">
      <c r="A304" s="99"/>
      <c r="B304" s="99"/>
      <c r="C304" s="99"/>
      <c r="D304" s="99"/>
      <c r="E304" s="99"/>
      <c r="F304" s="99"/>
      <c r="G304" s="99"/>
      <c r="H304" s="99"/>
      <c r="I304" s="99"/>
      <c r="J304" s="99"/>
      <c r="K304" s="99"/>
      <c r="L304" s="99"/>
      <c r="M304" s="99"/>
      <c r="N304" s="99"/>
      <c r="O304" s="99"/>
      <c r="P304" s="99"/>
      <c r="Q304" s="99"/>
      <c r="R304" s="99"/>
      <c r="S304" s="99"/>
    </row>
    <row r="305" spans="1:19" x14ac:dyDescent="0.2">
      <c r="A305" s="99"/>
      <c r="B305" s="99"/>
      <c r="C305" s="99"/>
      <c r="D305" s="99"/>
      <c r="E305" s="99"/>
      <c r="F305" s="99"/>
      <c r="G305" s="99"/>
      <c r="H305" s="99"/>
      <c r="I305" s="99"/>
      <c r="J305" s="99"/>
      <c r="K305" s="99"/>
      <c r="L305" s="99"/>
      <c r="M305" s="99"/>
      <c r="N305" s="99"/>
      <c r="O305" s="99"/>
      <c r="P305" s="99"/>
      <c r="Q305" s="99"/>
      <c r="R305" s="99"/>
      <c r="S305" s="99"/>
    </row>
    <row r="306" spans="1:19" x14ac:dyDescent="0.2">
      <c r="A306" s="99"/>
      <c r="B306" s="99"/>
      <c r="C306" s="99"/>
      <c r="D306" s="99"/>
      <c r="E306" s="99"/>
      <c r="F306" s="99"/>
      <c r="G306" s="99"/>
      <c r="H306" s="99"/>
      <c r="I306" s="99"/>
      <c r="J306" s="99"/>
      <c r="K306" s="99"/>
      <c r="L306" s="99"/>
      <c r="M306" s="99"/>
      <c r="N306" s="99"/>
      <c r="O306" s="99"/>
      <c r="P306" s="99"/>
      <c r="Q306" s="99"/>
      <c r="R306" s="99"/>
      <c r="S306" s="99"/>
    </row>
    <row r="307" spans="1:19" x14ac:dyDescent="0.2">
      <c r="A307" s="99"/>
      <c r="B307" s="99"/>
      <c r="C307" s="99"/>
      <c r="D307" s="99"/>
      <c r="E307" s="99"/>
      <c r="F307" s="99"/>
      <c r="G307" s="99"/>
      <c r="H307" s="99"/>
      <c r="I307" s="99"/>
      <c r="J307" s="99"/>
      <c r="K307" s="99"/>
      <c r="L307" s="99"/>
      <c r="M307" s="99"/>
      <c r="N307" s="99"/>
      <c r="O307" s="99"/>
      <c r="P307" s="99"/>
      <c r="Q307" s="99"/>
      <c r="R307" s="99"/>
      <c r="S307" s="99"/>
    </row>
    <row r="308" spans="1:19" x14ac:dyDescent="0.2">
      <c r="A308" s="99"/>
      <c r="B308" s="99"/>
      <c r="C308" s="99"/>
      <c r="D308" s="99"/>
      <c r="E308" s="99"/>
      <c r="F308" s="99"/>
      <c r="G308" s="99"/>
      <c r="H308" s="99"/>
      <c r="I308" s="99"/>
      <c r="J308" s="99"/>
      <c r="K308" s="99"/>
      <c r="L308" s="99"/>
      <c r="M308" s="99"/>
      <c r="N308" s="99"/>
      <c r="O308" s="99"/>
      <c r="P308" s="99"/>
      <c r="Q308" s="99"/>
      <c r="R308" s="99"/>
      <c r="S308" s="99"/>
    </row>
    <row r="309" spans="1:19" x14ac:dyDescent="0.2">
      <c r="A309" s="99"/>
      <c r="B309" s="99"/>
      <c r="C309" s="99"/>
      <c r="D309" s="99"/>
      <c r="E309" s="99"/>
      <c r="F309" s="99"/>
      <c r="G309" s="99"/>
      <c r="H309" s="99"/>
      <c r="I309" s="99"/>
      <c r="J309" s="99"/>
      <c r="K309" s="99"/>
      <c r="L309" s="99"/>
      <c r="M309" s="99"/>
      <c r="N309" s="99"/>
      <c r="O309" s="99"/>
      <c r="P309" s="99"/>
      <c r="Q309" s="99"/>
      <c r="R309" s="99"/>
      <c r="S309" s="99"/>
    </row>
    <row r="310" spans="1:19" x14ac:dyDescent="0.2">
      <c r="A310" s="99"/>
      <c r="B310" s="99"/>
      <c r="C310" s="99"/>
      <c r="D310" s="99"/>
      <c r="E310" s="99"/>
      <c r="F310" s="99"/>
      <c r="G310" s="99"/>
      <c r="H310" s="99"/>
      <c r="I310" s="99"/>
      <c r="J310" s="99"/>
      <c r="K310" s="99"/>
      <c r="L310" s="99"/>
      <c r="M310" s="99"/>
      <c r="N310" s="99"/>
      <c r="O310" s="99"/>
      <c r="P310" s="99"/>
      <c r="Q310" s="99"/>
      <c r="R310" s="99"/>
      <c r="S310" s="99"/>
    </row>
    <row r="311" spans="1:19" x14ac:dyDescent="0.2">
      <c r="A311" s="99"/>
      <c r="B311" s="99"/>
      <c r="C311" s="99"/>
      <c r="D311" s="99"/>
      <c r="E311" s="99"/>
      <c r="F311" s="99"/>
      <c r="G311" s="99"/>
      <c r="H311" s="99"/>
      <c r="I311" s="99"/>
      <c r="J311" s="99"/>
      <c r="K311" s="99"/>
      <c r="L311" s="99"/>
      <c r="M311" s="99"/>
      <c r="N311" s="99"/>
      <c r="O311" s="99"/>
      <c r="P311" s="99"/>
      <c r="Q311" s="99"/>
      <c r="R311" s="99"/>
      <c r="S311" s="99"/>
    </row>
    <row r="312" spans="1:19" x14ac:dyDescent="0.2">
      <c r="A312" s="99"/>
      <c r="B312" s="99"/>
      <c r="C312" s="99"/>
      <c r="D312" s="99"/>
      <c r="E312" s="99"/>
      <c r="F312" s="99"/>
      <c r="G312" s="99"/>
      <c r="H312" s="99"/>
      <c r="I312" s="99"/>
      <c r="J312" s="99"/>
      <c r="K312" s="99"/>
      <c r="L312" s="99"/>
      <c r="M312" s="99"/>
      <c r="N312" s="99"/>
      <c r="O312" s="99"/>
      <c r="P312" s="99"/>
      <c r="Q312" s="99"/>
      <c r="R312" s="99"/>
      <c r="S312" s="99"/>
    </row>
    <row r="313" spans="1:19" x14ac:dyDescent="0.2">
      <c r="A313" s="99"/>
      <c r="B313" s="99"/>
      <c r="C313" s="99"/>
      <c r="D313" s="99"/>
      <c r="E313" s="99"/>
      <c r="F313" s="99"/>
      <c r="G313" s="99"/>
      <c r="H313" s="99"/>
      <c r="I313" s="99"/>
      <c r="J313" s="99"/>
      <c r="K313" s="99"/>
      <c r="L313" s="99"/>
      <c r="M313" s="99"/>
      <c r="N313" s="99"/>
      <c r="O313" s="99"/>
      <c r="P313" s="99"/>
      <c r="Q313" s="99"/>
      <c r="R313" s="99"/>
      <c r="S313" s="99"/>
    </row>
    <row r="314" spans="1:19" x14ac:dyDescent="0.2">
      <c r="A314" s="137"/>
      <c r="B314" s="137"/>
    </row>
    <row r="315" spans="1:19" x14ac:dyDescent="0.2">
      <c r="A315" s="137"/>
      <c r="B315" s="137"/>
    </row>
    <row r="316" spans="1:19" x14ac:dyDescent="0.2">
      <c r="A316" s="137"/>
      <c r="B316" s="137"/>
    </row>
    <row r="317" spans="1:19" x14ac:dyDescent="0.2">
      <c r="A317" s="137"/>
      <c r="B317" s="137"/>
    </row>
    <row r="318" spans="1:19" x14ac:dyDescent="0.2">
      <c r="A318" s="137"/>
      <c r="B318" s="137"/>
    </row>
    <row r="319" spans="1:19" x14ac:dyDescent="0.2">
      <c r="A319" s="137"/>
      <c r="B319" s="137"/>
    </row>
    <row r="320" spans="1:19" x14ac:dyDescent="0.2">
      <c r="A320" s="137"/>
      <c r="B320" s="137"/>
    </row>
    <row r="321" spans="1:2" x14ac:dyDescent="0.2">
      <c r="A321" s="137"/>
      <c r="B321" s="137"/>
    </row>
    <row r="322" spans="1:2" x14ac:dyDescent="0.2">
      <c r="A322" s="137"/>
      <c r="B322" s="137"/>
    </row>
    <row r="323" spans="1:2" x14ac:dyDescent="0.2">
      <c r="A323" s="137"/>
      <c r="B323" s="137"/>
    </row>
    <row r="324" spans="1:2" x14ac:dyDescent="0.2">
      <c r="A324" s="137"/>
      <c r="B324" s="137"/>
    </row>
    <row r="325" spans="1:2" x14ac:dyDescent="0.2">
      <c r="A325" s="137"/>
      <c r="B325" s="137"/>
    </row>
    <row r="326" spans="1:2" x14ac:dyDescent="0.2">
      <c r="A326" s="137"/>
      <c r="B326" s="137"/>
    </row>
    <row r="327" spans="1:2" x14ac:dyDescent="0.2">
      <c r="A327" s="137"/>
      <c r="B327" s="137"/>
    </row>
    <row r="328" spans="1:2" x14ac:dyDescent="0.2">
      <c r="A328" s="137"/>
      <c r="B328" s="137"/>
    </row>
    <row r="329" spans="1:2" x14ac:dyDescent="0.2">
      <c r="A329" s="137"/>
      <c r="B329" s="137"/>
    </row>
    <row r="330" spans="1:2" x14ac:dyDescent="0.2">
      <c r="A330" s="137"/>
      <c r="B330" s="137"/>
    </row>
    <row r="331" spans="1:2" x14ac:dyDescent="0.2">
      <c r="A331" s="137"/>
      <c r="B331" s="137"/>
    </row>
    <row r="332" spans="1:2" x14ac:dyDescent="0.2">
      <c r="A332" s="137"/>
      <c r="B332" s="137"/>
    </row>
    <row r="333" spans="1:2" x14ac:dyDescent="0.2">
      <c r="A333" s="137"/>
      <c r="B333" s="137"/>
    </row>
    <row r="334" spans="1:2" x14ac:dyDescent="0.2">
      <c r="A334" s="137"/>
      <c r="B334" s="137"/>
    </row>
    <row r="335" spans="1:2" x14ac:dyDescent="0.2">
      <c r="A335" s="137"/>
      <c r="B335" s="137"/>
    </row>
    <row r="336" spans="1:2" x14ac:dyDescent="0.2">
      <c r="A336" s="137"/>
      <c r="B336" s="137"/>
    </row>
    <row r="337" spans="1:2" x14ac:dyDescent="0.2">
      <c r="A337" s="137"/>
      <c r="B337" s="137"/>
    </row>
    <row r="338" spans="1:2" x14ac:dyDescent="0.2">
      <c r="A338" s="137"/>
      <c r="B338" s="137"/>
    </row>
    <row r="339" spans="1:2" x14ac:dyDescent="0.2">
      <c r="A339" s="137"/>
      <c r="B339" s="137"/>
    </row>
    <row r="340" spans="1:2" x14ac:dyDescent="0.2">
      <c r="A340" s="137"/>
      <c r="B340" s="137"/>
    </row>
    <row r="341" spans="1:2" x14ac:dyDescent="0.2">
      <c r="A341" s="137"/>
      <c r="B341" s="137"/>
    </row>
    <row r="342" spans="1:2" x14ac:dyDescent="0.2">
      <c r="A342" s="137"/>
      <c r="B342" s="137"/>
    </row>
    <row r="343" spans="1:2" x14ac:dyDescent="0.2">
      <c r="A343" s="137"/>
      <c r="B343" s="137"/>
    </row>
    <row r="344" spans="1:2" x14ac:dyDescent="0.2">
      <c r="A344" s="137"/>
      <c r="B344" s="137"/>
    </row>
    <row r="345" spans="1:2" x14ac:dyDescent="0.2">
      <c r="A345" s="137"/>
      <c r="B345" s="137"/>
    </row>
    <row r="346" spans="1:2" x14ac:dyDescent="0.2">
      <c r="A346" s="137"/>
      <c r="B346" s="137"/>
    </row>
    <row r="347" spans="1:2" x14ac:dyDescent="0.2">
      <c r="A347" s="137"/>
      <c r="B347" s="137"/>
    </row>
    <row r="348" spans="1:2" x14ac:dyDescent="0.2">
      <c r="A348" s="137"/>
      <c r="B348" s="137"/>
    </row>
    <row r="349" spans="1:2" x14ac:dyDescent="0.2">
      <c r="A349" s="137"/>
      <c r="B349" s="137"/>
    </row>
    <row r="350" spans="1:2" x14ac:dyDescent="0.2">
      <c r="A350" s="137"/>
      <c r="B350" s="137"/>
    </row>
    <row r="351" spans="1:2" x14ac:dyDescent="0.2">
      <c r="A351" s="137"/>
      <c r="B351" s="137"/>
    </row>
    <row r="352" spans="1:2" x14ac:dyDescent="0.2">
      <c r="A352" s="137"/>
      <c r="B352" s="137"/>
    </row>
    <row r="353" spans="1:2" x14ac:dyDescent="0.2">
      <c r="A353" s="137"/>
      <c r="B353" s="137"/>
    </row>
    <row r="354" spans="1:2" x14ac:dyDescent="0.2">
      <c r="A354" s="137"/>
      <c r="B354" s="137"/>
    </row>
    <row r="355" spans="1:2" x14ac:dyDescent="0.2">
      <c r="A355" s="137"/>
      <c r="B355" s="137"/>
    </row>
    <row r="356" spans="1:2" x14ac:dyDescent="0.2">
      <c r="A356" s="137"/>
      <c r="B356" s="137"/>
    </row>
    <row r="357" spans="1:2" x14ac:dyDescent="0.2">
      <c r="A357" s="137"/>
      <c r="B357" s="137"/>
    </row>
    <row r="358" spans="1:2" x14ac:dyDescent="0.2">
      <c r="A358" s="137"/>
      <c r="B358" s="137"/>
    </row>
    <row r="359" spans="1:2" x14ac:dyDescent="0.2">
      <c r="A359" s="137"/>
      <c r="B359" s="137"/>
    </row>
    <row r="360" spans="1:2" x14ac:dyDescent="0.2">
      <c r="A360" s="137"/>
      <c r="B360" s="137"/>
    </row>
    <row r="361" spans="1:2" x14ac:dyDescent="0.2">
      <c r="A361" s="137"/>
      <c r="B361" s="137"/>
    </row>
    <row r="362" spans="1:2" x14ac:dyDescent="0.2">
      <c r="A362" s="137"/>
      <c r="B362" s="137"/>
    </row>
    <row r="363" spans="1:2" x14ac:dyDescent="0.2">
      <c r="A363" s="137"/>
      <c r="B363" s="137"/>
    </row>
    <row r="364" spans="1:2" x14ac:dyDescent="0.2">
      <c r="A364" s="137"/>
      <c r="B364" s="137"/>
    </row>
    <row r="365" spans="1:2" x14ac:dyDescent="0.2">
      <c r="A365" s="137"/>
      <c r="B365" s="137"/>
    </row>
    <row r="366" spans="1:2" x14ac:dyDescent="0.2">
      <c r="A366" s="137"/>
      <c r="B366" s="137"/>
    </row>
    <row r="367" spans="1:2" x14ac:dyDescent="0.2">
      <c r="A367" s="137"/>
      <c r="B367" s="137"/>
    </row>
    <row r="368" spans="1:2" x14ac:dyDescent="0.2">
      <c r="A368" s="137"/>
      <c r="B368" s="137"/>
    </row>
    <row r="369" spans="1:2" x14ac:dyDescent="0.2">
      <c r="A369" s="137"/>
      <c r="B369" s="137"/>
    </row>
    <row r="370" spans="1:2" x14ac:dyDescent="0.2">
      <c r="A370" s="137"/>
      <c r="B370" s="137"/>
    </row>
    <row r="371" spans="1:2" x14ac:dyDescent="0.2">
      <c r="A371" s="137"/>
      <c r="B371" s="137"/>
    </row>
    <row r="372" spans="1:2" x14ac:dyDescent="0.2">
      <c r="A372" s="137"/>
      <c r="B372" s="137"/>
    </row>
    <row r="373" spans="1:2" x14ac:dyDescent="0.2">
      <c r="A373" s="137"/>
      <c r="B373" s="137"/>
    </row>
    <row r="374" spans="1:2" x14ac:dyDescent="0.2">
      <c r="A374" s="137"/>
      <c r="B374" s="137"/>
    </row>
    <row r="375" spans="1:2" x14ac:dyDescent="0.2">
      <c r="A375" s="137"/>
      <c r="B375" s="137"/>
    </row>
    <row r="376" spans="1:2" x14ac:dyDescent="0.2">
      <c r="A376" s="137"/>
      <c r="B376" s="137"/>
    </row>
    <row r="377" spans="1:2" x14ac:dyDescent="0.2">
      <c r="A377" s="137"/>
      <c r="B377" s="137"/>
    </row>
    <row r="378" spans="1:2" x14ac:dyDescent="0.2">
      <c r="A378" s="137"/>
      <c r="B378" s="137"/>
    </row>
    <row r="379" spans="1:2" x14ac:dyDescent="0.2">
      <c r="A379" s="137"/>
      <c r="B379" s="137"/>
    </row>
    <row r="380" spans="1:2" x14ac:dyDescent="0.2">
      <c r="A380" s="137"/>
      <c r="B380" s="137"/>
    </row>
    <row r="381" spans="1:2" x14ac:dyDescent="0.2">
      <c r="A381" s="137"/>
      <c r="B381" s="137"/>
    </row>
    <row r="382" spans="1:2" x14ac:dyDescent="0.2">
      <c r="A382" s="137"/>
      <c r="B382" s="137"/>
    </row>
    <row r="383" spans="1:2" x14ac:dyDescent="0.2">
      <c r="A383" s="137"/>
      <c r="B383" s="137"/>
    </row>
    <row r="384" spans="1:2" x14ac:dyDescent="0.2">
      <c r="A384" s="137"/>
      <c r="B384" s="137"/>
    </row>
    <row r="385" spans="1:2" x14ac:dyDescent="0.2">
      <c r="A385" s="137"/>
      <c r="B385" s="137"/>
    </row>
    <row r="386" spans="1:2" x14ac:dyDescent="0.2">
      <c r="A386" s="137"/>
      <c r="B386" s="137"/>
    </row>
    <row r="387" spans="1:2" x14ac:dyDescent="0.2">
      <c r="A387" s="137"/>
      <c r="B387" s="137"/>
    </row>
    <row r="388" spans="1:2" x14ac:dyDescent="0.2">
      <c r="A388" s="137"/>
      <c r="B388" s="137"/>
    </row>
    <row r="389" spans="1:2" x14ac:dyDescent="0.2">
      <c r="A389" s="137"/>
      <c r="B389" s="137"/>
    </row>
    <row r="390" spans="1:2" x14ac:dyDescent="0.2">
      <c r="A390" s="137"/>
      <c r="B390" s="137"/>
    </row>
    <row r="391" spans="1:2" x14ac:dyDescent="0.2">
      <c r="A391" s="137"/>
      <c r="B391" s="137"/>
    </row>
    <row r="392" spans="1:2" x14ac:dyDescent="0.2">
      <c r="A392" s="137"/>
      <c r="B392" s="137"/>
    </row>
    <row r="393" spans="1:2" x14ac:dyDescent="0.2">
      <c r="A393" s="137"/>
      <c r="B393" s="137"/>
    </row>
    <row r="394" spans="1:2" x14ac:dyDescent="0.2">
      <c r="A394" s="137"/>
      <c r="B394" s="137"/>
    </row>
    <row r="395" spans="1:2" x14ac:dyDescent="0.2">
      <c r="A395" s="137"/>
      <c r="B395" s="137"/>
    </row>
    <row r="396" spans="1:2" x14ac:dyDescent="0.2">
      <c r="A396" s="137"/>
      <c r="B396" s="137"/>
    </row>
    <row r="397" spans="1:2" x14ac:dyDescent="0.2">
      <c r="A397" s="137"/>
      <c r="B397" s="137"/>
    </row>
    <row r="398" spans="1:2" x14ac:dyDescent="0.2">
      <c r="A398" s="137"/>
      <c r="B398" s="137"/>
    </row>
    <row r="399" spans="1:2" x14ac:dyDescent="0.2">
      <c r="A399" s="137"/>
      <c r="B399" s="137"/>
    </row>
    <row r="400" spans="1:2" x14ac:dyDescent="0.2">
      <c r="A400" s="137"/>
      <c r="B400" s="137"/>
    </row>
    <row r="401" spans="1:2" x14ac:dyDescent="0.2">
      <c r="A401" s="137"/>
      <c r="B401" s="137"/>
    </row>
    <row r="402" spans="1:2" x14ac:dyDescent="0.2">
      <c r="A402" s="137"/>
      <c r="B402" s="137"/>
    </row>
    <row r="403" spans="1:2" x14ac:dyDescent="0.2">
      <c r="A403" s="137"/>
      <c r="B403" s="137"/>
    </row>
    <row r="404" spans="1:2" x14ac:dyDescent="0.2">
      <c r="A404" s="137"/>
      <c r="B404" s="137"/>
    </row>
    <row r="405" spans="1:2" x14ac:dyDescent="0.2">
      <c r="A405" s="137"/>
      <c r="B405" s="137"/>
    </row>
    <row r="406" spans="1:2" x14ac:dyDescent="0.2">
      <c r="A406" s="137"/>
      <c r="B406" s="137"/>
    </row>
    <row r="407" spans="1:2" x14ac:dyDescent="0.2">
      <c r="A407" s="137"/>
      <c r="B407" s="137"/>
    </row>
    <row r="408" spans="1:2" x14ac:dyDescent="0.2">
      <c r="A408" s="137"/>
      <c r="B408" s="137"/>
    </row>
    <row r="409" spans="1:2" x14ac:dyDescent="0.2">
      <c r="A409" s="137"/>
      <c r="B409" s="137"/>
    </row>
    <row r="410" spans="1:2" x14ac:dyDescent="0.2">
      <c r="A410" s="137"/>
      <c r="B410" s="137"/>
    </row>
    <row r="411" spans="1:2" x14ac:dyDescent="0.2">
      <c r="A411" s="137"/>
      <c r="B411" s="137"/>
    </row>
    <row r="412" spans="1:2" x14ac:dyDescent="0.2">
      <c r="A412" s="137"/>
      <c r="B412" s="137"/>
    </row>
    <row r="413" spans="1:2" x14ac:dyDescent="0.2">
      <c r="A413" s="137"/>
      <c r="B413" s="137"/>
    </row>
    <row r="414" spans="1:2" x14ac:dyDescent="0.2">
      <c r="A414" s="137"/>
      <c r="B414" s="137"/>
    </row>
    <row r="415" spans="1:2" x14ac:dyDescent="0.2">
      <c r="A415" s="137"/>
      <c r="B415" s="137"/>
    </row>
    <row r="416" spans="1:2" x14ac:dyDescent="0.2">
      <c r="A416" s="137"/>
      <c r="B416" s="137"/>
    </row>
    <row r="417" spans="1:2" x14ac:dyDescent="0.2">
      <c r="A417" s="137"/>
      <c r="B417" s="137"/>
    </row>
    <row r="418" spans="1:2" x14ac:dyDescent="0.2">
      <c r="A418" s="137"/>
      <c r="B418" s="137"/>
    </row>
    <row r="419" spans="1:2" x14ac:dyDescent="0.2">
      <c r="A419" s="137"/>
      <c r="B419" s="137"/>
    </row>
    <row r="420" spans="1:2" x14ac:dyDescent="0.2">
      <c r="A420" s="137"/>
      <c r="B420" s="137"/>
    </row>
    <row r="421" spans="1:2" x14ac:dyDescent="0.2">
      <c r="A421" s="137"/>
      <c r="B421" s="137"/>
    </row>
    <row r="422" spans="1:2" x14ac:dyDescent="0.2">
      <c r="A422" s="137"/>
      <c r="B422" s="137"/>
    </row>
    <row r="423" spans="1:2" x14ac:dyDescent="0.2">
      <c r="A423" s="137"/>
      <c r="B423" s="137"/>
    </row>
    <row r="424" spans="1:2" x14ac:dyDescent="0.2">
      <c r="A424" s="137"/>
      <c r="B424" s="137"/>
    </row>
    <row r="425" spans="1:2" x14ac:dyDescent="0.2">
      <c r="A425" s="137"/>
      <c r="B425" s="137"/>
    </row>
    <row r="426" spans="1:2" x14ac:dyDescent="0.2">
      <c r="A426" s="137"/>
      <c r="B426" s="137"/>
    </row>
    <row r="427" spans="1:2" x14ac:dyDescent="0.2">
      <c r="A427" s="137"/>
      <c r="B427" s="137"/>
    </row>
    <row r="428" spans="1:2" x14ac:dyDescent="0.2">
      <c r="A428" s="137"/>
      <c r="B428" s="137"/>
    </row>
    <row r="429" spans="1:2" x14ac:dyDescent="0.2">
      <c r="A429" s="137"/>
      <c r="B429" s="137"/>
    </row>
    <row r="430" spans="1:2" x14ac:dyDescent="0.2">
      <c r="A430" s="137"/>
      <c r="B430" s="137"/>
    </row>
    <row r="431" spans="1:2" x14ac:dyDescent="0.2">
      <c r="A431" s="137"/>
      <c r="B431" s="137"/>
    </row>
    <row r="432" spans="1:2" x14ac:dyDescent="0.2">
      <c r="A432" s="137"/>
      <c r="B432" s="137"/>
    </row>
    <row r="433" spans="1:2" x14ac:dyDescent="0.2">
      <c r="A433" s="137"/>
      <c r="B433" s="137"/>
    </row>
    <row r="434" spans="1:2" x14ac:dyDescent="0.2">
      <c r="A434" s="137"/>
      <c r="B434" s="137"/>
    </row>
    <row r="435" spans="1:2" x14ac:dyDescent="0.2">
      <c r="A435" s="137"/>
      <c r="B435" s="137"/>
    </row>
    <row r="436" spans="1:2" x14ac:dyDescent="0.2">
      <c r="A436" s="137"/>
      <c r="B436" s="137"/>
    </row>
    <row r="437" spans="1:2" x14ac:dyDescent="0.2">
      <c r="A437" s="137"/>
      <c r="B437" s="137"/>
    </row>
    <row r="438" spans="1:2" x14ac:dyDescent="0.2">
      <c r="A438" s="137"/>
      <c r="B438" s="137"/>
    </row>
    <row r="439" spans="1:2" x14ac:dyDescent="0.2">
      <c r="A439" s="137"/>
      <c r="B439" s="137"/>
    </row>
    <row r="440" spans="1:2" x14ac:dyDescent="0.2">
      <c r="A440" s="137"/>
      <c r="B440" s="137"/>
    </row>
    <row r="441" spans="1:2" x14ac:dyDescent="0.2">
      <c r="A441" s="137"/>
      <c r="B441" s="137"/>
    </row>
    <row r="442" spans="1:2" x14ac:dyDescent="0.2">
      <c r="A442" s="137"/>
      <c r="B442" s="137"/>
    </row>
    <row r="443" spans="1:2" x14ac:dyDescent="0.2">
      <c r="A443" s="137"/>
      <c r="B443" s="137"/>
    </row>
    <row r="444" spans="1:2" x14ac:dyDescent="0.2">
      <c r="A444" s="137"/>
      <c r="B444" s="137"/>
    </row>
    <row r="445" spans="1:2" x14ac:dyDescent="0.2">
      <c r="A445" s="137"/>
      <c r="B445" s="137"/>
    </row>
    <row r="446" spans="1:2" x14ac:dyDescent="0.2">
      <c r="A446" s="137"/>
      <c r="B446" s="137"/>
    </row>
    <row r="447" spans="1:2" x14ac:dyDescent="0.2">
      <c r="A447" s="137"/>
      <c r="B447" s="137"/>
    </row>
    <row r="448" spans="1:2" x14ac:dyDescent="0.2">
      <c r="A448" s="137"/>
      <c r="B448" s="137"/>
    </row>
    <row r="449" spans="1:2" x14ac:dyDescent="0.2">
      <c r="A449" s="137"/>
      <c r="B449" s="137"/>
    </row>
    <row r="450" spans="1:2" x14ac:dyDescent="0.2">
      <c r="A450" s="137"/>
      <c r="B450" s="137"/>
    </row>
    <row r="451" spans="1:2" x14ac:dyDescent="0.2">
      <c r="A451" s="137"/>
      <c r="B451" s="137"/>
    </row>
    <row r="452" spans="1:2" x14ac:dyDescent="0.2">
      <c r="A452" s="137"/>
      <c r="B452" s="137"/>
    </row>
    <row r="453" spans="1:2" x14ac:dyDescent="0.2">
      <c r="A453" s="137"/>
      <c r="B453" s="137"/>
    </row>
    <row r="454" spans="1:2" x14ac:dyDescent="0.2">
      <c r="A454" s="137"/>
      <c r="B454" s="137"/>
    </row>
    <row r="455" spans="1:2" x14ac:dyDescent="0.2">
      <c r="A455" s="137"/>
      <c r="B455" s="137"/>
    </row>
    <row r="456" spans="1:2" x14ac:dyDescent="0.2">
      <c r="A456" s="137"/>
      <c r="B456" s="137"/>
    </row>
    <row r="457" spans="1:2" x14ac:dyDescent="0.2">
      <c r="A457" s="137"/>
      <c r="B457" s="137"/>
    </row>
    <row r="458" spans="1:2" x14ac:dyDescent="0.2">
      <c r="A458" s="137"/>
      <c r="B458" s="137"/>
    </row>
    <row r="459" spans="1:2" x14ac:dyDescent="0.2">
      <c r="A459" s="137"/>
      <c r="B459" s="137"/>
    </row>
    <row r="460" spans="1:2" x14ac:dyDescent="0.2">
      <c r="A460" s="137"/>
      <c r="B460" s="137"/>
    </row>
    <row r="461" spans="1:2" x14ac:dyDescent="0.2">
      <c r="A461" s="137"/>
      <c r="B461" s="137"/>
    </row>
    <row r="462" spans="1:2" x14ac:dyDescent="0.2">
      <c r="A462" s="137"/>
      <c r="B462" s="137"/>
    </row>
    <row r="463" spans="1:2" x14ac:dyDescent="0.2">
      <c r="A463" s="137"/>
      <c r="B463" s="137"/>
    </row>
    <row r="464" spans="1:2" x14ac:dyDescent="0.2">
      <c r="A464" s="137"/>
      <c r="B464" s="137"/>
    </row>
    <row r="465" spans="1:2" x14ac:dyDescent="0.2">
      <c r="A465" s="137"/>
      <c r="B465" s="137"/>
    </row>
    <row r="466" spans="1:2" x14ac:dyDescent="0.2">
      <c r="A466" s="137"/>
      <c r="B466" s="137"/>
    </row>
    <row r="467" spans="1:2" x14ac:dyDescent="0.2">
      <c r="A467" s="137"/>
      <c r="B467" s="137"/>
    </row>
    <row r="468" spans="1:2" x14ac:dyDescent="0.2">
      <c r="A468" s="137"/>
      <c r="B468" s="137"/>
    </row>
    <row r="469" spans="1:2" x14ac:dyDescent="0.2">
      <c r="A469" s="137"/>
      <c r="B469" s="137"/>
    </row>
    <row r="470" spans="1:2" x14ac:dyDescent="0.2">
      <c r="A470" s="137"/>
      <c r="B470" s="137"/>
    </row>
    <row r="471" spans="1:2" x14ac:dyDescent="0.2">
      <c r="A471" s="137"/>
      <c r="B471" s="137"/>
    </row>
    <row r="472" spans="1:2" x14ac:dyDescent="0.2">
      <c r="A472" s="137"/>
      <c r="B472" s="137"/>
    </row>
    <row r="473" spans="1:2" x14ac:dyDescent="0.2">
      <c r="A473" s="137"/>
      <c r="B473" s="137"/>
    </row>
    <row r="474" spans="1:2" x14ac:dyDescent="0.2">
      <c r="A474" s="137"/>
      <c r="B474" s="137"/>
    </row>
    <row r="475" spans="1:2" x14ac:dyDescent="0.2">
      <c r="A475" s="137"/>
      <c r="B475" s="137"/>
    </row>
    <row r="476" spans="1:2" x14ac:dyDescent="0.2">
      <c r="A476" s="137"/>
      <c r="B476" s="137"/>
    </row>
    <row r="477" spans="1:2" x14ac:dyDescent="0.2">
      <c r="A477" s="137"/>
      <c r="B477" s="137"/>
    </row>
    <row r="478" spans="1:2" x14ac:dyDescent="0.2">
      <c r="A478" s="137"/>
      <c r="B478" s="137"/>
    </row>
    <row r="479" spans="1:2" x14ac:dyDescent="0.2">
      <c r="A479" s="137"/>
      <c r="B479" s="137"/>
    </row>
    <row r="480" spans="1:2" x14ac:dyDescent="0.2">
      <c r="A480" s="137"/>
      <c r="B480" s="137"/>
    </row>
    <row r="481" spans="1:2" x14ac:dyDescent="0.2">
      <c r="A481" s="137"/>
      <c r="B481" s="137"/>
    </row>
    <row r="482" spans="1:2" x14ac:dyDescent="0.2">
      <c r="A482" s="137"/>
      <c r="B482" s="137"/>
    </row>
    <row r="483" spans="1:2" x14ac:dyDescent="0.2">
      <c r="A483" s="137"/>
      <c r="B483" s="137"/>
    </row>
    <row r="484" spans="1:2" x14ac:dyDescent="0.2">
      <c r="A484" s="137"/>
      <c r="B484" s="137"/>
    </row>
    <row r="485" spans="1:2" x14ac:dyDescent="0.2">
      <c r="A485" s="137"/>
      <c r="B485" s="137"/>
    </row>
    <row r="486" spans="1:2" x14ac:dyDescent="0.2">
      <c r="A486" s="137"/>
      <c r="B486" s="137"/>
    </row>
    <row r="487" spans="1:2" x14ac:dyDescent="0.2">
      <c r="A487" s="137"/>
      <c r="B487" s="137"/>
    </row>
    <row r="488" spans="1:2" x14ac:dyDescent="0.2">
      <c r="A488" s="137"/>
      <c r="B488" s="137"/>
    </row>
    <row r="489" spans="1:2" x14ac:dyDescent="0.2">
      <c r="A489" s="137"/>
      <c r="B489" s="137"/>
    </row>
    <row r="490" spans="1:2" x14ac:dyDescent="0.2">
      <c r="A490" s="137"/>
      <c r="B490" s="137"/>
    </row>
    <row r="491" spans="1:2" x14ac:dyDescent="0.2">
      <c r="A491" s="137"/>
      <c r="B491" s="137"/>
    </row>
    <row r="492" spans="1:2" x14ac:dyDescent="0.2">
      <c r="A492" s="137"/>
      <c r="B492" s="137"/>
    </row>
    <row r="493" spans="1:2" x14ac:dyDescent="0.2">
      <c r="A493" s="137"/>
      <c r="B493" s="137"/>
    </row>
    <row r="494" spans="1:2" x14ac:dyDescent="0.2">
      <c r="A494" s="137"/>
      <c r="B494" s="137"/>
    </row>
    <row r="495" spans="1:2" x14ac:dyDescent="0.2">
      <c r="A495" s="137"/>
      <c r="B495" s="137"/>
    </row>
    <row r="496" spans="1:2" x14ac:dyDescent="0.2">
      <c r="A496" s="137"/>
      <c r="B496" s="137"/>
    </row>
    <row r="497" spans="1:2" x14ac:dyDescent="0.2">
      <c r="A497" s="137"/>
      <c r="B497" s="137"/>
    </row>
    <row r="498" spans="1:2" x14ac:dyDescent="0.2">
      <c r="A498" s="137"/>
      <c r="B498" s="137"/>
    </row>
    <row r="499" spans="1:2" x14ac:dyDescent="0.2">
      <c r="A499" s="137"/>
      <c r="B499" s="137"/>
    </row>
    <row r="500" spans="1:2" x14ac:dyDescent="0.2">
      <c r="A500" s="137"/>
      <c r="B500" s="137"/>
    </row>
    <row r="501" spans="1:2" x14ac:dyDescent="0.2">
      <c r="A501" s="137"/>
      <c r="B501" s="137"/>
    </row>
    <row r="502" spans="1:2" x14ac:dyDescent="0.2">
      <c r="A502" s="137"/>
      <c r="B502" s="137"/>
    </row>
    <row r="503" spans="1:2" x14ac:dyDescent="0.2">
      <c r="A503" s="137"/>
      <c r="B503" s="137"/>
    </row>
    <row r="504" spans="1:2" x14ac:dyDescent="0.2">
      <c r="A504" s="137"/>
      <c r="B504" s="137"/>
    </row>
    <row r="505" spans="1:2" x14ac:dyDescent="0.2">
      <c r="A505" s="137"/>
      <c r="B505" s="137"/>
    </row>
    <row r="506" spans="1:2" x14ac:dyDescent="0.2">
      <c r="A506" s="137"/>
      <c r="B506" s="137"/>
    </row>
    <row r="507" spans="1:2" x14ac:dyDescent="0.2">
      <c r="A507" s="137"/>
      <c r="B507" s="137"/>
    </row>
    <row r="508" spans="1:2" x14ac:dyDescent="0.2">
      <c r="A508" s="137"/>
      <c r="B508" s="137"/>
    </row>
    <row r="509" spans="1:2" x14ac:dyDescent="0.2">
      <c r="A509" s="137"/>
      <c r="B509" s="137"/>
    </row>
    <row r="510" spans="1:2" x14ac:dyDescent="0.2">
      <c r="A510" s="137"/>
      <c r="B510" s="137"/>
    </row>
    <row r="511" spans="1:2" x14ac:dyDescent="0.2">
      <c r="A511" s="137"/>
      <c r="B511" s="137"/>
    </row>
    <row r="512" spans="1:2" x14ac:dyDescent="0.2">
      <c r="A512" s="137"/>
      <c r="B512" s="137"/>
    </row>
    <row r="513" spans="1:2" x14ac:dyDescent="0.2">
      <c r="A513" s="137"/>
      <c r="B513" s="137"/>
    </row>
    <row r="514" spans="1:2" x14ac:dyDescent="0.2">
      <c r="A514" s="137"/>
      <c r="B514" s="137"/>
    </row>
    <row r="515" spans="1:2" x14ac:dyDescent="0.2">
      <c r="A515" s="137"/>
      <c r="B515" s="137"/>
    </row>
    <row r="516" spans="1:2" x14ac:dyDescent="0.2">
      <c r="A516" s="137"/>
      <c r="B516" s="137"/>
    </row>
    <row r="517" spans="1:2" x14ac:dyDescent="0.2">
      <c r="A517" s="137"/>
      <c r="B517" s="137"/>
    </row>
    <row r="518" spans="1:2" x14ac:dyDescent="0.2">
      <c r="A518" s="137"/>
      <c r="B518" s="137"/>
    </row>
    <row r="519" spans="1:2" x14ac:dyDescent="0.2">
      <c r="A519" s="137"/>
      <c r="B519" s="137"/>
    </row>
    <row r="520" spans="1:2" x14ac:dyDescent="0.2">
      <c r="A520" s="137"/>
      <c r="B520" s="137"/>
    </row>
    <row r="521" spans="1:2" x14ac:dyDescent="0.2">
      <c r="A521" s="137"/>
      <c r="B521" s="137"/>
    </row>
    <row r="522" spans="1:2" x14ac:dyDescent="0.2">
      <c r="A522" s="137"/>
      <c r="B522" s="137"/>
    </row>
    <row r="523" spans="1:2" x14ac:dyDescent="0.2">
      <c r="A523" s="137"/>
      <c r="B523" s="137"/>
    </row>
    <row r="524" spans="1:2" x14ac:dyDescent="0.2">
      <c r="A524" s="137"/>
      <c r="B524" s="137"/>
    </row>
    <row r="525" spans="1:2" x14ac:dyDescent="0.2">
      <c r="A525" s="137"/>
      <c r="B525" s="137"/>
    </row>
    <row r="526" spans="1:2" x14ac:dyDescent="0.2">
      <c r="A526" s="137"/>
      <c r="B526" s="137"/>
    </row>
    <row r="527" spans="1:2" x14ac:dyDescent="0.2">
      <c r="A527" s="137"/>
      <c r="B527" s="137"/>
    </row>
    <row r="528" spans="1:2" x14ac:dyDescent="0.2">
      <c r="A528" s="137"/>
      <c r="B528" s="137"/>
    </row>
    <row r="529" spans="1:2" x14ac:dyDescent="0.2">
      <c r="A529" s="137"/>
      <c r="B529" s="137"/>
    </row>
    <row r="530" spans="1:2" x14ac:dyDescent="0.2">
      <c r="A530" s="137"/>
      <c r="B530" s="137"/>
    </row>
    <row r="531" spans="1:2" x14ac:dyDescent="0.2">
      <c r="A531" s="137"/>
      <c r="B531" s="137"/>
    </row>
    <row r="532" spans="1:2" x14ac:dyDescent="0.2">
      <c r="A532" s="137"/>
      <c r="B532" s="137"/>
    </row>
    <row r="533" spans="1:2" x14ac:dyDescent="0.2">
      <c r="A533" s="137"/>
      <c r="B533" s="137"/>
    </row>
    <row r="534" spans="1:2" x14ac:dyDescent="0.2">
      <c r="A534" s="137"/>
      <c r="B534" s="137"/>
    </row>
    <row r="535" spans="1:2" x14ac:dyDescent="0.2">
      <c r="A535" s="137"/>
      <c r="B535" s="137"/>
    </row>
    <row r="536" spans="1:2" x14ac:dyDescent="0.2">
      <c r="A536" s="137"/>
      <c r="B536" s="137"/>
    </row>
    <row r="537" spans="1:2" x14ac:dyDescent="0.2">
      <c r="A537" s="137"/>
      <c r="B537" s="137"/>
    </row>
    <row r="538" spans="1:2" x14ac:dyDescent="0.2">
      <c r="A538" s="137"/>
      <c r="B538" s="137"/>
    </row>
    <row r="539" spans="1:2" x14ac:dyDescent="0.2">
      <c r="A539" s="137"/>
      <c r="B539" s="137"/>
    </row>
    <row r="540" spans="1:2" x14ac:dyDescent="0.2">
      <c r="A540" s="137"/>
      <c r="B540" s="137"/>
    </row>
    <row r="541" spans="1:2" x14ac:dyDescent="0.2">
      <c r="A541" s="137"/>
      <c r="B541" s="137"/>
    </row>
    <row r="542" spans="1:2" x14ac:dyDescent="0.2">
      <c r="A542" s="137"/>
      <c r="B542" s="137"/>
    </row>
    <row r="543" spans="1:2" x14ac:dyDescent="0.2">
      <c r="A543" s="137"/>
      <c r="B543" s="137"/>
    </row>
    <row r="544" spans="1:2" x14ac:dyDescent="0.2">
      <c r="A544" s="137"/>
      <c r="B544" s="137"/>
    </row>
    <row r="545" spans="1:2" x14ac:dyDescent="0.2">
      <c r="A545" s="137"/>
      <c r="B545" s="137"/>
    </row>
    <row r="546" spans="1:2" x14ac:dyDescent="0.2">
      <c r="A546" s="137"/>
      <c r="B546" s="137"/>
    </row>
    <row r="547" spans="1:2" x14ac:dyDescent="0.2">
      <c r="A547" s="137"/>
      <c r="B547" s="137"/>
    </row>
    <row r="548" spans="1:2" x14ac:dyDescent="0.2">
      <c r="A548" s="137"/>
      <c r="B548" s="137"/>
    </row>
    <row r="549" spans="1:2" x14ac:dyDescent="0.2">
      <c r="A549" s="137"/>
      <c r="B549" s="137"/>
    </row>
    <row r="550" spans="1:2" x14ac:dyDescent="0.2">
      <c r="A550" s="137"/>
      <c r="B550" s="137"/>
    </row>
    <row r="551" spans="1:2" x14ac:dyDescent="0.2">
      <c r="A551" s="137"/>
      <c r="B551" s="137"/>
    </row>
    <row r="552" spans="1:2" x14ac:dyDescent="0.2">
      <c r="A552" s="137"/>
      <c r="B552" s="137"/>
    </row>
    <row r="553" spans="1:2" x14ac:dyDescent="0.2">
      <c r="A553" s="137"/>
      <c r="B553" s="137"/>
    </row>
    <row r="554" spans="1:2" x14ac:dyDescent="0.2">
      <c r="A554" s="137"/>
      <c r="B554" s="137"/>
    </row>
    <row r="555" spans="1:2" x14ac:dyDescent="0.2">
      <c r="A555" s="137"/>
      <c r="B555" s="137"/>
    </row>
    <row r="556" spans="1:2" x14ac:dyDescent="0.2">
      <c r="A556" s="137"/>
      <c r="B556" s="137"/>
    </row>
    <row r="557" spans="1:2" x14ac:dyDescent="0.2">
      <c r="A557" s="137"/>
      <c r="B557" s="137"/>
    </row>
    <row r="558" spans="1:2" x14ac:dyDescent="0.2">
      <c r="A558" s="137"/>
      <c r="B558" s="137"/>
    </row>
    <row r="559" spans="1:2" x14ac:dyDescent="0.2">
      <c r="A559" s="137"/>
      <c r="B559" s="137"/>
    </row>
    <row r="560" spans="1:2" x14ac:dyDescent="0.2">
      <c r="A560" s="137"/>
      <c r="B560" s="137"/>
    </row>
    <row r="561" spans="1:2" x14ac:dyDescent="0.2">
      <c r="A561" s="137"/>
      <c r="B561" s="137"/>
    </row>
    <row r="562" spans="1:2" x14ac:dyDescent="0.2">
      <c r="A562" s="137"/>
      <c r="B562" s="137"/>
    </row>
    <row r="563" spans="1:2" x14ac:dyDescent="0.2">
      <c r="A563" s="137"/>
      <c r="B563" s="137"/>
    </row>
    <row r="564" spans="1:2" x14ac:dyDescent="0.2">
      <c r="A564" s="137"/>
      <c r="B564" s="137"/>
    </row>
    <row r="565" spans="1:2" x14ac:dyDescent="0.2">
      <c r="A565" s="137"/>
      <c r="B565" s="137"/>
    </row>
    <row r="566" spans="1:2" x14ac:dyDescent="0.2">
      <c r="A566" s="137"/>
      <c r="B566" s="137"/>
    </row>
    <row r="567" spans="1:2" x14ac:dyDescent="0.2">
      <c r="A567" s="137"/>
      <c r="B567" s="137"/>
    </row>
    <row r="568" spans="1:2" x14ac:dyDescent="0.2">
      <c r="A568" s="137"/>
      <c r="B568" s="137"/>
    </row>
    <row r="569" spans="1:2" x14ac:dyDescent="0.2">
      <c r="A569" s="137"/>
      <c r="B569" s="137"/>
    </row>
    <row r="570" spans="1:2" x14ac:dyDescent="0.2">
      <c r="A570" s="137"/>
      <c r="B570" s="137"/>
    </row>
    <row r="571" spans="1:2" x14ac:dyDescent="0.2">
      <c r="A571" s="137"/>
      <c r="B571" s="137"/>
    </row>
    <row r="572" spans="1:2" x14ac:dyDescent="0.2">
      <c r="A572" s="137"/>
      <c r="B572" s="137"/>
    </row>
    <row r="573" spans="1:2" x14ac:dyDescent="0.2">
      <c r="A573" s="137"/>
      <c r="B573" s="137"/>
    </row>
    <row r="574" spans="1:2" x14ac:dyDescent="0.2">
      <c r="A574" s="137"/>
      <c r="B574" s="137"/>
    </row>
    <row r="575" spans="1:2" x14ac:dyDescent="0.2">
      <c r="A575" s="137"/>
      <c r="B575" s="137"/>
    </row>
    <row r="576" spans="1:2" x14ac:dyDescent="0.2">
      <c r="A576" s="137"/>
      <c r="B576" s="137"/>
    </row>
    <row r="577" spans="1:2" x14ac:dyDescent="0.2">
      <c r="A577" s="137"/>
      <c r="B577" s="137"/>
    </row>
    <row r="578" spans="1:2" x14ac:dyDescent="0.2">
      <c r="A578" s="137"/>
      <c r="B578" s="137"/>
    </row>
    <row r="579" spans="1:2" x14ac:dyDescent="0.2">
      <c r="A579" s="137"/>
      <c r="B579" s="137"/>
    </row>
    <row r="580" spans="1:2" x14ac:dyDescent="0.2">
      <c r="A580" s="137"/>
      <c r="B580" s="137"/>
    </row>
    <row r="581" spans="1:2" x14ac:dyDescent="0.2">
      <c r="A581" s="137"/>
      <c r="B581" s="137"/>
    </row>
    <row r="582" spans="1:2" x14ac:dyDescent="0.2">
      <c r="A582" s="137"/>
      <c r="B582" s="137"/>
    </row>
    <row r="583" spans="1:2" x14ac:dyDescent="0.2">
      <c r="A583" s="137"/>
      <c r="B583" s="137"/>
    </row>
    <row r="584" spans="1:2" x14ac:dyDescent="0.2">
      <c r="A584" s="137"/>
      <c r="B584" s="137"/>
    </row>
    <row r="585" spans="1:2" x14ac:dyDescent="0.2">
      <c r="A585" s="137"/>
      <c r="B585" s="137"/>
    </row>
    <row r="586" spans="1:2" x14ac:dyDescent="0.2">
      <c r="A586" s="137"/>
      <c r="B586" s="137"/>
    </row>
    <row r="587" spans="1:2" x14ac:dyDescent="0.2">
      <c r="A587" s="137"/>
      <c r="B587" s="137"/>
    </row>
    <row r="588" spans="1:2" x14ac:dyDescent="0.2">
      <c r="A588" s="137"/>
      <c r="B588" s="137"/>
    </row>
    <row r="589" spans="1:2" x14ac:dyDescent="0.2">
      <c r="A589" s="137"/>
      <c r="B589" s="137"/>
    </row>
    <row r="590" spans="1:2" x14ac:dyDescent="0.2">
      <c r="A590" s="137"/>
      <c r="B590" s="137"/>
    </row>
    <row r="591" spans="1:2" x14ac:dyDescent="0.2">
      <c r="A591" s="137"/>
      <c r="B591" s="137"/>
    </row>
    <row r="592" spans="1:2" x14ac:dyDescent="0.2">
      <c r="A592" s="137"/>
      <c r="B592" s="137"/>
    </row>
    <row r="593" spans="1:2" x14ac:dyDescent="0.2">
      <c r="A593" s="137"/>
      <c r="B593" s="137"/>
    </row>
    <row r="594" spans="1:2" x14ac:dyDescent="0.2">
      <c r="A594" s="137"/>
      <c r="B594" s="137"/>
    </row>
    <row r="595" spans="1:2" x14ac:dyDescent="0.2">
      <c r="A595" s="137"/>
      <c r="B595" s="137"/>
    </row>
    <row r="596" spans="1:2" x14ac:dyDescent="0.2">
      <c r="A596" s="137"/>
      <c r="B596" s="137"/>
    </row>
    <row r="597" spans="1:2" x14ac:dyDescent="0.2">
      <c r="A597" s="137"/>
      <c r="B597" s="137"/>
    </row>
    <row r="598" spans="1:2" x14ac:dyDescent="0.2">
      <c r="A598" s="137"/>
      <c r="B598" s="137"/>
    </row>
    <row r="599" spans="1:2" x14ac:dyDescent="0.2">
      <c r="A599" s="137"/>
      <c r="B599" s="137"/>
    </row>
    <row r="600" spans="1:2" x14ac:dyDescent="0.2">
      <c r="A600" s="137"/>
      <c r="B600" s="137"/>
    </row>
    <row r="601" spans="1:2" x14ac:dyDescent="0.2">
      <c r="A601" s="137"/>
      <c r="B601" s="137"/>
    </row>
    <row r="602" spans="1:2" x14ac:dyDescent="0.2">
      <c r="A602" s="137"/>
      <c r="B602" s="137"/>
    </row>
    <row r="603" spans="1:2" x14ac:dyDescent="0.2">
      <c r="A603" s="137"/>
      <c r="B603" s="137"/>
    </row>
    <row r="604" spans="1:2" x14ac:dyDescent="0.2">
      <c r="A604" s="137"/>
      <c r="B604" s="137"/>
    </row>
    <row r="605" spans="1:2" x14ac:dyDescent="0.2">
      <c r="A605" s="137"/>
      <c r="B605" s="137"/>
    </row>
    <row r="606" spans="1:2" x14ac:dyDescent="0.2">
      <c r="A606" s="137"/>
      <c r="B606" s="137"/>
    </row>
    <row r="607" spans="1:2" x14ac:dyDescent="0.2">
      <c r="A607" s="137"/>
      <c r="B607" s="137"/>
    </row>
    <row r="608" spans="1:2" x14ac:dyDescent="0.2">
      <c r="A608" s="137"/>
      <c r="B608" s="137"/>
    </row>
    <row r="609" spans="1:2" x14ac:dyDescent="0.2">
      <c r="A609" s="137"/>
      <c r="B609" s="137"/>
    </row>
    <row r="610" spans="1:2" x14ac:dyDescent="0.2">
      <c r="A610" s="137"/>
      <c r="B610" s="137"/>
    </row>
    <row r="611" spans="1:2" x14ac:dyDescent="0.2">
      <c r="A611" s="137"/>
      <c r="B611" s="137"/>
    </row>
    <row r="612" spans="1:2" x14ac:dyDescent="0.2">
      <c r="A612" s="137"/>
      <c r="B612" s="137"/>
    </row>
    <row r="613" spans="1:2" x14ac:dyDescent="0.2">
      <c r="A613" s="137"/>
      <c r="B613" s="137"/>
    </row>
    <row r="614" spans="1:2" x14ac:dyDescent="0.2">
      <c r="A614" s="137"/>
      <c r="B614" s="137"/>
    </row>
    <row r="615" spans="1:2" x14ac:dyDescent="0.2">
      <c r="A615" s="137"/>
      <c r="B615" s="137"/>
    </row>
    <row r="616" spans="1:2" x14ac:dyDescent="0.2">
      <c r="A616" s="137"/>
      <c r="B616" s="137"/>
    </row>
    <row r="617" spans="1:2" x14ac:dyDescent="0.2">
      <c r="A617" s="137"/>
      <c r="B617" s="137"/>
    </row>
  </sheetData>
  <sheetProtection password="DFD3" sheet="1" objects="1" scenarios="1"/>
  <phoneticPr fontId="0" type="noConversion"/>
  <pageMargins left="0.75" right="0.75" top="1" bottom="1" header="0.5" footer="0.5"/>
  <pageSetup orientation="portrait" horizontalDpi="36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Z100"/>
  <sheetViews>
    <sheetView workbookViewId="0">
      <selection activeCell="B4" sqref="B4"/>
    </sheetView>
  </sheetViews>
  <sheetFormatPr defaultRowHeight="12.75" x14ac:dyDescent="0.2"/>
  <cols>
    <col min="1" max="1" width="175.85546875" style="488" customWidth="1"/>
  </cols>
  <sheetData>
    <row r="1" spans="1:26" x14ac:dyDescent="0.2">
      <c r="A1" s="487"/>
      <c r="B1" s="137"/>
      <c r="C1" s="137"/>
      <c r="D1" s="137"/>
      <c r="E1" s="137"/>
      <c r="F1" s="137"/>
      <c r="G1" s="137"/>
      <c r="H1" s="137"/>
      <c r="I1" s="137"/>
      <c r="J1" s="137"/>
      <c r="K1" s="137"/>
      <c r="L1" s="137"/>
      <c r="M1" s="137"/>
      <c r="N1" s="137"/>
      <c r="O1" s="137"/>
      <c r="P1" s="137"/>
      <c r="Q1" s="137"/>
      <c r="R1" s="137"/>
      <c r="S1" s="137"/>
      <c r="T1" s="137"/>
      <c r="U1" s="137"/>
      <c r="V1" s="137"/>
      <c r="W1" s="137"/>
      <c r="X1" s="137"/>
      <c r="Y1" s="137"/>
      <c r="Z1" s="137"/>
    </row>
    <row r="2" spans="1:26" ht="23.25" x14ac:dyDescent="0.35">
      <c r="A2" s="168" t="s">
        <v>264</v>
      </c>
      <c r="B2" s="137"/>
      <c r="C2" s="137"/>
      <c r="D2" s="137"/>
      <c r="E2" s="137"/>
      <c r="F2" s="137"/>
      <c r="G2" s="137"/>
      <c r="H2" s="137"/>
      <c r="I2" s="137"/>
      <c r="J2" s="137"/>
      <c r="K2" s="137"/>
      <c r="L2" s="137"/>
      <c r="M2" s="137"/>
      <c r="N2" s="137"/>
      <c r="O2" s="137"/>
      <c r="P2" s="137"/>
      <c r="Q2" s="137"/>
      <c r="R2" s="137"/>
      <c r="S2" s="137"/>
      <c r="T2" s="137"/>
      <c r="U2" s="137"/>
      <c r="V2" s="137"/>
      <c r="W2" s="137"/>
      <c r="X2" s="137"/>
      <c r="Y2" s="137"/>
      <c r="Z2" s="137"/>
    </row>
    <row r="3" spans="1:26" x14ac:dyDescent="0.2">
      <c r="A3" s="487"/>
      <c r="B3" s="137"/>
      <c r="C3" s="137"/>
      <c r="D3" s="137"/>
      <c r="E3" s="137"/>
      <c r="F3" s="137"/>
      <c r="G3" s="137"/>
      <c r="H3" s="137"/>
      <c r="I3" s="137"/>
      <c r="J3" s="137"/>
      <c r="K3" s="137"/>
      <c r="L3" s="137"/>
      <c r="M3" s="137"/>
      <c r="N3" s="137"/>
      <c r="O3" s="137"/>
      <c r="P3" s="137"/>
      <c r="Q3" s="137"/>
      <c r="R3" s="137"/>
      <c r="S3" s="137"/>
      <c r="T3" s="137"/>
      <c r="U3" s="137"/>
      <c r="V3" s="137"/>
      <c r="W3" s="137"/>
      <c r="X3" s="137"/>
      <c r="Y3" s="137"/>
      <c r="Z3" s="137"/>
    </row>
    <row r="4" spans="1:26" ht="23.25" x14ac:dyDescent="0.35">
      <c r="A4" s="168" t="s">
        <v>385</v>
      </c>
      <c r="B4" s="137"/>
      <c r="C4" s="137"/>
      <c r="D4" s="137"/>
      <c r="E4" s="137"/>
      <c r="F4" s="137"/>
      <c r="G4" s="137"/>
      <c r="H4" s="137"/>
      <c r="I4" s="137"/>
      <c r="J4" s="137"/>
      <c r="K4" s="137"/>
      <c r="L4" s="137"/>
      <c r="M4" s="137"/>
      <c r="N4" s="137"/>
      <c r="O4" s="137"/>
      <c r="P4" s="137"/>
      <c r="Q4" s="137"/>
      <c r="R4" s="137"/>
      <c r="S4" s="137"/>
      <c r="T4" s="137"/>
      <c r="U4" s="137"/>
      <c r="V4" s="137"/>
      <c r="W4" s="137"/>
      <c r="X4" s="137"/>
      <c r="Y4" s="137"/>
      <c r="Z4" s="137"/>
    </row>
    <row r="5" spans="1:26" ht="23.25" x14ac:dyDescent="0.35">
      <c r="A5" s="168"/>
      <c r="B5" s="137"/>
      <c r="C5" s="137"/>
      <c r="D5" s="137"/>
      <c r="E5" s="137"/>
      <c r="F5" s="137"/>
      <c r="G5" s="137"/>
      <c r="H5" s="137"/>
      <c r="I5" s="137"/>
      <c r="J5" s="137"/>
      <c r="K5" s="137"/>
      <c r="L5" s="137"/>
      <c r="M5" s="137"/>
      <c r="N5" s="137"/>
      <c r="O5" s="137"/>
      <c r="P5" s="137"/>
      <c r="Q5" s="137"/>
      <c r="R5" s="137"/>
      <c r="S5" s="137"/>
      <c r="T5" s="137"/>
      <c r="U5" s="137"/>
      <c r="V5" s="137"/>
      <c r="W5" s="137"/>
      <c r="X5" s="137"/>
      <c r="Y5" s="137"/>
      <c r="Z5" s="137"/>
    </row>
    <row r="6" spans="1:26" ht="20.25" x14ac:dyDescent="0.3">
      <c r="A6" s="169" t="s">
        <v>226</v>
      </c>
      <c r="B6" s="137"/>
      <c r="C6" s="137"/>
      <c r="D6" s="137"/>
      <c r="E6" s="137"/>
      <c r="F6" s="137"/>
      <c r="G6" s="137"/>
      <c r="H6" s="137"/>
      <c r="I6" s="137"/>
      <c r="J6" s="137"/>
      <c r="K6" s="137"/>
      <c r="L6" s="137"/>
      <c r="M6" s="137"/>
      <c r="N6" s="137"/>
      <c r="O6" s="137"/>
      <c r="P6" s="137"/>
      <c r="Q6" s="137"/>
      <c r="R6" s="137"/>
      <c r="S6" s="137"/>
      <c r="T6" s="137"/>
      <c r="U6" s="137"/>
      <c r="V6" s="137"/>
      <c r="W6" s="137"/>
      <c r="X6" s="137"/>
      <c r="Y6" s="137"/>
      <c r="Z6" s="137"/>
    </row>
    <row r="7" spans="1:26" x14ac:dyDescent="0.2">
      <c r="A7" s="487"/>
      <c r="B7" s="137"/>
      <c r="C7" s="137"/>
      <c r="D7" s="137"/>
      <c r="E7" s="137"/>
      <c r="F7" s="137"/>
      <c r="G7" s="137"/>
      <c r="H7" s="137"/>
      <c r="I7" s="137"/>
      <c r="J7" s="137"/>
      <c r="K7" s="137"/>
      <c r="L7" s="137"/>
      <c r="M7" s="137"/>
      <c r="N7" s="137"/>
      <c r="O7" s="137"/>
      <c r="P7" s="137"/>
      <c r="Q7" s="137"/>
      <c r="R7" s="137"/>
      <c r="S7" s="137"/>
      <c r="T7" s="137"/>
      <c r="U7" s="137"/>
      <c r="V7" s="137"/>
      <c r="W7" s="137"/>
      <c r="X7" s="137"/>
      <c r="Y7" s="137"/>
      <c r="Z7" s="137"/>
    </row>
    <row r="8" spans="1:26" x14ac:dyDescent="0.2">
      <c r="A8" s="475"/>
    </row>
    <row r="9" spans="1:26" x14ac:dyDescent="0.2">
      <c r="A9" s="475"/>
    </row>
    <row r="10" spans="1:26" x14ac:dyDescent="0.2">
      <c r="A10" s="475"/>
    </row>
    <row r="11" spans="1:26" x14ac:dyDescent="0.2">
      <c r="A11" s="475"/>
    </row>
    <row r="12" spans="1:26" x14ac:dyDescent="0.2">
      <c r="A12" s="475"/>
    </row>
    <row r="13" spans="1:26" x14ac:dyDescent="0.2">
      <c r="A13" s="475"/>
    </row>
    <row r="14" spans="1:26" x14ac:dyDescent="0.2">
      <c r="A14" s="475"/>
    </row>
    <row r="15" spans="1:26" x14ac:dyDescent="0.2">
      <c r="A15" s="475"/>
    </row>
    <row r="16" spans="1:26" x14ac:dyDescent="0.2">
      <c r="A16" s="475"/>
    </row>
    <row r="17" spans="1:1" s="462" customFormat="1" x14ac:dyDescent="0.2">
      <c r="A17" s="475"/>
    </row>
    <row r="18" spans="1:1" x14ac:dyDescent="0.2">
      <c r="A18" s="475"/>
    </row>
    <row r="19" spans="1:1" x14ac:dyDescent="0.2">
      <c r="A19" s="475"/>
    </row>
    <row r="20" spans="1:1" x14ac:dyDescent="0.2">
      <c r="A20" s="475"/>
    </row>
    <row r="21" spans="1:1" x14ac:dyDescent="0.2">
      <c r="A21" s="475"/>
    </row>
    <row r="22" spans="1:1" x14ac:dyDescent="0.2">
      <c r="A22" s="475"/>
    </row>
    <row r="23" spans="1:1" x14ac:dyDescent="0.2">
      <c r="A23" s="475"/>
    </row>
    <row r="24" spans="1:1" x14ac:dyDescent="0.2">
      <c r="A24" s="475"/>
    </row>
    <row r="25" spans="1:1" x14ac:dyDescent="0.2">
      <c r="A25" s="475"/>
    </row>
    <row r="26" spans="1:1" x14ac:dyDescent="0.2">
      <c r="A26" s="475"/>
    </row>
    <row r="27" spans="1:1" x14ac:dyDescent="0.2">
      <c r="A27" s="475"/>
    </row>
    <row r="28" spans="1:1" x14ac:dyDescent="0.2">
      <c r="A28" s="475"/>
    </row>
    <row r="29" spans="1:1" x14ac:dyDescent="0.2">
      <c r="A29" s="475"/>
    </row>
    <row r="30" spans="1:1" x14ac:dyDescent="0.2">
      <c r="A30" s="475"/>
    </row>
    <row r="31" spans="1:1" x14ac:dyDescent="0.2">
      <c r="A31" s="475"/>
    </row>
    <row r="32" spans="1:1" x14ac:dyDescent="0.2">
      <c r="A32" s="475"/>
    </row>
    <row r="33" spans="1:1" x14ac:dyDescent="0.2">
      <c r="A33" s="475"/>
    </row>
    <row r="34" spans="1:1" x14ac:dyDescent="0.2">
      <c r="A34" s="475"/>
    </row>
    <row r="35" spans="1:1" x14ac:dyDescent="0.2">
      <c r="A35" s="475"/>
    </row>
    <row r="36" spans="1:1" x14ac:dyDescent="0.2">
      <c r="A36" s="475"/>
    </row>
    <row r="37" spans="1:1" x14ac:dyDescent="0.2">
      <c r="A37" s="475"/>
    </row>
    <row r="38" spans="1:1" x14ac:dyDescent="0.2">
      <c r="A38" s="475"/>
    </row>
    <row r="39" spans="1:1" x14ac:dyDescent="0.2">
      <c r="A39" s="475"/>
    </row>
    <row r="40" spans="1:1" x14ac:dyDescent="0.2">
      <c r="A40" s="475"/>
    </row>
    <row r="41" spans="1:1" x14ac:dyDescent="0.2">
      <c r="A41" s="475"/>
    </row>
    <row r="42" spans="1:1" x14ac:dyDescent="0.2">
      <c r="A42" s="475"/>
    </row>
    <row r="43" spans="1:1" x14ac:dyDescent="0.2">
      <c r="A43" s="475"/>
    </row>
    <row r="44" spans="1:1" x14ac:dyDescent="0.2">
      <c r="A44" s="475"/>
    </row>
    <row r="45" spans="1:1" x14ac:dyDescent="0.2">
      <c r="A45" s="475"/>
    </row>
    <row r="46" spans="1:1" x14ac:dyDescent="0.2">
      <c r="A46" s="475"/>
    </row>
    <row r="47" spans="1:1" x14ac:dyDescent="0.2">
      <c r="A47" s="475"/>
    </row>
    <row r="48" spans="1:1" x14ac:dyDescent="0.2">
      <c r="A48" s="475"/>
    </row>
    <row r="49" spans="1:1" x14ac:dyDescent="0.2">
      <c r="A49" s="475"/>
    </row>
    <row r="50" spans="1:1" x14ac:dyDescent="0.2">
      <c r="A50" s="475"/>
    </row>
    <row r="51" spans="1:1" x14ac:dyDescent="0.2">
      <c r="A51" s="475"/>
    </row>
    <row r="52" spans="1:1" x14ac:dyDescent="0.2">
      <c r="A52" s="475"/>
    </row>
    <row r="53" spans="1:1" x14ac:dyDescent="0.2">
      <c r="A53" s="475"/>
    </row>
    <row r="54" spans="1:1" x14ac:dyDescent="0.2">
      <c r="A54" s="475"/>
    </row>
    <row r="55" spans="1:1" ht="12.75" customHeight="1" x14ac:dyDescent="0.2">
      <c r="A55" s="475"/>
    </row>
    <row r="56" spans="1:1" ht="12.75" customHeight="1" x14ac:dyDescent="0.2">
      <c r="A56" s="475"/>
    </row>
    <row r="57" spans="1:1" ht="12.75" customHeight="1" x14ac:dyDescent="0.2">
      <c r="A57" s="475"/>
    </row>
    <row r="58" spans="1:1" x14ac:dyDescent="0.2">
      <c r="A58" s="475"/>
    </row>
    <row r="59" spans="1:1" x14ac:dyDescent="0.2">
      <c r="A59" s="475"/>
    </row>
    <row r="60" spans="1:1" x14ac:dyDescent="0.2">
      <c r="A60" s="475"/>
    </row>
    <row r="61" spans="1:1" x14ac:dyDescent="0.2">
      <c r="A61" s="475"/>
    </row>
    <row r="62" spans="1:1" x14ac:dyDescent="0.2">
      <c r="A62" s="475"/>
    </row>
    <row r="63" spans="1:1" x14ac:dyDescent="0.2">
      <c r="A63" s="475"/>
    </row>
    <row r="64" spans="1:1" x14ac:dyDescent="0.2">
      <c r="A64" s="475"/>
    </row>
    <row r="65" spans="1:1" x14ac:dyDescent="0.2">
      <c r="A65" s="475"/>
    </row>
    <row r="66" spans="1:1" x14ac:dyDescent="0.2">
      <c r="A66" s="475"/>
    </row>
    <row r="67" spans="1:1" ht="14.25" customHeight="1" x14ac:dyDescent="0.2">
      <c r="A67" s="475"/>
    </row>
    <row r="68" spans="1:1" x14ac:dyDescent="0.2">
      <c r="A68" s="475"/>
    </row>
    <row r="69" spans="1:1" s="463" customFormat="1" x14ac:dyDescent="0.2">
      <c r="A69" s="475"/>
    </row>
    <row r="70" spans="1:1" s="463" customFormat="1" x14ac:dyDescent="0.2">
      <c r="A70" s="475"/>
    </row>
    <row r="71" spans="1:1" s="463" customFormat="1" ht="13.5" customHeight="1" x14ac:dyDescent="0.2">
      <c r="A71" s="475"/>
    </row>
    <row r="72" spans="1:1" s="463" customFormat="1" ht="13.5" customHeight="1" x14ac:dyDescent="0.2">
      <c r="A72" s="475"/>
    </row>
    <row r="73" spans="1:1" s="463" customFormat="1" ht="13.5" customHeight="1" x14ac:dyDescent="0.2">
      <c r="A73" s="475"/>
    </row>
    <row r="74" spans="1:1" s="485" customFormat="1" ht="13.5" customHeight="1" x14ac:dyDescent="0.2">
      <c r="A74" s="475"/>
    </row>
    <row r="75" spans="1:1" s="463" customFormat="1" ht="13.5" customHeight="1" x14ac:dyDescent="0.2">
      <c r="A75" s="475"/>
    </row>
    <row r="76" spans="1:1" s="463" customFormat="1" ht="13.5" customHeight="1" x14ac:dyDescent="0.2">
      <c r="A76" s="475"/>
    </row>
    <row r="77" spans="1:1" x14ac:dyDescent="0.2">
      <c r="A77" s="475"/>
    </row>
    <row r="78" spans="1:1" s="468" customFormat="1" x14ac:dyDescent="0.2">
      <c r="A78" s="475"/>
    </row>
    <row r="79" spans="1:1" s="474" customFormat="1" x14ac:dyDescent="0.2">
      <c r="A79" s="475"/>
    </row>
    <row r="80" spans="1:1" s="474" customFormat="1" ht="13.5" customHeight="1" x14ac:dyDescent="0.2">
      <c r="A80" s="475"/>
    </row>
    <row r="81" spans="1:1" s="474" customFormat="1" ht="13.5" customHeight="1" x14ac:dyDescent="0.2">
      <c r="A81" s="475"/>
    </row>
    <row r="82" spans="1:1" s="474" customFormat="1" ht="13.5" customHeight="1" x14ac:dyDescent="0.2">
      <c r="A82" s="475"/>
    </row>
    <row r="83" spans="1:1" s="474" customFormat="1" ht="13.5" customHeight="1" x14ac:dyDescent="0.2">
      <c r="A83" s="475"/>
    </row>
    <row r="84" spans="1:1" s="474" customFormat="1" ht="13.5" customHeight="1" x14ac:dyDescent="0.2">
      <c r="A84" s="475"/>
    </row>
    <row r="85" spans="1:1" x14ac:dyDescent="0.2">
      <c r="A85" s="475"/>
    </row>
    <row r="86" spans="1:1" x14ac:dyDescent="0.2">
      <c r="A86" s="475"/>
    </row>
    <row r="87" spans="1:1" x14ac:dyDescent="0.2">
      <c r="A87" s="475"/>
    </row>
    <row r="88" spans="1:1" x14ac:dyDescent="0.2">
      <c r="A88" s="475"/>
    </row>
    <row r="89" spans="1:1" x14ac:dyDescent="0.2">
      <c r="A89" s="475"/>
    </row>
    <row r="90" spans="1:1" x14ac:dyDescent="0.2">
      <c r="A90" s="475"/>
    </row>
    <row r="91" spans="1:1" x14ac:dyDescent="0.2">
      <c r="A91" s="475"/>
    </row>
    <row r="92" spans="1:1" x14ac:dyDescent="0.2">
      <c r="A92" s="475"/>
    </row>
    <row r="93" spans="1:1" x14ac:dyDescent="0.2">
      <c r="A93" s="475"/>
    </row>
    <row r="94" spans="1:1" x14ac:dyDescent="0.2">
      <c r="A94" s="475"/>
    </row>
    <row r="95" spans="1:1" x14ac:dyDescent="0.2">
      <c r="A95" s="475"/>
    </row>
    <row r="96" spans="1:1" x14ac:dyDescent="0.2">
      <c r="A96" s="475"/>
    </row>
    <row r="97" spans="1:1" x14ac:dyDescent="0.2">
      <c r="A97" s="475"/>
    </row>
    <row r="98" spans="1:1" x14ac:dyDescent="0.2">
      <c r="A98" s="475"/>
    </row>
    <row r="99" spans="1:1" x14ac:dyDescent="0.2">
      <c r="A99" s="475"/>
    </row>
    <row r="100" spans="1:1" x14ac:dyDescent="0.2">
      <c r="A100" s="475"/>
    </row>
  </sheetData>
  <sheetProtection password="DFD3"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V99"/>
  <sheetViews>
    <sheetView workbookViewId="0">
      <selection activeCell="AP18" sqref="AP18"/>
    </sheetView>
  </sheetViews>
  <sheetFormatPr defaultRowHeight="12.75" x14ac:dyDescent="0.2"/>
  <cols>
    <col min="1" max="1" width="176.85546875" style="242" customWidth="1"/>
    <col min="2" max="2" width="54.42578125" customWidth="1"/>
    <col min="3" max="3" width="16.42578125" customWidth="1"/>
    <col min="4" max="5" width="14.140625" bestFit="1" customWidth="1"/>
    <col min="6" max="6" width="12.28515625" customWidth="1"/>
    <col min="7" max="7" width="13" customWidth="1"/>
    <col min="8" max="8" width="12" customWidth="1"/>
    <col min="9" max="9" width="12.7109375" customWidth="1"/>
    <col min="10" max="10" width="12.85546875" customWidth="1"/>
    <col min="12" max="12" width="12.85546875" customWidth="1"/>
    <col min="13" max="13" width="20.7109375" customWidth="1"/>
    <col min="14" max="14" width="14" bestFit="1" customWidth="1"/>
    <col min="15" max="15" width="15" bestFit="1" customWidth="1"/>
    <col min="16" max="16" width="15" customWidth="1"/>
    <col min="17" max="18" width="15" bestFit="1" customWidth="1"/>
    <col min="19" max="19" width="13.42578125" customWidth="1"/>
    <col min="23" max="23" width="9.28515625" bestFit="1" customWidth="1"/>
    <col min="25" max="25" width="23.140625" customWidth="1"/>
    <col min="26" max="26" width="16.85546875" customWidth="1"/>
    <col min="27" max="27" width="13.85546875" customWidth="1"/>
    <col min="28" max="28" width="12.42578125" customWidth="1"/>
    <col min="29" max="29" width="19.85546875" customWidth="1"/>
    <col min="30" max="30" width="12.28515625" customWidth="1"/>
    <col min="31" max="31" width="13.7109375" customWidth="1"/>
    <col min="34" max="34" width="12.7109375" customWidth="1"/>
    <col min="35" max="35" width="8.28515625" customWidth="1"/>
    <col min="36" max="40" width="11.5703125" bestFit="1" customWidth="1"/>
    <col min="41" max="41" width="12.5703125" bestFit="1" customWidth="1"/>
    <col min="43" max="43" width="13.85546875" customWidth="1"/>
    <col min="56" max="56" width="13.5703125" customWidth="1"/>
    <col min="58" max="58" width="9.85546875" customWidth="1"/>
    <col min="59" max="59" width="10.28515625" customWidth="1"/>
    <col min="66" max="66" width="9.7109375" customWidth="1"/>
    <col min="75" max="75" width="11.7109375" customWidth="1"/>
    <col min="79" max="79" width="9.85546875" customWidth="1"/>
    <col min="84" max="84" width="10.5703125" customWidth="1"/>
    <col min="86" max="86" width="9.7109375" customWidth="1"/>
    <col min="88" max="88" width="10.5703125" customWidth="1"/>
    <col min="90" max="90" width="10.5703125" bestFit="1" customWidth="1"/>
  </cols>
  <sheetData>
    <row r="1" spans="1:88" x14ac:dyDescent="0.2">
      <c r="A1" s="238"/>
      <c r="C1" s="10" t="s">
        <v>242</v>
      </c>
      <c r="E1" s="10"/>
      <c r="F1" s="10"/>
      <c r="G1" s="55"/>
      <c r="AA1" s="30"/>
      <c r="AB1" s="30"/>
      <c r="AC1" s="30"/>
      <c r="AD1" s="30"/>
      <c r="AE1" s="30"/>
    </row>
    <row r="2" spans="1:88" x14ac:dyDescent="0.2">
      <c r="A2" s="238"/>
      <c r="C2" s="10" t="str">
        <f>ProjectData!B15</f>
        <v>Residential Retrofit</v>
      </c>
      <c r="D2" s="10"/>
      <c r="E2" s="10">
        <f>IF(C2="Residential New Construction",1,IF(C2="Residential Retrofit",1,2))</f>
        <v>1</v>
      </c>
      <c r="N2">
        <v>1</v>
      </c>
      <c r="O2">
        <v>2</v>
      </c>
      <c r="P2">
        <v>3</v>
      </c>
      <c r="Q2">
        <v>4</v>
      </c>
      <c r="R2">
        <v>5</v>
      </c>
      <c r="S2">
        <v>6</v>
      </c>
      <c r="AA2" s="30"/>
      <c r="AB2" s="30"/>
      <c r="AC2" s="30"/>
      <c r="AD2" s="30"/>
      <c r="AE2" s="30"/>
      <c r="CJ2" t="s">
        <v>284</v>
      </c>
    </row>
    <row r="3" spans="1:88" x14ac:dyDescent="0.2">
      <c r="A3" s="238"/>
      <c r="N3">
        <v>1</v>
      </c>
      <c r="O3">
        <v>2</v>
      </c>
      <c r="P3">
        <v>3</v>
      </c>
      <c r="Q3">
        <v>4</v>
      </c>
      <c r="R3">
        <v>5</v>
      </c>
      <c r="S3">
        <v>6</v>
      </c>
      <c r="AA3" s="30"/>
      <c r="AB3" s="30"/>
      <c r="AC3" s="30"/>
      <c r="AD3" s="30"/>
      <c r="AE3" s="30"/>
      <c r="BE3" s="419"/>
      <c r="CJ3" t="s">
        <v>412</v>
      </c>
    </row>
    <row r="4" spans="1:88" x14ac:dyDescent="0.2">
      <c r="A4" s="238"/>
      <c r="C4" t="s">
        <v>243</v>
      </c>
      <c r="D4" s="10" t="s">
        <v>232</v>
      </c>
      <c r="E4" t="s">
        <v>245</v>
      </c>
      <c r="AA4" s="30"/>
      <c r="AB4" s="30"/>
      <c r="AC4" s="30"/>
      <c r="AD4" s="30"/>
      <c r="AE4" s="30"/>
    </row>
    <row r="5" spans="1:88" ht="23.25" x14ac:dyDescent="0.35">
      <c r="A5" s="239" t="s">
        <v>269</v>
      </c>
      <c r="C5" s="10">
        <f>ProjectData!B19</f>
        <v>100</v>
      </c>
      <c r="D5" s="10">
        <f>ProjectData!B18</f>
        <v>5</v>
      </c>
      <c r="E5" s="10">
        <f>D5*C5</f>
        <v>500</v>
      </c>
      <c r="AA5" s="30"/>
      <c r="AB5" s="30"/>
      <c r="AC5" s="30"/>
      <c r="AD5" s="30"/>
      <c r="AE5" s="30"/>
    </row>
    <row r="6" spans="1:88" x14ac:dyDescent="0.2">
      <c r="A6" s="238"/>
      <c r="Z6" s="30"/>
      <c r="AA6" s="30"/>
      <c r="AB6" s="30"/>
      <c r="AC6" s="30"/>
      <c r="AD6" s="30"/>
      <c r="AE6" s="30"/>
    </row>
    <row r="7" spans="1:88" ht="15.75" x14ac:dyDescent="0.25">
      <c r="A7" s="240" t="s">
        <v>270</v>
      </c>
      <c r="C7" s="10" t="s">
        <v>56</v>
      </c>
      <c r="E7" s="10" t="s">
        <v>165</v>
      </c>
      <c r="Z7" s="11"/>
      <c r="AA7" s="30"/>
      <c r="AB7" s="30"/>
      <c r="AC7" s="30"/>
      <c r="AD7" s="30"/>
      <c r="AE7" s="30"/>
      <c r="AH7" s="274"/>
      <c r="AJ7" s="419"/>
      <c r="AP7" s="419"/>
      <c r="AV7" s="419"/>
      <c r="BN7" s="419"/>
    </row>
    <row r="8" spans="1:88" ht="15" x14ac:dyDescent="0.2">
      <c r="A8" s="241"/>
      <c r="C8" s="10" t="s">
        <v>143</v>
      </c>
      <c r="D8" s="10" t="s">
        <v>144</v>
      </c>
      <c r="E8" s="19" t="s">
        <v>143</v>
      </c>
      <c r="Z8" s="10"/>
      <c r="AA8" s="30"/>
      <c r="AB8" s="30"/>
      <c r="AC8" s="30"/>
      <c r="AD8" s="30"/>
      <c r="AE8" s="30"/>
    </row>
    <row r="9" spans="1:88" ht="15.75" x14ac:dyDescent="0.25">
      <c r="A9" s="240" t="s">
        <v>271</v>
      </c>
      <c r="C9" s="71">
        <f>ProjectData!B22</f>
        <v>6561.4009865470689</v>
      </c>
      <c r="D9" s="71">
        <f>+C9*E5</f>
        <v>3280700.4932735343</v>
      </c>
      <c r="E9" s="96">
        <f>ProjectData!B23</f>
        <v>32.799999999999997</v>
      </c>
      <c r="AA9" s="30"/>
      <c r="AB9" s="30"/>
      <c r="AC9" s="30"/>
      <c r="AD9" s="30"/>
      <c r="AE9" s="30"/>
      <c r="AH9" t="str">
        <f>ProjectData!X759</f>
        <v>RRCSFM</v>
      </c>
    </row>
    <row r="10" spans="1:88" ht="15.75" x14ac:dyDescent="0.25">
      <c r="A10" s="240"/>
      <c r="D10" s="10"/>
      <c r="Z10" s="218"/>
      <c r="AA10" s="30"/>
      <c r="AB10" s="30"/>
      <c r="AC10" s="30"/>
      <c r="AD10" s="30"/>
      <c r="AE10" s="30"/>
      <c r="AH10" s="10"/>
      <c r="AI10">
        <v>1</v>
      </c>
      <c r="AJ10" t="s">
        <v>433</v>
      </c>
      <c r="AK10" t="s">
        <v>434</v>
      </c>
      <c r="AL10" t="s">
        <v>435</v>
      </c>
      <c r="AM10" t="s">
        <v>436</v>
      </c>
      <c r="AP10" t="s">
        <v>424</v>
      </c>
      <c r="AQ10" t="s">
        <v>409</v>
      </c>
      <c r="AR10" t="s">
        <v>425</v>
      </c>
      <c r="AS10" t="s">
        <v>411</v>
      </c>
      <c r="AT10" t="s">
        <v>426</v>
      </c>
      <c r="AU10" t="s">
        <v>410</v>
      </c>
      <c r="AV10" t="s">
        <v>427</v>
      </c>
      <c r="AW10" t="s">
        <v>428</v>
      </c>
      <c r="AX10" t="s">
        <v>429</v>
      </c>
      <c r="AY10" t="s">
        <v>430</v>
      </c>
      <c r="AZ10" t="s">
        <v>431</v>
      </c>
      <c r="BA10" t="s">
        <v>432</v>
      </c>
      <c r="BD10" t="s">
        <v>437</v>
      </c>
      <c r="BE10" t="s">
        <v>438</v>
      </c>
      <c r="BF10" t="s">
        <v>439</v>
      </c>
      <c r="BG10" t="s">
        <v>440</v>
      </c>
    </row>
    <row r="11" spans="1:88" ht="15.75" x14ac:dyDescent="0.25">
      <c r="A11" s="240" t="s">
        <v>272</v>
      </c>
      <c r="B11" s="74" t="s">
        <v>0</v>
      </c>
      <c r="C11" s="17" t="s">
        <v>164</v>
      </c>
      <c r="D11" s="1"/>
      <c r="AA11" s="91"/>
      <c r="AG11" s="11" t="s">
        <v>252</v>
      </c>
      <c r="AH11" s="22"/>
      <c r="AI11">
        <f t="shared" ref="AI11:AI17" si="0">AI10+1</f>
        <v>2</v>
      </c>
      <c r="AJ11" s="419"/>
      <c r="AQ11" s="419"/>
      <c r="AT11" s="419"/>
      <c r="AX11" s="419"/>
      <c r="BJ11" s="419"/>
      <c r="BN11" s="419"/>
    </row>
    <row r="12" spans="1:88" x14ac:dyDescent="0.2">
      <c r="A12" s="238"/>
      <c r="E12" s="1"/>
      <c r="G12" s="11" t="s">
        <v>225</v>
      </c>
      <c r="H12" s="11" t="s">
        <v>222</v>
      </c>
      <c r="I12" s="11" t="s">
        <v>223</v>
      </c>
      <c r="J12" s="11" t="s">
        <v>224</v>
      </c>
      <c r="Z12" s="63"/>
      <c r="AA12" s="63"/>
      <c r="AB12" s="63"/>
      <c r="AC12" s="63"/>
      <c r="AH12" s="22"/>
      <c r="AI12">
        <f t="shared" si="0"/>
        <v>3</v>
      </c>
    </row>
    <row r="13" spans="1:88" x14ac:dyDescent="0.2">
      <c r="A13" s="238"/>
      <c r="C13" s="8"/>
      <c r="E13" s="11"/>
      <c r="G13" s="164">
        <v>30000</v>
      </c>
      <c r="H13" s="164">
        <v>100000</v>
      </c>
      <c r="I13" s="164">
        <v>300000</v>
      </c>
      <c r="J13" s="207">
        <v>400000</v>
      </c>
      <c r="L13" s="11">
        <f>ProjectData!B13</f>
        <v>0</v>
      </c>
      <c r="X13" s="11"/>
      <c r="Z13" s="30"/>
      <c r="AA13" s="1"/>
      <c r="AB13" s="30"/>
      <c r="AC13" s="1"/>
      <c r="AD13" s="11"/>
      <c r="AE13" s="11"/>
      <c r="AH13" s="22"/>
      <c r="AI13">
        <f t="shared" si="0"/>
        <v>4</v>
      </c>
    </row>
    <row r="14" spans="1:88" ht="15" x14ac:dyDescent="0.25">
      <c r="A14" s="238"/>
      <c r="B14" s="3" t="s">
        <v>233</v>
      </c>
      <c r="C14" s="11" t="s">
        <v>111</v>
      </c>
      <c r="D14" s="11" t="s">
        <v>198</v>
      </c>
      <c r="E14" s="11" t="s">
        <v>162</v>
      </c>
      <c r="F14" s="11" t="s">
        <v>220</v>
      </c>
      <c r="G14" s="11" t="s">
        <v>221</v>
      </c>
      <c r="H14" s="11" t="s">
        <v>221</v>
      </c>
      <c r="I14" s="11" t="s">
        <v>221</v>
      </c>
      <c r="J14" s="11" t="s">
        <v>221</v>
      </c>
      <c r="N14">
        <v>30000</v>
      </c>
      <c r="Z14" s="1"/>
      <c r="AA14" s="1"/>
      <c r="AB14" s="1"/>
      <c r="AC14" s="1"/>
      <c r="AD14" s="11"/>
      <c r="AE14" s="11"/>
      <c r="AG14" s="11" t="s">
        <v>253</v>
      </c>
      <c r="AH14" s="22" t="str">
        <f t="shared" ref="AH14:AH21" si="1">HLOOKUP(AH$9,AJ$10:BO$43,AI14)</f>
        <v>Typically less than 10 kW</v>
      </c>
      <c r="AI14">
        <f t="shared" si="0"/>
        <v>5</v>
      </c>
      <c r="AJ14" s="459" t="s">
        <v>562</v>
      </c>
      <c r="AK14" s="459" t="s">
        <v>562</v>
      </c>
      <c r="AL14" s="459" t="s">
        <v>562</v>
      </c>
      <c r="AM14" s="459" t="s">
        <v>562</v>
      </c>
      <c r="AN14" s="459" t="s">
        <v>562</v>
      </c>
      <c r="AO14" s="459" t="s">
        <v>562</v>
      </c>
      <c r="AP14" s="459" t="s">
        <v>563</v>
      </c>
      <c r="AQ14" s="459" t="s">
        <v>563</v>
      </c>
      <c r="AR14" s="459" t="s">
        <v>563</v>
      </c>
      <c r="AS14" s="459" t="s">
        <v>563</v>
      </c>
      <c r="AT14" s="459" t="s">
        <v>563</v>
      </c>
      <c r="AU14" s="459" t="s">
        <v>563</v>
      </c>
      <c r="AV14" s="459" t="s">
        <v>563</v>
      </c>
      <c r="AW14" s="459" t="s">
        <v>563</v>
      </c>
      <c r="AX14" s="459" t="s">
        <v>564</v>
      </c>
      <c r="AY14" s="459" t="s">
        <v>564</v>
      </c>
      <c r="AZ14" s="459" t="s">
        <v>564</v>
      </c>
      <c r="BA14" s="459" t="s">
        <v>564</v>
      </c>
      <c r="BB14" s="459" t="s">
        <v>564</v>
      </c>
      <c r="BC14" s="459" t="s">
        <v>564</v>
      </c>
      <c r="BD14" s="459" t="s">
        <v>565</v>
      </c>
      <c r="BE14" s="459" t="s">
        <v>565</v>
      </c>
      <c r="BF14" s="459" t="s">
        <v>565</v>
      </c>
      <c r="BG14" t="s">
        <v>286</v>
      </c>
    </row>
    <row r="15" spans="1:88" x14ac:dyDescent="0.2">
      <c r="A15" s="238"/>
      <c r="B15" s="2" t="s">
        <v>237</v>
      </c>
      <c r="D15" s="11" t="s">
        <v>199</v>
      </c>
      <c r="E15" s="11" t="s">
        <v>163</v>
      </c>
      <c r="F15" s="30" t="s">
        <v>5</v>
      </c>
      <c r="G15" s="30" t="s">
        <v>5</v>
      </c>
      <c r="H15" s="30" t="s">
        <v>5</v>
      </c>
      <c r="I15" s="30" t="s">
        <v>5</v>
      </c>
      <c r="J15" s="30" t="s">
        <v>5</v>
      </c>
      <c r="N15">
        <v>100000</v>
      </c>
      <c r="Q15">
        <v>300000</v>
      </c>
      <c r="T15">
        <v>400000</v>
      </c>
      <c r="W15" s="10"/>
      <c r="Y15" s="192"/>
      <c r="Z15" s="327"/>
      <c r="AA15" s="328"/>
      <c r="AB15" s="327"/>
      <c r="AC15" s="328"/>
      <c r="AD15" s="315"/>
      <c r="AE15" s="91"/>
      <c r="AH15" s="22">
        <f t="shared" si="1"/>
        <v>5</v>
      </c>
      <c r="AI15">
        <f t="shared" si="0"/>
        <v>6</v>
      </c>
      <c r="AJ15" s="481">
        <v>150</v>
      </c>
      <c r="AK15" s="481">
        <v>150</v>
      </c>
      <c r="AL15" s="481">
        <v>150</v>
      </c>
      <c r="AM15" s="481">
        <v>150</v>
      </c>
      <c r="AN15" s="481"/>
      <c r="AO15" s="481"/>
      <c r="AP15" s="22">
        <v>3.5</v>
      </c>
      <c r="AQ15" s="22">
        <v>3.5</v>
      </c>
      <c r="AR15" s="22">
        <v>3.5</v>
      </c>
      <c r="AS15" s="22">
        <v>3.5</v>
      </c>
      <c r="AT15" s="481">
        <v>5</v>
      </c>
      <c r="AU15" s="481">
        <v>5</v>
      </c>
      <c r="AV15" s="481">
        <v>5</v>
      </c>
      <c r="AW15" s="481">
        <v>5</v>
      </c>
      <c r="AX15" s="481">
        <v>20</v>
      </c>
      <c r="AY15" s="481">
        <v>20</v>
      </c>
      <c r="AZ15" s="481">
        <v>20</v>
      </c>
      <c r="BA15" s="481">
        <v>20</v>
      </c>
      <c r="BB15" s="481"/>
      <c r="BC15" s="481"/>
      <c r="BD15" s="481">
        <v>1000</v>
      </c>
      <c r="BE15" s="481">
        <v>1000</v>
      </c>
      <c r="BF15" s="481">
        <v>1000</v>
      </c>
      <c r="BG15">
        <v>1000</v>
      </c>
    </row>
    <row r="16" spans="1:88" ht="14.25" customHeight="1" x14ac:dyDescent="0.2">
      <c r="A16" s="238"/>
      <c r="B16" s="176" t="s">
        <v>239</v>
      </c>
      <c r="C16" s="8">
        <f>D$9*E16</f>
        <v>114990.62085673495</v>
      </c>
      <c r="D16" s="71">
        <f>C16/E$5</f>
        <v>229.9812417134699</v>
      </c>
      <c r="E16" s="200">
        <f>AH17</f>
        <v>3.5050630526164098E-2</v>
      </c>
      <c r="F16" s="7">
        <v>1</v>
      </c>
      <c r="G16" s="88">
        <v>0</v>
      </c>
      <c r="H16" s="88">
        <v>1</v>
      </c>
      <c r="I16" s="88">
        <v>1</v>
      </c>
      <c r="J16" s="88">
        <f>F16</f>
        <v>1</v>
      </c>
      <c r="L16" s="38">
        <f>(L$13-G$13)/(H$13-G$13)</f>
        <v>-0.42857142857142855</v>
      </c>
      <c r="M16" s="88">
        <f>+H16-G16</f>
        <v>1</v>
      </c>
      <c r="N16" s="88">
        <f>G16+(M16*L16)</f>
        <v>-0.42857142857142855</v>
      </c>
      <c r="O16" s="208">
        <f>(L$13-H$13)/(I$13-H$13)</f>
        <v>-0.5</v>
      </c>
      <c r="P16" s="88">
        <f>I16-H16</f>
        <v>0</v>
      </c>
      <c r="Q16" s="88">
        <f>H16+(O16*P16)</f>
        <v>1</v>
      </c>
      <c r="R16" s="208">
        <f>IF((L$13-I$13)/(J$13-I$13)&gt;1,1,(L$13-I$13)/(J$13-I$13))</f>
        <v>-3</v>
      </c>
      <c r="S16" s="88">
        <f>J16-I16</f>
        <v>0</v>
      </c>
      <c r="T16" s="88">
        <f>I16+(R16*S16)</f>
        <v>1</v>
      </c>
      <c r="W16" s="200"/>
      <c r="X16" s="200"/>
      <c r="Y16" s="192"/>
      <c r="Z16" s="316"/>
      <c r="AA16" s="316"/>
      <c r="AB16" s="316"/>
      <c r="AC16" s="316"/>
      <c r="AD16" s="315"/>
      <c r="AE16" s="91"/>
      <c r="AH16" s="22"/>
      <c r="AI16">
        <f t="shared" si="0"/>
        <v>7</v>
      </c>
      <c r="AJ16" s="481"/>
      <c r="AK16" s="481"/>
      <c r="AL16" s="481"/>
      <c r="AM16" s="481"/>
      <c r="AN16" s="481"/>
      <c r="AO16" s="481"/>
      <c r="AP16" s="481"/>
      <c r="AQ16" s="481"/>
      <c r="AR16" s="481"/>
      <c r="AS16" s="481"/>
      <c r="AT16" s="481"/>
      <c r="AU16" s="481"/>
      <c r="AV16" s="481"/>
      <c r="AW16" s="481"/>
      <c r="AX16" s="481"/>
      <c r="AY16" s="481"/>
      <c r="AZ16" s="481"/>
      <c r="BA16" s="481"/>
      <c r="BB16" s="481"/>
      <c r="BC16" s="481"/>
      <c r="BD16" s="481"/>
      <c r="BE16" s="481"/>
      <c r="BF16" s="481"/>
      <c r="BX16" t="s">
        <v>134</v>
      </c>
    </row>
    <row r="17" spans="1:76" ht="15" customHeight="1" x14ac:dyDescent="0.2">
      <c r="A17" s="238"/>
      <c r="B17" s="2" t="s">
        <v>234</v>
      </c>
      <c r="C17" s="8">
        <f>D$9*E17</f>
        <v>1074912.3253999136</v>
      </c>
      <c r="D17" s="71">
        <f>C17/E$5</f>
        <v>2149.8246507998274</v>
      </c>
      <c r="E17" s="200">
        <f>AH18</f>
        <v>0.32764719839675133</v>
      </c>
      <c r="F17" s="7">
        <v>1</v>
      </c>
      <c r="G17" s="88">
        <v>0</v>
      </c>
      <c r="H17" s="88">
        <v>1</v>
      </c>
      <c r="I17" s="88">
        <v>1</v>
      </c>
      <c r="J17" s="88">
        <f>F17</f>
        <v>1</v>
      </c>
      <c r="L17" s="38">
        <f>(L$13-G$13)/(H$13-G$13)</f>
        <v>-0.42857142857142855</v>
      </c>
      <c r="M17" s="88">
        <f>+H17-G17</f>
        <v>1</v>
      </c>
      <c r="N17" s="88">
        <f>G17+(M17*L17)</f>
        <v>-0.42857142857142855</v>
      </c>
      <c r="O17" s="208">
        <f>(L$13-H$13)/(I$13-H$13)</f>
        <v>-0.5</v>
      </c>
      <c r="P17" s="88">
        <f>I17-H17</f>
        <v>0</v>
      </c>
      <c r="Q17" s="88">
        <f>H17+(O17*P17)</f>
        <v>1</v>
      </c>
      <c r="R17" s="208">
        <f>IF((L$13-I$13)/(J$13-I$13)&gt;1,1,(L$13-I$13)/(J$13-I$13))</f>
        <v>-3</v>
      </c>
      <c r="S17" s="88">
        <f>J17-I17</f>
        <v>0</v>
      </c>
      <c r="T17" s="88">
        <f>I17+(R17*S17)</f>
        <v>1</v>
      </c>
      <c r="W17" s="200"/>
      <c r="X17" s="200"/>
      <c r="Y17" s="192"/>
      <c r="Z17" s="316"/>
      <c r="AA17" s="316"/>
      <c r="AB17" s="316"/>
      <c r="AC17" s="316"/>
      <c r="AD17" s="315"/>
      <c r="AE17" s="91"/>
      <c r="AG17" s="10" t="s">
        <v>240</v>
      </c>
      <c r="AH17" s="22">
        <f t="shared" si="1"/>
        <v>3.5050630526164098E-2</v>
      </c>
      <c r="AI17">
        <f t="shared" si="0"/>
        <v>8</v>
      </c>
      <c r="AJ17" s="422">
        <v>4.3673135427278E-2</v>
      </c>
      <c r="AK17" s="422">
        <v>5.4601188140156527E-2</v>
      </c>
      <c r="AL17" s="422">
        <v>4.5543987477384675E-2</v>
      </c>
      <c r="AM17" s="422"/>
      <c r="AN17" s="423"/>
      <c r="AO17" s="423"/>
      <c r="AP17" s="422">
        <v>3.2975013751257318E-2</v>
      </c>
      <c r="AQ17" s="422">
        <v>5.4201057149831922E-2</v>
      </c>
      <c r="AR17" s="422">
        <v>2.7235653291771265E-2</v>
      </c>
      <c r="AS17" s="422"/>
      <c r="AT17" s="422">
        <v>3.5050630526164098E-2</v>
      </c>
      <c r="AU17" s="422">
        <v>5.801576271424741E-2</v>
      </c>
      <c r="AV17" s="422">
        <v>2.8636274389364613E-2</v>
      </c>
      <c r="AW17" s="422"/>
      <c r="AX17" s="422">
        <v>3.9539981234028125E-2</v>
      </c>
      <c r="AY17" s="422">
        <v>4.8477783544405344E-2</v>
      </c>
      <c r="AZ17" s="422">
        <v>3.5305235630456518E-2</v>
      </c>
      <c r="BA17" s="422"/>
      <c r="BB17" s="422"/>
      <c r="BC17" s="422"/>
      <c r="BD17" s="422">
        <v>3.6467784180772907E-2</v>
      </c>
      <c r="BE17" s="422">
        <v>5.3566597939480438E-2</v>
      </c>
      <c r="BF17" s="422">
        <v>4.0096645665276508E-2</v>
      </c>
      <c r="BG17" s="422"/>
      <c r="BH17" s="422"/>
      <c r="BI17" s="422"/>
      <c r="BN17" s="272"/>
      <c r="BO17" s="272"/>
      <c r="BX17" s="272" t="s">
        <v>239</v>
      </c>
    </row>
    <row r="18" spans="1:76" ht="14.25" customHeight="1" x14ac:dyDescent="0.25">
      <c r="A18" s="240" t="s">
        <v>273</v>
      </c>
      <c r="B18" s="2" t="s">
        <v>235</v>
      </c>
      <c r="C18" s="8">
        <f>D$9*E18</f>
        <v>114990.62085673495</v>
      </c>
      <c r="D18" s="71">
        <f>C18/E$5</f>
        <v>229.9812417134699</v>
      </c>
      <c r="E18" s="200">
        <f>AH19</f>
        <v>3.5050630526164098E-2</v>
      </c>
      <c r="F18" s="7">
        <v>1</v>
      </c>
      <c r="G18" s="88">
        <v>0</v>
      </c>
      <c r="H18" s="88">
        <v>1</v>
      </c>
      <c r="I18" s="88">
        <v>1</v>
      </c>
      <c r="J18" s="88">
        <v>1</v>
      </c>
      <c r="L18" s="38">
        <f>(L$13-G$13)/(H$13-G$13)</f>
        <v>-0.42857142857142855</v>
      </c>
      <c r="M18" s="88">
        <f>+H18-G18</f>
        <v>1</v>
      </c>
      <c r="N18" s="88">
        <f>G18+(M18*L18)</f>
        <v>-0.42857142857142855</v>
      </c>
      <c r="O18" s="208">
        <f>(L$13-H$13)/(I$13-H$13)</f>
        <v>-0.5</v>
      </c>
      <c r="P18" s="88">
        <f>I18-H18</f>
        <v>0</v>
      </c>
      <c r="Q18" s="88">
        <f>H18+(O18*P18)</f>
        <v>1</v>
      </c>
      <c r="R18" s="208">
        <f>IF((L$13-I$13)/(J$13-I$13)&gt;1,1,(L$13-I$13)/(J$13-I$13))</f>
        <v>-3</v>
      </c>
      <c r="S18" s="88">
        <f>J18-I18</f>
        <v>0</v>
      </c>
      <c r="T18" s="88">
        <f>I18+(R18*S18)</f>
        <v>1</v>
      </c>
      <c r="W18" s="200"/>
      <c r="X18" s="200"/>
      <c r="Y18" s="192"/>
      <c r="Z18" s="316"/>
      <c r="AA18" s="316"/>
      <c r="AB18" s="316"/>
      <c r="AC18" s="316"/>
      <c r="AD18" s="315"/>
      <c r="AE18" s="91"/>
      <c r="AG18" s="10" t="s">
        <v>240</v>
      </c>
      <c r="AH18" s="22">
        <f t="shared" si="1"/>
        <v>0.32764719839675133</v>
      </c>
      <c r="AI18">
        <f t="shared" ref="AI18:AI43" si="2">AI17+1</f>
        <v>9</v>
      </c>
      <c r="AJ18" s="422">
        <v>0.36264763618768908</v>
      </c>
      <c r="AK18" s="422">
        <v>0.30980326196667646</v>
      </c>
      <c r="AL18" s="422">
        <v>0.26870769394193422</v>
      </c>
      <c r="AM18" s="422"/>
      <c r="AN18" s="423"/>
      <c r="AO18" s="423"/>
      <c r="AP18" s="422">
        <v>0.30824469376175317</v>
      </c>
      <c r="AQ18" s="422">
        <v>0.26256410875522013</v>
      </c>
      <c r="AR18" s="422">
        <v>0.36282197937626076</v>
      </c>
      <c r="AS18" s="422"/>
      <c r="AT18" s="422">
        <v>0.32764719839675133</v>
      </c>
      <c r="AU18" s="422">
        <v>0.27909124268552826</v>
      </c>
      <c r="AV18" s="422">
        <v>0.38148046770187416</v>
      </c>
      <c r="AW18" s="422"/>
      <c r="AX18" s="422">
        <v>0.31717611931102535</v>
      </c>
      <c r="AY18" s="422">
        <v>0.27095777436594565</v>
      </c>
      <c r="AZ18" s="422">
        <v>0.3438479545577916</v>
      </c>
      <c r="BA18" s="422"/>
      <c r="BB18" s="422"/>
      <c r="BC18" s="422"/>
      <c r="BD18" s="422">
        <v>0.40050568333701614</v>
      </c>
      <c r="BE18" s="422">
        <v>0.34214470122668483</v>
      </c>
      <c r="BF18" s="422">
        <v>0.36077653765889767</v>
      </c>
      <c r="BG18" s="422"/>
      <c r="BH18" s="422"/>
      <c r="BI18" s="422"/>
      <c r="BN18" s="271"/>
      <c r="BO18" s="271"/>
      <c r="BX18" s="271" t="s">
        <v>234</v>
      </c>
    </row>
    <row r="19" spans="1:76" ht="15" customHeight="1" x14ac:dyDescent="0.2">
      <c r="A19" s="238"/>
      <c r="B19" s="2" t="s">
        <v>236</v>
      </c>
      <c r="C19" s="8">
        <f>D$9*E19</f>
        <v>209982.87286882036</v>
      </c>
      <c r="D19" s="71">
        <f>C19/E$5</f>
        <v>419.9657457376407</v>
      </c>
      <c r="E19" s="200">
        <f>AH20</f>
        <v>6.4005499221690965E-2</v>
      </c>
      <c r="F19" s="7">
        <v>1</v>
      </c>
      <c r="G19" s="88">
        <v>0</v>
      </c>
      <c r="H19" s="88">
        <v>1</v>
      </c>
      <c r="I19" s="88">
        <v>1</v>
      </c>
      <c r="J19" s="88">
        <v>1</v>
      </c>
      <c r="L19" s="38">
        <f>(L$13-G$13)/(H$13-G$13)</f>
        <v>-0.42857142857142855</v>
      </c>
      <c r="M19" s="88">
        <f>+H19-G19</f>
        <v>1</v>
      </c>
      <c r="N19" s="88">
        <f>G19+(M19*L19)</f>
        <v>-0.42857142857142855</v>
      </c>
      <c r="O19" s="208">
        <f>(L$13-H$13)/(I$13-H$13)</f>
        <v>-0.5</v>
      </c>
      <c r="P19" s="88">
        <f>I19-H19</f>
        <v>0</v>
      </c>
      <c r="Q19" s="88">
        <f>H19+(O19*P19)</f>
        <v>1</v>
      </c>
      <c r="R19" s="208">
        <f>IF((L$13-I$13)/(J$13-I$13)&gt;1,1,(L$13-I$13)/(J$13-I$13))</f>
        <v>-3</v>
      </c>
      <c r="S19" s="88">
        <f>J19-I19</f>
        <v>0</v>
      </c>
      <c r="T19" s="88">
        <f>I19+(R19*S19)</f>
        <v>1</v>
      </c>
      <c r="W19" s="200"/>
      <c r="X19" s="200"/>
      <c r="Y19" s="192"/>
      <c r="Z19" s="316"/>
      <c r="AA19" s="316"/>
      <c r="AB19" s="316"/>
      <c r="AC19" s="316"/>
      <c r="AD19" s="315"/>
      <c r="AE19" s="91"/>
      <c r="AG19" s="10" t="s">
        <v>240</v>
      </c>
      <c r="AH19" s="22">
        <f t="shared" si="1"/>
        <v>3.5050630526164098E-2</v>
      </c>
      <c r="AI19">
        <f t="shared" si="2"/>
        <v>10</v>
      </c>
      <c r="AJ19" s="422">
        <v>3.0625404669711965E-2</v>
      </c>
      <c r="AK19" s="422">
        <v>8.8706996774064531E-3</v>
      </c>
      <c r="AL19" s="422">
        <v>3.1937323325222346E-2</v>
      </c>
      <c r="AM19" s="422"/>
      <c r="AN19" s="423"/>
      <c r="AO19" s="423"/>
      <c r="AP19" s="422">
        <v>3.2975013751257318E-2</v>
      </c>
      <c r="AQ19" s="422">
        <v>1.9754498396570373E-3</v>
      </c>
      <c r="AR19" s="422">
        <v>2.7235653291771265E-2</v>
      </c>
      <c r="AS19" s="422"/>
      <c r="AT19" s="422">
        <v>3.5050630526164098E-2</v>
      </c>
      <c r="AU19" s="422">
        <v>1.6967822324237671E-3</v>
      </c>
      <c r="AV19" s="422">
        <v>2.8636274389364613E-2</v>
      </c>
      <c r="AW19" s="422"/>
      <c r="AX19" s="422">
        <v>2.5442443210181957E-2</v>
      </c>
      <c r="AY19" s="422">
        <v>7.0355165695932826E-3</v>
      </c>
      <c r="AZ19" s="422">
        <v>2.2717548782672327E-2</v>
      </c>
      <c r="BA19" s="422"/>
      <c r="BB19" s="422"/>
      <c r="BC19" s="422"/>
      <c r="BD19" s="422">
        <v>4.157947718746613E-2</v>
      </c>
      <c r="BE19" s="422">
        <v>1.3107754094437636E-2</v>
      </c>
      <c r="BF19" s="422">
        <v>4.571699655424314E-2</v>
      </c>
      <c r="BG19" s="422"/>
      <c r="BH19" s="422"/>
      <c r="BI19" s="422"/>
      <c r="BN19" s="271"/>
      <c r="BO19" s="271"/>
      <c r="BX19" s="271" t="s">
        <v>235</v>
      </c>
    </row>
    <row r="20" spans="1:76" x14ac:dyDescent="0.2">
      <c r="A20" s="238"/>
      <c r="B20" s="2" t="s">
        <v>1</v>
      </c>
      <c r="C20" s="8">
        <f>SUM(C16:C19)</f>
        <v>1514876.4399822038</v>
      </c>
      <c r="D20" s="71">
        <f>SUM(D16:D19)</f>
        <v>3029.7528799644078</v>
      </c>
      <c r="E20" s="200">
        <f>SUM(E16:E19)</f>
        <v>0.46175395867077046</v>
      </c>
      <c r="F20" s="7"/>
      <c r="L20" s="38"/>
      <c r="M20" s="88"/>
      <c r="N20" s="88"/>
      <c r="P20" s="88"/>
      <c r="Q20" s="88"/>
      <c r="R20" s="208"/>
      <c r="S20" s="88"/>
      <c r="T20" s="88"/>
      <c r="W20" s="200"/>
      <c r="X20" s="200"/>
      <c r="Y20" s="192"/>
      <c r="Z20" s="316"/>
      <c r="AA20" s="328"/>
      <c r="AB20" s="316"/>
      <c r="AC20" s="316"/>
      <c r="AD20" s="315"/>
      <c r="AE20" s="91"/>
      <c r="AG20" s="10" t="s">
        <v>240</v>
      </c>
      <c r="AH20" s="22">
        <f t="shared" si="1"/>
        <v>6.4005499221690965E-2</v>
      </c>
      <c r="AI20">
        <f t="shared" si="2"/>
        <v>11</v>
      </c>
      <c r="AJ20" s="422">
        <v>6.5453475799729252E-2</v>
      </c>
      <c r="AK20" s="422">
        <v>5.591571069642453E-2</v>
      </c>
      <c r="AL20" s="422">
        <v>6.8257345230868099E-2</v>
      </c>
      <c r="AM20" s="422"/>
      <c r="AN20" s="423"/>
      <c r="AO20" s="423"/>
      <c r="AP20" s="422">
        <v>6.0215242502295971E-2</v>
      </c>
      <c r="AQ20" s="422">
        <v>5.1291593338229052E-2</v>
      </c>
      <c r="AR20" s="422">
        <v>4.973467122845187E-2</v>
      </c>
      <c r="AS20" s="422"/>
      <c r="AT20" s="422">
        <v>6.4005499221690965E-2</v>
      </c>
      <c r="AU20" s="422">
        <v>5.4520149733917153E-2</v>
      </c>
      <c r="AV20" s="422">
        <v>5.2292327145796243E-2</v>
      </c>
      <c r="AW20" s="422"/>
      <c r="AX20" s="422">
        <v>5.724642153418507E-2</v>
      </c>
      <c r="AY20" s="422">
        <v>4.8904573909951177E-2</v>
      </c>
      <c r="AZ20" s="422">
        <v>5.1115310078232556E-2</v>
      </c>
      <c r="BA20" s="422"/>
      <c r="BB20" s="422"/>
      <c r="BC20" s="422"/>
      <c r="BD20" s="422">
        <v>5.9562383675761374E-2</v>
      </c>
      <c r="BE20" s="422">
        <v>5.0883058131147997E-2</v>
      </c>
      <c r="BF20" s="422">
        <v>6.5489358535949199E-2</v>
      </c>
      <c r="BG20" s="422"/>
      <c r="BH20" s="422"/>
      <c r="BI20" s="422"/>
      <c r="BN20" s="271"/>
      <c r="BO20" s="271"/>
      <c r="BX20" s="271" t="s">
        <v>236</v>
      </c>
    </row>
    <row r="21" spans="1:76" ht="15.75" customHeight="1" x14ac:dyDescent="0.2">
      <c r="A21" s="238"/>
      <c r="B21" s="2" t="s">
        <v>2</v>
      </c>
      <c r="C21" s="8"/>
      <c r="E21" s="200"/>
      <c r="F21" s="7"/>
      <c r="G21" t="s">
        <v>407</v>
      </c>
      <c r="L21" s="38"/>
      <c r="M21" s="88"/>
      <c r="N21" s="88"/>
      <c r="O21" s="208"/>
      <c r="P21" s="88"/>
      <c r="Q21" s="88"/>
      <c r="R21" s="208"/>
      <c r="S21" s="88"/>
      <c r="T21" s="88"/>
      <c r="W21" s="200"/>
      <c r="X21" s="200"/>
      <c r="Y21" s="192"/>
      <c r="Z21" s="316"/>
      <c r="AA21" s="328"/>
      <c r="AB21" s="316"/>
      <c r="AC21" s="316"/>
      <c r="AD21" s="315"/>
      <c r="AE21" s="91"/>
      <c r="AH21" s="22">
        <f t="shared" si="1"/>
        <v>0.46175395867077046</v>
      </c>
      <c r="AI21">
        <f t="shared" si="2"/>
        <v>12</v>
      </c>
      <c r="AJ21" s="422">
        <v>0.50239965208440829</v>
      </c>
      <c r="AK21" s="422">
        <v>0.42919086048066396</v>
      </c>
      <c r="AL21" s="422">
        <v>0.41444634997540941</v>
      </c>
      <c r="AM21" s="422"/>
      <c r="AN21" s="423"/>
      <c r="AO21" s="423"/>
      <c r="AP21" s="422">
        <v>0.43440996376656382</v>
      </c>
      <c r="AQ21" s="422">
        <v>0.3700322090829381</v>
      </c>
      <c r="AR21" s="422">
        <v>0.46702795718825513</v>
      </c>
      <c r="AS21" s="422"/>
      <c r="AT21" s="422">
        <v>0.46175395867077046</v>
      </c>
      <c r="AU21" s="422">
        <v>0.39332393736611659</v>
      </c>
      <c r="AV21" s="422">
        <v>0.49104534362639962</v>
      </c>
      <c r="AW21" s="422"/>
      <c r="AX21" s="422">
        <v>0.43940496528942052</v>
      </c>
      <c r="AY21" s="422">
        <v>0.37537564838989546</v>
      </c>
      <c r="AZ21" s="422">
        <v>0.45298604904915302</v>
      </c>
      <c r="BA21" s="422"/>
      <c r="BB21" s="422"/>
      <c r="BC21" s="422"/>
      <c r="BD21" s="422">
        <v>0.5381153283810165</v>
      </c>
      <c r="BE21" s="422">
        <v>0.45970211139175093</v>
      </c>
      <c r="BF21" s="422">
        <v>0.51207953841436649</v>
      </c>
      <c r="BG21" s="422"/>
      <c r="BH21" s="422"/>
      <c r="BI21" s="422"/>
      <c r="BN21" s="271"/>
      <c r="BO21" s="271"/>
      <c r="BX21" s="271" t="s">
        <v>1</v>
      </c>
    </row>
    <row r="22" spans="1:76" x14ac:dyDescent="0.2">
      <c r="A22" s="238"/>
      <c r="B22" s="2" t="s">
        <v>241</v>
      </c>
      <c r="C22" s="8">
        <f>D$9*E22</f>
        <v>275112.75532553397</v>
      </c>
      <c r="D22" s="71">
        <f>C22/E$5</f>
        <v>550.22551065106791</v>
      </c>
      <c r="E22" s="200">
        <f>AH23</f>
        <v>8.3857930917376172E-2</v>
      </c>
      <c r="F22" s="7">
        <v>1</v>
      </c>
      <c r="G22" s="420">
        <v>0.1</v>
      </c>
      <c r="H22" s="420">
        <v>0.1</v>
      </c>
      <c r="I22" s="420">
        <v>0.5</v>
      </c>
      <c r="J22" s="420">
        <v>0.5</v>
      </c>
      <c r="L22" s="38">
        <f>(L$13-G$13)/(H$13-G$13)</f>
        <v>-0.42857142857142855</v>
      </c>
      <c r="M22" s="88">
        <f>+H22-G22</f>
        <v>0</v>
      </c>
      <c r="N22" s="88">
        <f>G22+(M22*L22)</f>
        <v>0.1</v>
      </c>
      <c r="O22" s="208">
        <f>(L$13-H$13)/(I$13-H$13)</f>
        <v>-0.5</v>
      </c>
      <c r="P22" s="88">
        <f>I22-H22</f>
        <v>0.4</v>
      </c>
      <c r="Q22" s="88">
        <f>H22+(O22*P22)</f>
        <v>-0.1</v>
      </c>
      <c r="R22" s="208">
        <f>IF((L$13-I$13)/(J$13-I$13)&gt;1,1,(L$13-I$13)/(J$13-I$13))</f>
        <v>-3</v>
      </c>
      <c r="S22" s="88">
        <f>J22-I22</f>
        <v>0</v>
      </c>
      <c r="T22" s="88">
        <f>I22+(R22*S22)</f>
        <v>0.5</v>
      </c>
      <c r="W22" s="200"/>
      <c r="X22" s="200"/>
      <c r="Y22" s="192"/>
      <c r="Z22" s="316"/>
      <c r="AA22" s="329"/>
      <c r="AB22" s="316"/>
      <c r="AC22" s="316"/>
      <c r="AD22" s="315"/>
      <c r="AE22" s="91"/>
      <c r="AH22" s="274"/>
      <c r="AI22">
        <f t="shared" si="2"/>
        <v>13</v>
      </c>
      <c r="AJ22" s="423"/>
      <c r="AK22" s="423"/>
      <c r="AL22" s="423"/>
      <c r="AM22" s="423"/>
      <c r="AN22" s="423"/>
      <c r="AO22" s="423"/>
      <c r="AP22" s="423"/>
      <c r="AQ22" s="423"/>
      <c r="AR22" s="423"/>
      <c r="AS22" s="423"/>
      <c r="AT22" s="423"/>
      <c r="AU22" s="423"/>
      <c r="AV22" s="423"/>
      <c r="AW22" s="423"/>
      <c r="AX22" s="423"/>
      <c r="AY22" s="423"/>
      <c r="AZ22" s="423"/>
      <c r="BA22" s="423"/>
      <c r="BB22" s="423"/>
      <c r="BC22" s="423"/>
      <c r="BD22" s="423"/>
      <c r="BE22" s="423"/>
      <c r="BF22" s="423"/>
      <c r="BG22" s="423"/>
      <c r="BH22" s="423"/>
      <c r="BI22" s="423"/>
      <c r="BN22" s="242"/>
      <c r="BO22" s="242"/>
      <c r="BX22" s="271" t="s">
        <v>2</v>
      </c>
    </row>
    <row r="23" spans="1:76" ht="13.5" customHeight="1" x14ac:dyDescent="0.2">
      <c r="A23" s="238"/>
      <c r="B23" s="2" t="s">
        <v>1</v>
      </c>
      <c r="C23" s="8">
        <f>SUM(C22:C22)</f>
        <v>275112.75532553397</v>
      </c>
      <c r="D23" s="71">
        <f>SUM(D22:D22)</f>
        <v>550.22551065106791</v>
      </c>
      <c r="E23" s="200">
        <f>E22</f>
        <v>8.3857930917376172E-2</v>
      </c>
      <c r="F23" s="7"/>
      <c r="L23" s="38"/>
      <c r="M23" s="88"/>
      <c r="N23" s="88"/>
      <c r="O23" s="208"/>
      <c r="P23" s="88"/>
      <c r="Q23" s="88"/>
      <c r="R23" s="208"/>
      <c r="S23" s="88"/>
      <c r="T23" s="88"/>
      <c r="W23" s="200"/>
      <c r="X23" s="200"/>
      <c r="Y23" s="192"/>
      <c r="Z23" s="316"/>
      <c r="AA23" s="328"/>
      <c r="AB23" s="330"/>
      <c r="AC23" s="328"/>
      <c r="AD23" s="315"/>
      <c r="AE23" s="91"/>
      <c r="AH23" s="22">
        <f>HLOOKUP(AH$9,AJ$10:BO$43,AI23)</f>
        <v>8.3857930917376172E-2</v>
      </c>
      <c r="AI23">
        <f t="shared" si="2"/>
        <v>14</v>
      </c>
      <c r="AJ23" s="422">
        <v>9.4883498475910238E-2</v>
      </c>
      <c r="AK23" s="422">
        <v>8.1057242351453257E-2</v>
      </c>
      <c r="AL23" s="422">
        <v>0.11215736038674734</v>
      </c>
      <c r="AM23" s="422"/>
      <c r="AN23" s="423"/>
      <c r="AO23" s="423"/>
      <c r="AP23" s="422">
        <v>9.8847193518199969E-2</v>
      </c>
      <c r="AQ23" s="422">
        <v>8.4198449460158309E-2</v>
      </c>
      <c r="AR23" s="422">
        <v>8.1642661678152081E-2</v>
      </c>
      <c r="AS23" s="422"/>
      <c r="AT23" s="422">
        <v>8.3857930917376172E-2</v>
      </c>
      <c r="AU23" s="422">
        <v>7.1430533400830554E-2</v>
      </c>
      <c r="AV23" s="422">
        <v>6.9262307195971332E-2</v>
      </c>
      <c r="AW23" s="422"/>
      <c r="AX23" s="422">
        <v>9.0150516646989712E-2</v>
      </c>
      <c r="AY23" s="422">
        <v>7.6790584027164474E-2</v>
      </c>
      <c r="AZ23" s="422">
        <v>7.3652738689511499E-2</v>
      </c>
      <c r="BA23" s="422"/>
      <c r="BB23" s="422"/>
      <c r="BC23" s="422"/>
      <c r="BD23" s="422">
        <v>9.1118186635388163E-2</v>
      </c>
      <c r="BE23" s="422">
        <v>7.755520978081798E-2</v>
      </c>
      <c r="BF23" s="422">
        <v>0.10018523815625636</v>
      </c>
      <c r="BG23" s="422"/>
      <c r="BH23" s="422"/>
      <c r="BI23" s="422"/>
      <c r="BN23" s="271"/>
      <c r="BO23" s="271"/>
      <c r="BX23" s="271" t="s">
        <v>241</v>
      </c>
    </row>
    <row r="24" spans="1:76" ht="15" customHeight="1" x14ac:dyDescent="0.2">
      <c r="A24" s="238"/>
      <c r="B24" s="2" t="s">
        <v>137</v>
      </c>
      <c r="C24" s="8">
        <f>+C23+C20</f>
        <v>1789989.1953077377</v>
      </c>
      <c r="D24" s="71">
        <f>+D23+D20</f>
        <v>3579.9783906154757</v>
      </c>
      <c r="E24" s="200">
        <f>+E23+E20</f>
        <v>0.54561188958814666</v>
      </c>
      <c r="F24" s="7"/>
      <c r="L24" s="38"/>
      <c r="M24" s="88"/>
      <c r="N24" s="88"/>
      <c r="O24" s="208"/>
      <c r="P24" s="88"/>
      <c r="Q24" s="88"/>
      <c r="R24" s="208"/>
      <c r="S24" s="88"/>
      <c r="T24" s="88"/>
      <c r="W24" s="92"/>
      <c r="X24" s="92"/>
      <c r="Y24" s="192"/>
      <c r="Z24" s="316"/>
      <c r="AA24" s="177"/>
      <c r="AB24" s="330"/>
      <c r="AC24" s="177"/>
      <c r="AD24" s="192"/>
      <c r="AH24" s="22">
        <f>HLOOKUP(AH$9,AJ$10:BO$43,AI24)</f>
        <v>8.3857930917376172E-2</v>
      </c>
      <c r="AI24">
        <f t="shared" si="2"/>
        <v>15</v>
      </c>
      <c r="AJ24" s="422">
        <v>9.4883498475910238E-2</v>
      </c>
      <c r="AK24" s="422">
        <v>8.1057242351453257E-2</v>
      </c>
      <c r="AL24" s="422">
        <v>0.11215736038674734</v>
      </c>
      <c r="AM24" s="422"/>
      <c r="AN24" s="422"/>
      <c r="AO24" s="422"/>
      <c r="AP24" s="422">
        <v>9.8847193518199969E-2</v>
      </c>
      <c r="AQ24" s="422">
        <v>8.4198449460158309E-2</v>
      </c>
      <c r="AR24" s="422">
        <v>8.1642661678152081E-2</v>
      </c>
      <c r="AS24" s="422"/>
      <c r="AT24" s="422">
        <v>8.3857930917376172E-2</v>
      </c>
      <c r="AU24" s="422">
        <v>7.1430533400830554E-2</v>
      </c>
      <c r="AV24" s="422">
        <v>6.9262307195971332E-2</v>
      </c>
      <c r="AW24" s="422"/>
      <c r="AX24" s="422">
        <v>9.0150516646989712E-2</v>
      </c>
      <c r="AY24" s="422">
        <v>7.6790584027164474E-2</v>
      </c>
      <c r="AZ24" s="422">
        <v>7.3652738689511499E-2</v>
      </c>
      <c r="BA24" s="422"/>
      <c r="BB24" s="422"/>
      <c r="BC24" s="422"/>
      <c r="BD24" s="422">
        <v>9.1118186635388163E-2</v>
      </c>
      <c r="BE24" s="422">
        <v>7.755520978081798E-2</v>
      </c>
      <c r="BF24" s="422">
        <v>0.10018523815625636</v>
      </c>
      <c r="BG24" s="424"/>
      <c r="BH24" s="424"/>
      <c r="BI24" s="424"/>
      <c r="BN24" s="271"/>
      <c r="BO24" s="271"/>
      <c r="BX24" s="271" t="s">
        <v>1</v>
      </c>
    </row>
    <row r="25" spans="1:76" ht="15" x14ac:dyDescent="0.25">
      <c r="A25" s="238"/>
      <c r="B25" s="4" t="s">
        <v>6</v>
      </c>
      <c r="C25" s="8"/>
      <c r="E25" s="91"/>
      <c r="F25" s="7"/>
      <c r="L25" s="38"/>
      <c r="M25" s="88"/>
      <c r="N25" s="88"/>
      <c r="P25" s="88"/>
      <c r="Q25" s="88"/>
      <c r="R25" s="208"/>
      <c r="S25" s="88"/>
      <c r="T25" s="88"/>
      <c r="Y25" s="192"/>
      <c r="Z25" s="316"/>
      <c r="AA25" s="177"/>
      <c r="AB25" s="330"/>
      <c r="AC25" s="177"/>
      <c r="AD25" s="192"/>
      <c r="AH25" s="22">
        <f>HLOOKUP(AH$9,AJ$10:BO$43,AI25)</f>
        <v>0.54561188958814666</v>
      </c>
      <c r="AI25">
        <f t="shared" si="2"/>
        <v>16</v>
      </c>
      <c r="AJ25" s="422">
        <v>0.59728315056031855</v>
      </c>
      <c r="AK25" s="422">
        <v>0.51024810283211719</v>
      </c>
      <c r="AL25" s="422">
        <v>0.52660371036215681</v>
      </c>
      <c r="AM25" s="422"/>
      <c r="AN25" s="423"/>
      <c r="AO25" s="423"/>
      <c r="AP25" s="422">
        <v>0.53325715728476375</v>
      </c>
      <c r="AQ25" s="422">
        <v>0.45423065854309641</v>
      </c>
      <c r="AR25" s="422">
        <v>0.54867061886640722</v>
      </c>
      <c r="AS25" s="422"/>
      <c r="AT25" s="422">
        <v>0.54561188958814666</v>
      </c>
      <c r="AU25" s="422">
        <v>0.46475447076694715</v>
      </c>
      <c r="AV25" s="422">
        <v>0.560307650822371</v>
      </c>
      <c r="AW25" s="422"/>
      <c r="AX25" s="422">
        <v>0.52955548193641022</v>
      </c>
      <c r="AY25" s="422">
        <v>0.45216623241705994</v>
      </c>
      <c r="AZ25" s="422">
        <v>0.52663878773866446</v>
      </c>
      <c r="BA25" s="422"/>
      <c r="BB25" s="422"/>
      <c r="BC25" s="422"/>
      <c r="BD25" s="422">
        <v>0.62923351501640468</v>
      </c>
      <c r="BE25" s="422">
        <v>0.53725732117256886</v>
      </c>
      <c r="BF25" s="422">
        <v>0.61226477657062284</v>
      </c>
      <c r="BG25" s="422"/>
      <c r="BH25" s="422"/>
      <c r="BI25" s="422"/>
      <c r="BN25" s="271"/>
      <c r="BO25" s="271"/>
      <c r="BX25" s="271" t="s">
        <v>137</v>
      </c>
    </row>
    <row r="26" spans="1:76" ht="13.5" customHeight="1" x14ac:dyDescent="0.25">
      <c r="A26" s="238"/>
      <c r="B26" s="2" t="s">
        <v>251</v>
      </c>
      <c r="C26" s="8">
        <f>D$9*E26</f>
        <v>91863.275178912125</v>
      </c>
      <c r="D26" s="71">
        <f>C26/E$5</f>
        <v>183.72655035782424</v>
      </c>
      <c r="E26" s="200">
        <f>AH27</f>
        <v>2.8001116032158581E-2</v>
      </c>
      <c r="F26" s="7">
        <v>1</v>
      </c>
      <c r="G26" s="88">
        <v>1</v>
      </c>
      <c r="H26" s="88">
        <v>1</v>
      </c>
      <c r="I26" s="88">
        <v>1</v>
      </c>
      <c r="J26" s="88">
        <v>1</v>
      </c>
      <c r="L26" s="38">
        <f>(L$13-G$13)/(H$13-G$13)</f>
        <v>-0.42857142857142855</v>
      </c>
      <c r="M26" s="88">
        <f>+H26-G26</f>
        <v>0</v>
      </c>
      <c r="N26" s="88">
        <f>G26+(M26*L26)</f>
        <v>1</v>
      </c>
      <c r="O26" s="208">
        <f>(L$13-H$13)/(I$13-H$13)</f>
        <v>-0.5</v>
      </c>
      <c r="P26" s="88">
        <f>I26-H26</f>
        <v>0</v>
      </c>
      <c r="Q26" s="88">
        <f>H26+(O26*P26)</f>
        <v>1</v>
      </c>
      <c r="R26" s="208">
        <f>IF((L$13-I$13)/(J$13-I$13)&gt;1,1,(L$13-I$13)/(J$13-I$13))</f>
        <v>-3</v>
      </c>
      <c r="S26" s="88">
        <f>J26-I26</f>
        <v>0</v>
      </c>
      <c r="T26" s="88">
        <f>I26+(R26*S26)</f>
        <v>1</v>
      </c>
      <c r="Y26" s="192"/>
      <c r="Z26" s="177"/>
      <c r="AA26" s="177"/>
      <c r="AB26" s="330"/>
      <c r="AC26" s="177"/>
      <c r="AD26" s="192"/>
      <c r="AH26" s="274"/>
      <c r="AI26">
        <f t="shared" si="2"/>
        <v>17</v>
      </c>
      <c r="AJ26" s="423"/>
      <c r="AK26" s="423"/>
      <c r="AL26" s="423"/>
      <c r="AM26" s="423"/>
      <c r="AN26" s="423"/>
      <c r="AO26" s="423"/>
      <c r="AP26" s="423"/>
      <c r="AQ26" s="423"/>
      <c r="AR26" s="423"/>
      <c r="AS26" s="423"/>
      <c r="AT26" s="423"/>
      <c r="AU26" s="423"/>
      <c r="AV26" s="423"/>
      <c r="AW26" s="423"/>
      <c r="AX26" s="423"/>
      <c r="AY26" s="423"/>
      <c r="AZ26" s="423"/>
      <c r="BA26" s="423"/>
      <c r="BB26" s="423"/>
      <c r="BC26" s="423"/>
      <c r="BD26" s="423"/>
      <c r="BE26" s="423"/>
      <c r="BF26" s="423"/>
      <c r="BG26" s="423"/>
      <c r="BH26" s="423"/>
      <c r="BI26" s="423"/>
      <c r="BN26" s="273"/>
      <c r="BO26" s="273"/>
      <c r="BX26" s="273" t="s">
        <v>6</v>
      </c>
    </row>
    <row r="27" spans="1:76" ht="15" customHeight="1" x14ac:dyDescent="0.2">
      <c r="A27" s="238"/>
      <c r="B27" s="271" t="s">
        <v>287</v>
      </c>
      <c r="C27" s="8">
        <f>D$9*E27</f>
        <v>183726.55035782425</v>
      </c>
      <c r="D27" s="71">
        <f>C27/E$5</f>
        <v>367.45310071564847</v>
      </c>
      <c r="E27" s="200">
        <f>AH28</f>
        <v>5.6002232064317162E-2</v>
      </c>
      <c r="F27" s="7">
        <v>1</v>
      </c>
      <c r="G27" s="88">
        <v>0</v>
      </c>
      <c r="H27" s="88">
        <v>1</v>
      </c>
      <c r="I27" s="88">
        <v>1</v>
      </c>
      <c r="J27" s="88">
        <v>1</v>
      </c>
      <c r="L27" s="38">
        <f>(L$13-G$13)/(H$13-G$13)</f>
        <v>-0.42857142857142855</v>
      </c>
      <c r="M27" s="88">
        <f>+H27-G27</f>
        <v>1</v>
      </c>
      <c r="N27" s="88">
        <f>G27+(M27*L27)</f>
        <v>-0.42857142857142855</v>
      </c>
      <c r="O27" s="208">
        <f>(L$13-H$13)/(I$13-H$13)</f>
        <v>-0.5</v>
      </c>
      <c r="P27" s="88">
        <f>I27-H27</f>
        <v>0</v>
      </c>
      <c r="Q27" s="88">
        <f>H27+(O27*P27)</f>
        <v>1</v>
      </c>
      <c r="R27" s="208">
        <f>IF((L$13-I$13)/(J$13-I$13)&gt;1,1,(L$13-I$13)/(J$13-I$13))</f>
        <v>-3</v>
      </c>
      <c r="S27" s="88">
        <f>J27-I27</f>
        <v>0</v>
      </c>
      <c r="T27" s="88">
        <f>I27+(R27*S27)</f>
        <v>1</v>
      </c>
      <c r="W27" s="217"/>
      <c r="X27" s="217"/>
      <c r="Y27" s="192"/>
      <c r="Z27" s="316"/>
      <c r="AA27" s="331"/>
      <c r="AB27" s="330"/>
      <c r="AC27" s="331"/>
      <c r="AD27" s="192"/>
      <c r="AH27" s="22">
        <f t="shared" ref="AH27:AH32" si="3">HLOOKUP(AH$9,AJ$10:BO$43,AI27)</f>
        <v>2.8001116032158581E-2</v>
      </c>
      <c r="AI27">
        <f t="shared" si="2"/>
        <v>18</v>
      </c>
      <c r="AJ27" s="422">
        <v>0.10827437760044102</v>
      </c>
      <c r="AK27" s="422">
        <v>0.1316746044231013</v>
      </c>
      <c r="AL27" s="422">
        <v>0.1272772388098769</v>
      </c>
      <c r="AM27" s="422"/>
      <c r="AN27" s="423"/>
      <c r="AO27" s="423"/>
      <c r="AP27" s="422">
        <v>2.8762461421367205E-2</v>
      </c>
      <c r="AQ27" s="422">
        <v>3.3632373529927817E-2</v>
      </c>
      <c r="AR27" s="422">
        <v>2.7812625551292117E-2</v>
      </c>
      <c r="AS27" s="422"/>
      <c r="AT27" s="422">
        <v>2.8001116032158581E-2</v>
      </c>
      <c r="AU27" s="422">
        <v>3.2983856369314619E-2</v>
      </c>
      <c r="AV27" s="422">
        <v>2.7095507575266003E-2</v>
      </c>
      <c r="AW27" s="422"/>
      <c r="AX27" s="422">
        <v>0.12648362605077423</v>
      </c>
      <c r="AY27" s="422">
        <v>0.14729048535236877</v>
      </c>
      <c r="AZ27" s="422">
        <v>0.12726780791292161</v>
      </c>
      <c r="BA27" s="422"/>
      <c r="BB27" s="422"/>
      <c r="BC27" s="422"/>
      <c r="BD27" s="422">
        <v>4.2104485454802316E-3</v>
      </c>
      <c r="BE27" s="422">
        <v>5.4554865091385437E-3</v>
      </c>
      <c r="BF27" s="422">
        <v>4.5711890804989511E-3</v>
      </c>
      <c r="BG27" s="422"/>
      <c r="BH27" s="422"/>
      <c r="BI27" s="422"/>
      <c r="BN27" s="271"/>
      <c r="BO27" s="271"/>
      <c r="BX27" s="271" t="s">
        <v>251</v>
      </c>
    </row>
    <row r="28" spans="1:76" ht="15.75" customHeight="1" x14ac:dyDescent="0.2">
      <c r="A28" s="238"/>
      <c r="B28" s="271" t="s">
        <v>288</v>
      </c>
      <c r="C28" s="8">
        <f>D$9*E28</f>
        <v>1215121.4724290601</v>
      </c>
      <c r="D28" s="71">
        <f>C28/E$5</f>
        <v>2430.2429448581202</v>
      </c>
      <c r="E28" s="200">
        <f>AH29</f>
        <v>0.37038476231537765</v>
      </c>
      <c r="F28" s="7">
        <v>1</v>
      </c>
      <c r="G28" s="88">
        <v>0</v>
      </c>
      <c r="H28" s="88">
        <v>1</v>
      </c>
      <c r="I28" s="88">
        <v>1</v>
      </c>
      <c r="J28" s="88">
        <v>1</v>
      </c>
      <c r="L28" s="38">
        <f>(L$13-G$13)/(H$13-G$13)</f>
        <v>-0.42857142857142855</v>
      </c>
      <c r="M28" s="88">
        <f>+H28-G28</f>
        <v>1</v>
      </c>
      <c r="N28" s="88">
        <f>G28+(M28*L28)</f>
        <v>-0.42857142857142855</v>
      </c>
      <c r="O28" s="208">
        <f>(L$13-H$13)/(I$13-H$13)</f>
        <v>-0.5</v>
      </c>
      <c r="P28" s="88">
        <f>I28-H28</f>
        <v>0</v>
      </c>
      <c r="Q28" s="88">
        <f>H28+(O28*P28)</f>
        <v>1</v>
      </c>
      <c r="R28" s="208">
        <f>IF((L$13-I$13)/(J$13-I$13)&gt;1,1,(L$13-I$13)/(J$13-I$13))</f>
        <v>-3</v>
      </c>
      <c r="S28" s="88">
        <f>J28-I28</f>
        <v>0</v>
      </c>
      <c r="T28" s="88">
        <f>I28+(R28*S28)</f>
        <v>1</v>
      </c>
      <c r="W28" s="217"/>
      <c r="X28" s="217"/>
      <c r="Y28" s="192"/>
      <c r="Z28" s="316"/>
      <c r="AA28" s="331"/>
      <c r="AB28" s="330"/>
      <c r="AC28" s="331"/>
      <c r="AD28" s="192"/>
      <c r="AG28" s="10"/>
      <c r="AH28" s="22">
        <f t="shared" si="3"/>
        <v>5.6002232064317162E-2</v>
      </c>
      <c r="AI28">
        <f t="shared" si="2"/>
        <v>19</v>
      </c>
      <c r="AJ28" s="422">
        <v>4.4193623510384097E-2</v>
      </c>
      <c r="AK28" s="422">
        <v>5.3744736499225031E-2</v>
      </c>
      <c r="AL28" s="422">
        <v>5.1949893391786503E-2</v>
      </c>
      <c r="AM28" s="422"/>
      <c r="AN28" s="423"/>
      <c r="AO28" s="423"/>
      <c r="AP28" s="422">
        <v>5.7524922842734409E-2</v>
      </c>
      <c r="AQ28" s="422">
        <v>6.7264747059855634E-2</v>
      </c>
      <c r="AR28" s="422">
        <v>5.5625251102584233E-2</v>
      </c>
      <c r="AS28" s="422"/>
      <c r="AT28" s="422">
        <v>5.6002232064317162E-2</v>
      </c>
      <c r="AU28" s="422">
        <v>6.5967712738629239E-2</v>
      </c>
      <c r="AV28" s="422">
        <v>5.4191015150532006E-2</v>
      </c>
      <c r="AW28" s="422"/>
      <c r="AX28" s="422">
        <v>5.1625969816642553E-2</v>
      </c>
      <c r="AY28" s="422">
        <v>6.0118565449946447E-2</v>
      </c>
      <c r="AZ28" s="422">
        <v>5.1946044046090468E-2</v>
      </c>
      <c r="BA28" s="422"/>
      <c r="BB28" s="422"/>
      <c r="BC28" s="422"/>
      <c r="BD28" s="422">
        <v>9.3050912855113119E-2</v>
      </c>
      <c r="BE28" s="422">
        <v>0.12056625185196183</v>
      </c>
      <c r="BF28" s="422">
        <v>0.10102327867902682</v>
      </c>
      <c r="BG28" s="422"/>
      <c r="BH28" s="422"/>
      <c r="BI28" s="422"/>
      <c r="BN28" s="271"/>
      <c r="BO28" s="271"/>
      <c r="BX28" s="271" t="s">
        <v>287</v>
      </c>
    </row>
    <row r="29" spans="1:76" ht="15" customHeight="1" x14ac:dyDescent="0.2">
      <c r="A29" s="238"/>
      <c r="B29" s="2" t="s">
        <v>3</v>
      </c>
      <c r="C29" s="8">
        <f>SUM(C26:C28)</f>
        <v>1490711.2979657967</v>
      </c>
      <c r="D29" s="71">
        <f>SUM(D26:D28)</f>
        <v>2981.4225959315927</v>
      </c>
      <c r="E29" s="200">
        <f>SUM(E26:E28)</f>
        <v>0.4543881104118534</v>
      </c>
      <c r="F29" s="7"/>
      <c r="G29" s="88"/>
      <c r="H29" s="88"/>
      <c r="I29" s="88"/>
      <c r="J29" s="88"/>
      <c r="L29" s="38"/>
      <c r="M29" s="88"/>
      <c r="N29" s="88"/>
      <c r="O29" s="208"/>
      <c r="P29" s="88"/>
      <c r="Q29" s="88"/>
      <c r="R29" s="208"/>
      <c r="S29" s="88"/>
      <c r="T29" s="88"/>
      <c r="Y29" s="192"/>
      <c r="Z29" s="177"/>
      <c r="AA29" s="177"/>
      <c r="AB29" s="330"/>
      <c r="AC29" s="177"/>
      <c r="AD29" s="192"/>
      <c r="AG29" s="10"/>
      <c r="AH29" s="22">
        <f t="shared" si="3"/>
        <v>0.37038476231537765</v>
      </c>
      <c r="AI29">
        <f t="shared" si="2"/>
        <v>20</v>
      </c>
      <c r="AJ29" s="422">
        <v>0.2502488483288563</v>
      </c>
      <c r="AK29" s="422">
        <v>0.30433255624555644</v>
      </c>
      <c r="AL29" s="422">
        <v>0.29416915743617977</v>
      </c>
      <c r="AM29" s="422"/>
      <c r="AN29" s="423"/>
      <c r="AO29" s="423"/>
      <c r="AP29" s="422">
        <v>0.38045545845113471</v>
      </c>
      <c r="AQ29" s="422">
        <v>0.44487222086712019</v>
      </c>
      <c r="AR29" s="422">
        <v>0.36789150447971647</v>
      </c>
      <c r="AS29" s="422"/>
      <c r="AT29" s="422">
        <v>0.37038476231537765</v>
      </c>
      <c r="AU29" s="422">
        <v>0.43629396012510913</v>
      </c>
      <c r="AV29" s="422">
        <v>0.35840582645183106</v>
      </c>
      <c r="AW29" s="422"/>
      <c r="AX29" s="422">
        <v>0.29233492219617296</v>
      </c>
      <c r="AY29" s="422">
        <v>0.34042471678062486</v>
      </c>
      <c r="AZ29" s="422">
        <v>0.29414736030232341</v>
      </c>
      <c r="BA29" s="422"/>
      <c r="BB29" s="422"/>
      <c r="BC29" s="422"/>
      <c r="BD29" s="422">
        <v>0.273505123583002</v>
      </c>
      <c r="BE29" s="422">
        <v>0.33672094046633078</v>
      </c>
      <c r="BF29" s="422">
        <v>0.28214075566985142</v>
      </c>
      <c r="BG29" s="422"/>
      <c r="BH29" s="422"/>
      <c r="BI29" s="422"/>
      <c r="BN29" s="271"/>
      <c r="BO29" s="271"/>
      <c r="BX29" s="271" t="s">
        <v>288</v>
      </c>
    </row>
    <row r="30" spans="1:76" ht="15" x14ac:dyDescent="0.25">
      <c r="A30" s="238"/>
      <c r="B30" s="4" t="s">
        <v>290</v>
      </c>
      <c r="C30" s="8">
        <f>C29+C24</f>
        <v>3280700.4932735343</v>
      </c>
      <c r="D30" s="71">
        <f>D29+D24</f>
        <v>6561.4009865470689</v>
      </c>
      <c r="E30" s="92">
        <f>E29+E24</f>
        <v>1</v>
      </c>
      <c r="F30" s="7"/>
      <c r="G30" s="11" t="s">
        <v>225</v>
      </c>
      <c r="H30" s="11" t="s">
        <v>222</v>
      </c>
      <c r="I30" s="11" t="s">
        <v>223</v>
      </c>
      <c r="J30" s="11" t="s">
        <v>224</v>
      </c>
      <c r="L30" s="38"/>
      <c r="M30" s="88"/>
      <c r="N30" s="88"/>
      <c r="O30" s="208"/>
      <c r="P30" s="88"/>
      <c r="Q30" s="88"/>
      <c r="R30" s="208"/>
      <c r="S30" s="88"/>
      <c r="T30" s="88"/>
      <c r="Y30" s="192"/>
      <c r="Z30" s="316"/>
      <c r="AA30" s="316"/>
      <c r="AB30" s="316"/>
      <c r="AC30" s="316"/>
      <c r="AD30" s="192"/>
      <c r="AH30" s="22">
        <f t="shared" si="3"/>
        <v>0.4543881104118534</v>
      </c>
      <c r="AI30">
        <f t="shared" si="2"/>
        <v>21</v>
      </c>
      <c r="AJ30" s="422">
        <v>0.40271684943968145</v>
      </c>
      <c r="AK30" s="422">
        <v>0.48975189716788281</v>
      </c>
      <c r="AL30" s="422">
        <v>0.47339628963784319</v>
      </c>
      <c r="AM30" s="422"/>
      <c r="AN30" s="423"/>
      <c r="AO30" s="423"/>
      <c r="AP30" s="422">
        <v>0.46674284271523631</v>
      </c>
      <c r="AQ30" s="422">
        <v>0.54576934145690359</v>
      </c>
      <c r="AR30" s="422">
        <v>0.45132938113359283</v>
      </c>
      <c r="AS30" s="422"/>
      <c r="AT30" s="422">
        <v>0.4543881104118534</v>
      </c>
      <c r="AU30" s="422">
        <v>0.53524552923305302</v>
      </c>
      <c r="AV30" s="422">
        <v>0.43969234917762906</v>
      </c>
      <c r="AW30" s="422"/>
      <c r="AX30" s="422">
        <v>0.47044451806358978</v>
      </c>
      <c r="AY30" s="422">
        <v>0.54783376758294011</v>
      </c>
      <c r="AZ30" s="422">
        <v>0.47336121226133548</v>
      </c>
      <c r="BA30" s="422"/>
      <c r="BB30" s="422"/>
      <c r="BC30" s="422"/>
      <c r="BD30" s="422">
        <v>0.37076648498359532</v>
      </c>
      <c r="BE30" s="422">
        <v>0.46274267882743114</v>
      </c>
      <c r="BF30" s="422">
        <v>0.38773522342937716</v>
      </c>
      <c r="BG30" s="422"/>
      <c r="BH30" s="422"/>
      <c r="BI30" s="422"/>
      <c r="BN30" s="271"/>
      <c r="BO30" s="271"/>
      <c r="BX30" s="271" t="s">
        <v>3</v>
      </c>
    </row>
    <row r="31" spans="1:76" ht="15" x14ac:dyDescent="0.25">
      <c r="A31" s="238"/>
      <c r="B31" s="283" t="s">
        <v>291</v>
      </c>
      <c r="C31" s="8">
        <f>C20*(C$58*(1-C$59))</f>
        <v>124977.30629853181</v>
      </c>
      <c r="D31" s="71">
        <f>C31/E$5</f>
        <v>249.95461259706363</v>
      </c>
      <c r="E31" s="88"/>
      <c r="F31" s="7"/>
      <c r="G31" s="164">
        <v>30000</v>
      </c>
      <c r="H31" s="164">
        <v>100000</v>
      </c>
      <c r="I31" s="164">
        <v>300000</v>
      </c>
      <c r="J31" s="207">
        <v>400000</v>
      </c>
      <c r="L31" s="38"/>
      <c r="M31" s="88"/>
      <c r="N31" s="88"/>
      <c r="O31" s="208"/>
      <c r="P31" s="88"/>
      <c r="Q31" s="88"/>
      <c r="R31" s="208"/>
      <c r="S31" s="88"/>
      <c r="T31" s="88"/>
      <c r="Y31" s="192"/>
      <c r="Z31" s="177"/>
      <c r="AA31" s="332"/>
      <c r="AB31" s="177"/>
      <c r="AC31" s="177"/>
      <c r="AD31" s="192"/>
      <c r="AH31" s="22">
        <f t="shared" si="3"/>
        <v>1</v>
      </c>
      <c r="AI31">
        <f t="shared" si="2"/>
        <v>22</v>
      </c>
      <c r="AJ31" s="422">
        <v>1</v>
      </c>
      <c r="AK31" s="422">
        <v>1</v>
      </c>
      <c r="AL31" s="422">
        <v>1</v>
      </c>
      <c r="AM31" s="422"/>
      <c r="AN31" s="423"/>
      <c r="AO31" s="423"/>
      <c r="AP31" s="422">
        <v>1</v>
      </c>
      <c r="AQ31" s="422">
        <v>1</v>
      </c>
      <c r="AR31" s="422">
        <v>1</v>
      </c>
      <c r="AS31" s="422"/>
      <c r="AT31" s="422">
        <v>1</v>
      </c>
      <c r="AU31" s="422">
        <v>1.0000000000000002</v>
      </c>
      <c r="AV31" s="422">
        <v>1</v>
      </c>
      <c r="AW31" s="422"/>
      <c r="AX31" s="422">
        <v>1</v>
      </c>
      <c r="AY31" s="422">
        <v>1</v>
      </c>
      <c r="AZ31" s="422">
        <v>1</v>
      </c>
      <c r="BA31" s="422"/>
      <c r="BB31" s="422"/>
      <c r="BC31" s="422"/>
      <c r="BD31" s="422">
        <v>1</v>
      </c>
      <c r="BE31" s="422">
        <v>1</v>
      </c>
      <c r="BF31" s="422">
        <v>1</v>
      </c>
      <c r="BG31" s="422"/>
      <c r="BH31" s="422"/>
      <c r="BI31" s="422"/>
      <c r="BN31" s="275"/>
      <c r="BO31" s="275"/>
      <c r="BX31" s="273" t="s">
        <v>4</v>
      </c>
    </row>
    <row r="32" spans="1:76" ht="16.5" customHeight="1" x14ac:dyDescent="0.25">
      <c r="A32" s="238"/>
      <c r="B32" s="4" t="s">
        <v>4</v>
      </c>
      <c r="C32" s="8">
        <f>C31+C30</f>
        <v>3405677.7995720659</v>
      </c>
      <c r="D32" s="71">
        <f>D31+D30</f>
        <v>6811.3555991441326</v>
      </c>
      <c r="E32" s="8"/>
      <c r="F32" s="7"/>
      <c r="G32" s="11" t="s">
        <v>221</v>
      </c>
      <c r="H32" s="11" t="s">
        <v>221</v>
      </c>
      <c r="I32" s="11" t="s">
        <v>221</v>
      </c>
      <c r="J32" s="11" t="s">
        <v>221</v>
      </c>
      <c r="L32" s="38"/>
      <c r="M32" s="88"/>
      <c r="N32" s="88"/>
      <c r="O32" s="208"/>
      <c r="P32" s="88"/>
      <c r="Q32" s="88"/>
      <c r="R32" s="208"/>
      <c r="S32" s="88"/>
      <c r="T32" s="88"/>
      <c r="Y32" s="192"/>
      <c r="Z32" s="192"/>
      <c r="AA32" s="192"/>
      <c r="AB32" s="192"/>
      <c r="AC32" s="192"/>
      <c r="AD32" s="192"/>
      <c r="AH32" s="484">
        <f t="shared" si="3"/>
        <v>6.561936163411179</v>
      </c>
      <c r="AI32">
        <f t="shared" si="2"/>
        <v>23</v>
      </c>
      <c r="AJ32" s="482">
        <v>5.652870156691213</v>
      </c>
      <c r="AK32" s="482">
        <v>6.6171026960345731</v>
      </c>
      <c r="AL32" s="482">
        <v>5.4206620364232165</v>
      </c>
      <c r="AM32" s="482"/>
      <c r="AN32" s="482"/>
      <c r="AO32" s="482"/>
      <c r="AP32" s="483">
        <v>6.9749781375369473</v>
      </c>
      <c r="AQ32" s="483">
        <v>8.1884763694202167</v>
      </c>
      <c r="AR32" s="483">
        <v>8.4448130373832502</v>
      </c>
      <c r="AS32" s="482"/>
      <c r="AT32" s="483">
        <v>6.561936163411179</v>
      </c>
      <c r="AU32" s="483">
        <v>7.7035738538831762</v>
      </c>
      <c r="AV32" s="483">
        <v>8.0317710632574819</v>
      </c>
      <c r="AW32" s="482"/>
      <c r="AX32" s="482">
        <v>6.463286089927073</v>
      </c>
      <c r="AY32" s="482">
        <v>7.5657544973459396</v>
      </c>
      <c r="AZ32" s="482">
        <v>7.2385357622542221</v>
      </c>
      <c r="BA32" s="482"/>
      <c r="BB32" s="482"/>
      <c r="BC32" s="482"/>
      <c r="BD32" s="482">
        <v>4.8688447658285057</v>
      </c>
      <c r="BE32" s="482">
        <v>5.6993429768419688</v>
      </c>
      <c r="BF32" s="482">
        <v>4.4282003440423034</v>
      </c>
      <c r="BG32" s="424"/>
      <c r="BH32" s="424"/>
      <c r="BI32" s="424"/>
      <c r="BN32" s="289"/>
      <c r="BO32" s="289"/>
      <c r="BX32" s="284" t="s">
        <v>293</v>
      </c>
    </row>
    <row r="33" spans="1:76" ht="15" customHeight="1" x14ac:dyDescent="0.25">
      <c r="A33" s="238"/>
      <c r="B33" s="73" t="s">
        <v>230</v>
      </c>
      <c r="C33" s="11" t="s">
        <v>111</v>
      </c>
      <c r="D33" s="11" t="s">
        <v>198</v>
      </c>
      <c r="E33" s="11" t="s">
        <v>162</v>
      </c>
      <c r="F33" s="30" t="s">
        <v>5</v>
      </c>
      <c r="G33" s="30" t="s">
        <v>5</v>
      </c>
      <c r="H33" s="30" t="s">
        <v>5</v>
      </c>
      <c r="I33" s="30" t="s">
        <v>5</v>
      </c>
      <c r="J33" s="30" t="s">
        <v>5</v>
      </c>
      <c r="L33" s="38"/>
      <c r="M33" s="88"/>
      <c r="N33" s="88"/>
      <c r="P33" s="88"/>
      <c r="Q33" s="88"/>
      <c r="R33" s="208"/>
      <c r="S33" s="88"/>
      <c r="T33" s="88"/>
      <c r="AH33" s="22"/>
      <c r="AI33">
        <f t="shared" si="2"/>
        <v>24</v>
      </c>
      <c r="AV33" s="38"/>
      <c r="BX33" s="285" t="s">
        <v>294</v>
      </c>
    </row>
    <row r="34" spans="1:76" ht="15" x14ac:dyDescent="0.25">
      <c r="A34" s="238"/>
      <c r="B34" s="206" t="s">
        <v>249</v>
      </c>
      <c r="D34" s="11" t="s">
        <v>199</v>
      </c>
      <c r="E34" s="11" t="s">
        <v>163</v>
      </c>
      <c r="L34" s="38"/>
      <c r="M34" s="88"/>
      <c r="N34" s="88"/>
      <c r="P34" s="88"/>
      <c r="Q34" s="88"/>
      <c r="R34" s="208"/>
      <c r="S34" s="88"/>
      <c r="T34" s="88"/>
      <c r="AH34" s="274"/>
      <c r="AI34">
        <f t="shared" si="2"/>
        <v>25</v>
      </c>
      <c r="BX34" s="286" t="s">
        <v>249</v>
      </c>
    </row>
    <row r="35" spans="1:76" x14ac:dyDescent="0.2">
      <c r="A35" s="238"/>
      <c r="B35" s="33" t="s">
        <v>248</v>
      </c>
      <c r="C35" s="8">
        <f>+D35*(ProjectData!B$20)</f>
        <v>8965.3333333333321</v>
      </c>
      <c r="D35" s="117">
        <f>E35*E$9</f>
        <v>17.930666666666664</v>
      </c>
      <c r="E35" s="91">
        <f>AH35</f>
        <v>0.54666666666666663</v>
      </c>
      <c r="F35" s="7">
        <v>1</v>
      </c>
      <c r="G35" s="88">
        <v>1</v>
      </c>
      <c r="H35" s="88">
        <v>1</v>
      </c>
      <c r="I35" s="88">
        <v>1</v>
      </c>
      <c r="J35" s="88">
        <v>1</v>
      </c>
      <c r="L35" s="38"/>
      <c r="M35" s="88"/>
      <c r="N35" s="88"/>
      <c r="O35" s="208"/>
      <c r="P35" s="88"/>
      <c r="Q35" s="88"/>
      <c r="R35" s="208"/>
      <c r="S35" s="88"/>
      <c r="T35" s="88"/>
      <c r="AH35" s="22">
        <f>HLOOKUP(AH$9,AJ$10:BO$43,AI35)</f>
        <v>0.54666666666666663</v>
      </c>
      <c r="AI35">
        <f t="shared" si="2"/>
        <v>26</v>
      </c>
      <c r="AJ35" s="276">
        <v>0.6</v>
      </c>
      <c r="AK35" s="276">
        <v>0.6</v>
      </c>
      <c r="AL35" s="276">
        <v>0.6</v>
      </c>
      <c r="AM35" s="276"/>
      <c r="AN35" s="276"/>
      <c r="AO35" s="276"/>
      <c r="AP35" s="277">
        <v>0.54666666666666663</v>
      </c>
      <c r="AQ35" s="277">
        <v>0.54666666666666663</v>
      </c>
      <c r="AR35" s="277">
        <v>0.54666666666666663</v>
      </c>
      <c r="AS35" s="277"/>
      <c r="AT35" s="277">
        <v>0.54666666666666663</v>
      </c>
      <c r="AU35" s="277">
        <v>0.54666666666666663</v>
      </c>
      <c r="AV35" s="277">
        <v>0.54666666666666663</v>
      </c>
      <c r="AW35" s="277"/>
      <c r="AX35" s="277">
        <v>0.54666666666666663</v>
      </c>
      <c r="AY35" s="277">
        <v>0.54666666666666663</v>
      </c>
      <c r="AZ35" s="277">
        <v>0.54666666666666663</v>
      </c>
      <c r="BA35" s="277"/>
      <c r="BB35" s="277"/>
      <c r="BC35" s="277"/>
      <c r="BD35" s="276">
        <v>0.6</v>
      </c>
      <c r="BE35" s="276">
        <v>0.6</v>
      </c>
      <c r="BF35" s="276">
        <v>0.6</v>
      </c>
      <c r="BG35" s="276"/>
      <c r="BH35" s="276"/>
      <c r="BI35" s="276"/>
      <c r="BJ35" s="276"/>
      <c r="BK35" s="276"/>
      <c r="BL35" s="276"/>
      <c r="BM35" s="276"/>
      <c r="BN35" s="276"/>
      <c r="BO35" s="276"/>
      <c r="BP35" s="276"/>
      <c r="BX35" s="287" t="s">
        <v>248</v>
      </c>
    </row>
    <row r="36" spans="1:76" x14ac:dyDescent="0.2">
      <c r="A36" s="238"/>
      <c r="B36" s="2" t="s">
        <v>3</v>
      </c>
      <c r="C36" s="8">
        <f>SUM(C35:C35)</f>
        <v>8965.3333333333321</v>
      </c>
      <c r="D36" s="117">
        <f>SUM(D35:D35)</f>
        <v>17.930666666666664</v>
      </c>
      <c r="E36" s="88">
        <f>SUM(E35:E35)</f>
        <v>0.54666666666666663</v>
      </c>
      <c r="F36" s="7"/>
      <c r="L36" s="38"/>
      <c r="M36" s="88"/>
      <c r="N36" s="88"/>
      <c r="O36" s="208"/>
      <c r="P36" s="88"/>
      <c r="Q36" s="88"/>
      <c r="R36" s="208"/>
      <c r="S36" s="88"/>
      <c r="T36" s="88"/>
      <c r="AG36" s="1" t="str">
        <f>AG11</f>
        <v>Manufactured</v>
      </c>
      <c r="AH36" s="22">
        <f>HLOOKUP(AH$9,AJ$10:BO$43,AI36)</f>
        <v>0.54666666666666663</v>
      </c>
      <c r="AI36">
        <f t="shared" si="2"/>
        <v>27</v>
      </c>
      <c r="AJ36" s="277">
        <v>0.6</v>
      </c>
      <c r="AK36" s="277">
        <v>0.6</v>
      </c>
      <c r="AL36" s="277">
        <v>0.6</v>
      </c>
      <c r="AM36" s="277"/>
      <c r="AN36" s="277"/>
      <c r="AO36" s="277"/>
      <c r="AP36" s="277">
        <v>0.54666666666666663</v>
      </c>
      <c r="AQ36" s="277">
        <v>0.54666666666666663</v>
      </c>
      <c r="AR36" s="277">
        <v>0.54666666666666663</v>
      </c>
      <c r="AS36" s="277"/>
      <c r="AT36" s="277">
        <v>0.54666666666666663</v>
      </c>
      <c r="AU36" s="277">
        <v>0.54666666666666663</v>
      </c>
      <c r="AV36" s="277">
        <v>0.54666666666666663</v>
      </c>
      <c r="AW36" s="277"/>
      <c r="AX36" s="277">
        <v>0.54666666666666663</v>
      </c>
      <c r="AY36" s="277">
        <v>0.54666666666666663</v>
      </c>
      <c r="AZ36" s="277">
        <v>0.54666666666666663</v>
      </c>
      <c r="BA36" s="277"/>
      <c r="BB36" s="277"/>
      <c r="BC36" s="277"/>
      <c r="BD36" s="277">
        <v>0.6</v>
      </c>
      <c r="BE36" s="277">
        <v>0.6</v>
      </c>
      <c r="BF36" s="277">
        <v>0.6</v>
      </c>
      <c r="BG36" s="277"/>
      <c r="BH36" s="277"/>
      <c r="BI36" s="277"/>
      <c r="BJ36" s="277"/>
      <c r="BK36" s="277"/>
      <c r="BL36" s="277"/>
      <c r="BM36" s="277"/>
      <c r="BN36" s="277"/>
      <c r="BO36" s="277"/>
      <c r="BP36" s="277"/>
      <c r="BX36" s="271" t="s">
        <v>3</v>
      </c>
    </row>
    <row r="37" spans="1:76" ht="14.25" customHeight="1" x14ac:dyDescent="0.25">
      <c r="A37" s="238"/>
      <c r="B37" s="4" t="s">
        <v>134</v>
      </c>
      <c r="C37" s="8"/>
      <c r="D37" s="20"/>
      <c r="E37" s="91"/>
      <c r="F37" s="7"/>
      <c r="L37" s="38"/>
      <c r="M37" s="88"/>
      <c r="N37" s="88"/>
      <c r="O37" s="208"/>
      <c r="P37" s="88"/>
      <c r="Q37" s="88"/>
      <c r="R37" s="208"/>
      <c r="S37" s="88"/>
      <c r="T37" s="88"/>
      <c r="AG37" s="1" t="str">
        <f>AG14</f>
        <v>Locally</v>
      </c>
      <c r="AH37" s="274"/>
      <c r="AI37">
        <f t="shared" si="2"/>
        <v>28</v>
      </c>
      <c r="AJ37" s="277"/>
      <c r="AK37" s="277"/>
      <c r="AL37" s="277"/>
      <c r="AM37" s="277"/>
      <c r="AN37" s="277"/>
      <c r="AO37" s="277"/>
      <c r="AP37" s="277"/>
      <c r="AQ37" s="277"/>
      <c r="AR37" s="277"/>
      <c r="AS37" s="277"/>
      <c r="AT37" s="277"/>
      <c r="AU37" s="277"/>
      <c r="AV37" s="277"/>
      <c r="AW37" s="277"/>
      <c r="AX37" s="277"/>
      <c r="AY37" s="277"/>
      <c r="AZ37" s="277"/>
      <c r="BA37" s="277"/>
      <c r="BB37" s="277"/>
      <c r="BC37" s="277"/>
      <c r="BD37" s="277"/>
      <c r="BE37" s="277"/>
      <c r="BF37" s="277"/>
      <c r="BG37" s="277"/>
      <c r="BH37" s="277"/>
      <c r="BI37" s="277"/>
      <c r="BJ37" s="277"/>
      <c r="BK37" s="277"/>
      <c r="BL37" s="277"/>
      <c r="BM37" s="277"/>
      <c r="BN37" s="277"/>
      <c r="BO37" s="277"/>
      <c r="BP37" s="277"/>
      <c r="BX37" s="273" t="s">
        <v>134</v>
      </c>
    </row>
    <row r="38" spans="1:76" ht="15.75" customHeight="1" x14ac:dyDescent="0.2">
      <c r="A38" s="238"/>
      <c r="B38" t="s">
        <v>237</v>
      </c>
      <c r="C38" s="8">
        <f>+D38*(ProjectData!B$20)</f>
        <v>7434.666666666667</v>
      </c>
      <c r="D38" s="290">
        <f>E38*E$9</f>
        <v>14.869333333333334</v>
      </c>
      <c r="E38" s="91">
        <f>AH38</f>
        <v>0.45333333333333337</v>
      </c>
      <c r="F38" s="7">
        <v>1</v>
      </c>
      <c r="G38" s="170">
        <v>0</v>
      </c>
      <c r="H38" s="170">
        <v>1</v>
      </c>
      <c r="I38" s="170">
        <v>1</v>
      </c>
      <c r="J38" s="88">
        <v>1</v>
      </c>
      <c r="L38" s="38"/>
      <c r="M38" s="88"/>
      <c r="N38" s="88"/>
      <c r="O38" s="208"/>
      <c r="P38" s="88"/>
      <c r="Q38" s="88"/>
      <c r="R38" s="208"/>
      <c r="S38" s="88"/>
      <c r="T38" s="88"/>
      <c r="AG38" s="10" t="s">
        <v>240</v>
      </c>
      <c r="AH38" s="22">
        <f>HLOOKUP(AH$9,AJ$10:BO$43,AI38)</f>
        <v>0.45333333333333337</v>
      </c>
      <c r="AI38">
        <f t="shared" si="2"/>
        <v>29</v>
      </c>
      <c r="AJ38" s="277">
        <v>0.4</v>
      </c>
      <c r="AK38" s="277">
        <v>0.4</v>
      </c>
      <c r="AL38" s="277">
        <v>0.4</v>
      </c>
      <c r="AM38" s="277"/>
      <c r="AN38" s="277"/>
      <c r="AO38" s="277"/>
      <c r="AP38" s="277">
        <v>0.45333333333333337</v>
      </c>
      <c r="AQ38" s="277">
        <v>0.45333333333333337</v>
      </c>
      <c r="AR38" s="277">
        <v>0.45333333333333337</v>
      </c>
      <c r="AS38" s="277"/>
      <c r="AT38" s="277">
        <v>0.45333333333333337</v>
      </c>
      <c r="AU38" s="277">
        <v>0.45333333333333337</v>
      </c>
      <c r="AV38" s="277">
        <v>0.45333333333333337</v>
      </c>
      <c r="AW38" s="277"/>
      <c r="AX38" s="277">
        <v>0.45333333333333337</v>
      </c>
      <c r="AY38" s="277">
        <v>0.45333333333333337</v>
      </c>
      <c r="AZ38" s="277">
        <v>0.45333333333333337</v>
      </c>
      <c r="BA38" s="277"/>
      <c r="BB38" s="277"/>
      <c r="BC38" s="277"/>
      <c r="BD38" s="277">
        <v>0.4</v>
      </c>
      <c r="BE38" s="277">
        <v>0.4</v>
      </c>
      <c r="BF38" s="277">
        <v>0.4</v>
      </c>
      <c r="BG38" s="277"/>
      <c r="BH38" s="277"/>
      <c r="BI38" s="277"/>
      <c r="BJ38" s="277"/>
      <c r="BK38" s="277"/>
      <c r="BL38" s="277"/>
      <c r="BM38" s="277"/>
      <c r="BN38" s="277"/>
      <c r="BO38" s="277"/>
      <c r="BP38" s="277"/>
      <c r="BX38" s="242" t="s">
        <v>237</v>
      </c>
    </row>
    <row r="39" spans="1:76" x14ac:dyDescent="0.2">
      <c r="A39" s="238"/>
      <c r="B39" t="s">
        <v>247</v>
      </c>
      <c r="C39" s="8">
        <f>+D39*(ProjectData!B$20)</f>
        <v>0</v>
      </c>
      <c r="D39" s="117">
        <f>E39*E$9</f>
        <v>0</v>
      </c>
      <c r="E39" s="91">
        <f>AH39</f>
        <v>0</v>
      </c>
      <c r="F39" s="7">
        <v>1</v>
      </c>
      <c r="G39" s="170">
        <v>0</v>
      </c>
      <c r="H39" s="170">
        <v>1</v>
      </c>
      <c r="I39" s="170">
        <v>1</v>
      </c>
      <c r="J39" s="88">
        <v>1</v>
      </c>
      <c r="L39" s="38"/>
      <c r="M39" s="88"/>
      <c r="N39" s="88"/>
      <c r="O39" s="208"/>
      <c r="P39" s="88"/>
      <c r="Q39" s="88"/>
      <c r="R39" s="208"/>
      <c r="S39" s="88"/>
      <c r="T39" s="88"/>
      <c r="AH39" s="274"/>
      <c r="AI39">
        <f t="shared" si="2"/>
        <v>30</v>
      </c>
      <c r="AJ39" s="277">
        <v>0</v>
      </c>
      <c r="AK39" s="277">
        <v>0</v>
      </c>
      <c r="AL39" s="277">
        <v>0</v>
      </c>
      <c r="AM39" s="277"/>
      <c r="AN39" s="277"/>
      <c r="AO39" s="277"/>
      <c r="AP39" s="277">
        <v>0</v>
      </c>
      <c r="AQ39" s="277">
        <v>0</v>
      </c>
      <c r="AR39" s="277">
        <v>0</v>
      </c>
      <c r="AS39" s="277"/>
      <c r="AT39" s="277">
        <v>0</v>
      </c>
      <c r="AU39" s="277">
        <v>0</v>
      </c>
      <c r="AV39" s="277">
        <v>0</v>
      </c>
      <c r="AW39" s="277"/>
      <c r="AX39" s="277">
        <v>0</v>
      </c>
      <c r="AY39" s="277">
        <v>0</v>
      </c>
      <c r="AZ39" s="277">
        <v>0</v>
      </c>
      <c r="BA39" s="277"/>
      <c r="BB39" s="277"/>
      <c r="BC39" s="277"/>
      <c r="BD39" s="277">
        <v>0</v>
      </c>
      <c r="BE39" s="277">
        <v>0</v>
      </c>
      <c r="BF39" s="277">
        <v>0</v>
      </c>
      <c r="BG39" s="277"/>
      <c r="BH39" s="277"/>
      <c r="BI39" s="277"/>
      <c r="BJ39" s="277"/>
      <c r="BK39" s="277"/>
      <c r="BL39" s="277"/>
      <c r="BM39" s="277"/>
      <c r="BN39" s="277"/>
      <c r="BO39" s="277"/>
      <c r="BP39" s="277"/>
      <c r="BX39" s="242" t="s">
        <v>247</v>
      </c>
    </row>
    <row r="40" spans="1:76" x14ac:dyDescent="0.2">
      <c r="A40" s="238"/>
      <c r="B40" t="s">
        <v>3</v>
      </c>
      <c r="C40" s="8">
        <f>SUM(C38:C39)</f>
        <v>7434.666666666667</v>
      </c>
      <c r="D40" s="117">
        <f>SUM(D38:D39)</f>
        <v>14.869333333333334</v>
      </c>
      <c r="E40" s="91">
        <f>SUM(E38:E39)</f>
        <v>0.45333333333333337</v>
      </c>
      <c r="F40" s="7"/>
      <c r="G40" s="7"/>
      <c r="H40" s="7"/>
      <c r="I40" s="7"/>
      <c r="J40" s="7"/>
      <c r="AH40" s="22">
        <f>HLOOKUP(AH$9,AJ$10:BO$43,AI40)</f>
        <v>0.45333333333333337</v>
      </c>
      <c r="AI40">
        <f t="shared" si="2"/>
        <v>31</v>
      </c>
      <c r="AJ40" s="277">
        <v>0.4</v>
      </c>
      <c r="AK40" s="277">
        <v>0.4</v>
      </c>
      <c r="AL40" s="277">
        <v>0.4</v>
      </c>
      <c r="AM40" s="277"/>
      <c r="AN40" s="277"/>
      <c r="AO40" s="277"/>
      <c r="AP40" s="277">
        <v>0.45333333333333337</v>
      </c>
      <c r="AQ40" s="277">
        <v>0.45333333333333337</v>
      </c>
      <c r="AR40" s="277">
        <v>0.45333333333333337</v>
      </c>
      <c r="AS40" s="277"/>
      <c r="AT40" s="277">
        <v>0.45333333333333337</v>
      </c>
      <c r="AU40" s="277">
        <v>0.45333333333333337</v>
      </c>
      <c r="AV40" s="277">
        <v>0.45333333333333337</v>
      </c>
      <c r="AW40" s="277"/>
      <c r="AX40" s="277">
        <v>0.45333333333333337</v>
      </c>
      <c r="AY40" s="277">
        <v>0.45333333333333337</v>
      </c>
      <c r="AZ40" s="277">
        <v>0.45333333333333337</v>
      </c>
      <c r="BA40" s="277"/>
      <c r="BB40" s="277"/>
      <c r="BC40" s="277"/>
      <c r="BD40" s="277">
        <v>0.4</v>
      </c>
      <c r="BE40" s="277">
        <v>0.4</v>
      </c>
      <c r="BF40" s="277">
        <v>0.4</v>
      </c>
      <c r="BG40" s="277"/>
      <c r="BH40" s="277"/>
      <c r="BI40" s="277"/>
      <c r="BJ40" s="277"/>
      <c r="BK40" s="277"/>
      <c r="BL40" s="277"/>
      <c r="BM40" s="277"/>
      <c r="BN40" s="277"/>
      <c r="BO40" s="277"/>
      <c r="BP40" s="277"/>
      <c r="BX40" s="242" t="s">
        <v>3</v>
      </c>
    </row>
    <row r="41" spans="1:76" x14ac:dyDescent="0.2">
      <c r="A41" s="238"/>
      <c r="B41" s="283" t="s">
        <v>291</v>
      </c>
      <c r="C41" s="8">
        <f>C38*(C$58*(1-C$59))</f>
        <v>613.36</v>
      </c>
      <c r="D41" s="117">
        <f>E41*E$9</f>
        <v>0</v>
      </c>
      <c r="E41" s="91"/>
      <c r="F41" s="7"/>
      <c r="G41" s="7"/>
      <c r="H41" s="7"/>
      <c r="I41" s="7"/>
      <c r="J41" s="7"/>
      <c r="AH41" s="22"/>
      <c r="AI41">
        <f t="shared" si="2"/>
        <v>32</v>
      </c>
      <c r="AJ41" s="277"/>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7"/>
      <c r="BH41" s="277"/>
      <c r="BI41" s="277"/>
      <c r="BJ41" s="277"/>
      <c r="BK41" s="277"/>
      <c r="BL41" s="277"/>
      <c r="BM41" s="277"/>
      <c r="BN41" s="277"/>
      <c r="BO41" s="277"/>
      <c r="BP41" s="277"/>
      <c r="BX41" s="242"/>
    </row>
    <row r="42" spans="1:76" x14ac:dyDescent="0.2">
      <c r="A42" s="238"/>
      <c r="B42" s="24" t="s">
        <v>4</v>
      </c>
      <c r="C42" s="8">
        <f>C40+C41+C36</f>
        <v>17013.36</v>
      </c>
      <c r="D42" s="117">
        <f>D40+D41+D36</f>
        <v>32.799999999999997</v>
      </c>
      <c r="E42" s="91">
        <f>E40+E36</f>
        <v>1</v>
      </c>
      <c r="H42" s="8"/>
      <c r="AH42" s="22">
        <f>HLOOKUP(AH$9,AJ$10:BO$43,AI42)</f>
        <v>1</v>
      </c>
      <c r="AI42">
        <f t="shared" si="2"/>
        <v>33</v>
      </c>
      <c r="AJ42" s="277">
        <v>1</v>
      </c>
      <c r="AK42" s="277">
        <v>1</v>
      </c>
      <c r="AL42" s="277">
        <v>1</v>
      </c>
      <c r="AM42" s="277"/>
      <c r="AN42" s="277"/>
      <c r="AO42" s="277"/>
      <c r="AP42" s="277">
        <v>1</v>
      </c>
      <c r="AQ42" s="277">
        <v>1</v>
      </c>
      <c r="AR42" s="277">
        <v>1</v>
      </c>
      <c r="AS42" s="277"/>
      <c r="AT42" s="277">
        <v>1</v>
      </c>
      <c r="AU42" s="277">
        <v>1</v>
      </c>
      <c r="AV42" s="277">
        <v>1</v>
      </c>
      <c r="AW42" s="277"/>
      <c r="AX42" s="277">
        <v>1</v>
      </c>
      <c r="AY42" s="277">
        <v>1</v>
      </c>
      <c r="AZ42" s="277">
        <v>1</v>
      </c>
      <c r="BA42" s="277"/>
      <c r="BB42" s="277"/>
      <c r="BC42" s="277"/>
      <c r="BD42" s="277">
        <v>1</v>
      </c>
      <c r="BE42" s="277">
        <v>1</v>
      </c>
      <c r="BF42" s="277">
        <v>1</v>
      </c>
      <c r="BG42" s="277"/>
      <c r="BH42" s="277"/>
      <c r="BI42" s="277"/>
      <c r="BJ42" s="277"/>
      <c r="BK42" s="277"/>
      <c r="BL42" s="277"/>
      <c r="BM42" s="277"/>
      <c r="BN42" s="277"/>
      <c r="BO42" s="277"/>
      <c r="BP42" s="277"/>
      <c r="BX42" s="288" t="s">
        <v>4</v>
      </c>
    </row>
    <row r="43" spans="1:76" ht="15" customHeight="1" x14ac:dyDescent="0.2">
      <c r="A43" s="238"/>
      <c r="AH43" s="22">
        <f>HLOOKUP(AH$9,AJ$10:BO$43,AI43)</f>
        <v>32.799999999999997</v>
      </c>
      <c r="AI43">
        <f t="shared" si="2"/>
        <v>34</v>
      </c>
      <c r="AJ43" s="460">
        <v>19.93</v>
      </c>
      <c r="AK43" s="460">
        <v>19.93</v>
      </c>
      <c r="AL43" s="460">
        <v>19.93</v>
      </c>
      <c r="AM43" s="460"/>
      <c r="AN43" s="460"/>
      <c r="AO43" s="460"/>
      <c r="AP43" s="460">
        <v>32.799999999999997</v>
      </c>
      <c r="AQ43" s="460">
        <v>32.799999999999997</v>
      </c>
      <c r="AR43" s="460">
        <v>32.799999999999997</v>
      </c>
      <c r="AS43" s="460"/>
      <c r="AT43" s="460">
        <v>32.799999999999997</v>
      </c>
      <c r="AU43" s="460">
        <v>32.799999999999997</v>
      </c>
      <c r="AV43" s="460">
        <v>32.799999999999997</v>
      </c>
      <c r="AW43" s="460"/>
      <c r="AX43" s="460">
        <v>23.5</v>
      </c>
      <c r="AY43" s="460">
        <v>23.5</v>
      </c>
      <c r="AZ43" s="460">
        <v>23.5</v>
      </c>
      <c r="BA43" s="460"/>
      <c r="BB43" s="460"/>
      <c r="BC43" s="460"/>
      <c r="BD43" s="460">
        <v>19.93</v>
      </c>
      <c r="BE43" s="460">
        <v>19.93</v>
      </c>
      <c r="BF43" s="460">
        <v>19.93</v>
      </c>
      <c r="BG43" s="292"/>
      <c r="BH43" s="292"/>
      <c r="BI43" s="292"/>
      <c r="BJ43" s="292"/>
      <c r="BK43" s="292"/>
      <c r="BL43" s="292"/>
      <c r="BM43" s="292"/>
      <c r="BN43" s="292"/>
      <c r="BO43" s="292"/>
      <c r="BX43" s="291" t="s">
        <v>295</v>
      </c>
    </row>
    <row r="44" spans="1:76" ht="15.75" x14ac:dyDescent="0.25">
      <c r="A44" s="238"/>
      <c r="B44" s="75" t="s">
        <v>132</v>
      </c>
    </row>
    <row r="45" spans="1:76" ht="15" x14ac:dyDescent="0.25">
      <c r="A45" s="238"/>
      <c r="B45" s="3" t="s">
        <v>112</v>
      </c>
      <c r="E45" s="30" t="s">
        <v>5</v>
      </c>
      <c r="G45">
        <v>23951776.022727642</v>
      </c>
      <c r="H45" s="63">
        <f>G45/G46</f>
        <v>4.9260638896880427E-2</v>
      </c>
    </row>
    <row r="46" spans="1:76" x14ac:dyDescent="0.2">
      <c r="A46" s="238"/>
      <c r="B46" s="1" t="s">
        <v>167</v>
      </c>
      <c r="E46" s="30"/>
      <c r="G46">
        <v>486225444.06837684</v>
      </c>
      <c r="H46" s="107"/>
    </row>
    <row r="47" spans="1:76" x14ac:dyDescent="0.2">
      <c r="A47" s="238"/>
      <c r="B47" s="13" t="s">
        <v>113</v>
      </c>
      <c r="C47" s="15">
        <v>0.8</v>
      </c>
      <c r="D47" s="15"/>
      <c r="E47" s="85">
        <v>0</v>
      </c>
    </row>
    <row r="48" spans="1:76" x14ac:dyDescent="0.2">
      <c r="A48" s="238"/>
      <c r="B48" s="13" t="s">
        <v>114</v>
      </c>
      <c r="C48" s="10">
        <v>10</v>
      </c>
      <c r="D48" s="10"/>
      <c r="E48" s="10"/>
      <c r="G48" s="88"/>
    </row>
    <row r="49" spans="2:100" x14ac:dyDescent="0.2">
      <c r="B49" s="13" t="s">
        <v>115</v>
      </c>
      <c r="C49" s="15">
        <v>0.1</v>
      </c>
      <c r="D49" s="15"/>
      <c r="E49" s="10"/>
      <c r="O49" s="87"/>
      <c r="P49" s="87"/>
      <c r="Q49" s="87"/>
      <c r="R49" s="87"/>
      <c r="CM49" s="396" t="s">
        <v>384</v>
      </c>
    </row>
    <row r="50" spans="2:100" ht="26.25" customHeight="1" x14ac:dyDescent="0.2">
      <c r="B50" s="89" t="s">
        <v>168</v>
      </c>
      <c r="C50" s="124">
        <f>Calculations!F211</f>
        <v>380561.25721973006</v>
      </c>
      <c r="D50" s="15"/>
      <c r="E50" s="10"/>
      <c r="G50" s="86"/>
      <c r="O50" s="87"/>
      <c r="P50" s="87"/>
      <c r="Q50" s="87"/>
      <c r="R50" s="87"/>
      <c r="AH50" s="242"/>
      <c r="AI50" s="242" t="s">
        <v>60</v>
      </c>
      <c r="AJ50" s="242" t="s">
        <v>61</v>
      </c>
      <c r="AK50" s="242" t="s">
        <v>62</v>
      </c>
      <c r="AL50" s="242" t="s">
        <v>63</v>
      </c>
      <c r="AM50" s="242" t="s">
        <v>64</v>
      </c>
      <c r="AN50" s="242" t="s">
        <v>65</v>
      </c>
      <c r="AO50" s="242" t="s">
        <v>66</v>
      </c>
      <c r="AP50" s="242" t="s">
        <v>67</v>
      </c>
      <c r="AQ50" s="242" t="s">
        <v>68</v>
      </c>
      <c r="AR50" s="242" t="s">
        <v>69</v>
      </c>
      <c r="AS50" s="242" t="s">
        <v>70</v>
      </c>
      <c r="AT50" s="242" t="s">
        <v>71</v>
      </c>
      <c r="AU50" s="242" t="s">
        <v>72</v>
      </c>
      <c r="AV50" s="242" t="s">
        <v>73</v>
      </c>
      <c r="AW50" s="242" t="s">
        <v>74</v>
      </c>
      <c r="AX50" s="242" t="s">
        <v>75</v>
      </c>
      <c r="AY50" s="242" t="s">
        <v>76</v>
      </c>
      <c r="AZ50" s="242" t="s">
        <v>77</v>
      </c>
      <c r="BA50" s="242" t="s">
        <v>78</v>
      </c>
      <c r="BB50" s="242" t="s">
        <v>79</v>
      </c>
      <c r="BC50" s="242" t="s">
        <v>80</v>
      </c>
      <c r="BD50" s="242" t="s">
        <v>81</v>
      </c>
      <c r="BE50" s="242" t="s">
        <v>82</v>
      </c>
      <c r="BF50" s="242" t="s">
        <v>83</v>
      </c>
      <c r="BG50" s="242" t="s">
        <v>84</v>
      </c>
      <c r="BH50" s="242" t="s">
        <v>85</v>
      </c>
      <c r="BI50" s="242" t="s">
        <v>86</v>
      </c>
      <c r="BJ50" s="247" t="s">
        <v>208</v>
      </c>
      <c r="BK50" s="247" t="s">
        <v>207</v>
      </c>
      <c r="BL50" s="242" t="s">
        <v>87</v>
      </c>
      <c r="BM50" s="242" t="s">
        <v>88</v>
      </c>
      <c r="BN50" s="242" t="s">
        <v>89</v>
      </c>
      <c r="BO50" s="242" t="s">
        <v>90</v>
      </c>
      <c r="BP50" s="242" t="s">
        <v>91</v>
      </c>
      <c r="BQ50" s="242" t="s">
        <v>92</v>
      </c>
      <c r="BR50" s="242" t="s">
        <v>93</v>
      </c>
      <c r="BS50" s="242" t="s">
        <v>94</v>
      </c>
      <c r="BT50" s="242" t="s">
        <v>95</v>
      </c>
      <c r="BU50" s="242" t="s">
        <v>96</v>
      </c>
      <c r="BV50" s="242" t="s">
        <v>97</v>
      </c>
      <c r="BW50" s="242" t="s">
        <v>98</v>
      </c>
      <c r="BX50" s="442" t="s">
        <v>451</v>
      </c>
      <c r="BY50" s="442" t="s">
        <v>452</v>
      </c>
      <c r="BZ50" s="442" t="s">
        <v>453</v>
      </c>
      <c r="CA50" s="442" t="s">
        <v>454</v>
      </c>
      <c r="CB50" s="442" t="s">
        <v>455</v>
      </c>
      <c r="CC50" s="442" t="s">
        <v>456</v>
      </c>
      <c r="CD50" s="442" t="s">
        <v>457</v>
      </c>
      <c r="CE50" s="442" t="s">
        <v>458</v>
      </c>
      <c r="CF50" s="242" t="s">
        <v>99</v>
      </c>
      <c r="CG50" s="242" t="s">
        <v>100</v>
      </c>
      <c r="CH50" s="242" t="s">
        <v>101</v>
      </c>
      <c r="CI50" s="242" t="s">
        <v>102</v>
      </c>
      <c r="CJ50" s="242" t="s">
        <v>103</v>
      </c>
      <c r="CK50" s="242" t="s">
        <v>104</v>
      </c>
      <c r="CL50" s="242" t="s">
        <v>105</v>
      </c>
      <c r="CM50" s="242" t="s">
        <v>106</v>
      </c>
      <c r="CN50" s="242" t="s">
        <v>107</v>
      </c>
      <c r="CO50" s="242" t="s">
        <v>108</v>
      </c>
      <c r="CP50" s="242" t="s">
        <v>109</v>
      </c>
      <c r="CQ50" s="242" t="s">
        <v>59</v>
      </c>
      <c r="CR50" s="291"/>
      <c r="CU50" s="8"/>
      <c r="CV50" s="396"/>
    </row>
    <row r="51" spans="2:100" ht="15" x14ac:dyDescent="0.25">
      <c r="B51" s="93" t="s">
        <v>149</v>
      </c>
      <c r="C51" s="15"/>
      <c r="D51" s="15"/>
      <c r="E51" s="10"/>
      <c r="O51" s="87"/>
      <c r="P51" s="87"/>
      <c r="Q51" s="87"/>
      <c r="R51" s="87"/>
      <c r="AE51">
        <v>0</v>
      </c>
      <c r="AG51" s="10">
        <v>2</v>
      </c>
      <c r="AH51" s="242" t="s">
        <v>351</v>
      </c>
      <c r="AI51" s="247">
        <v>0</v>
      </c>
      <c r="AJ51" s="247">
        <v>0</v>
      </c>
      <c r="AK51" s="247">
        <v>0.96073062242614227</v>
      </c>
      <c r="AL51" s="247">
        <v>0</v>
      </c>
      <c r="AM51" s="247">
        <v>0.99991844223247794</v>
      </c>
      <c r="AN51" s="247">
        <v>0</v>
      </c>
      <c r="AO51" s="247">
        <v>1.0808451243015815</v>
      </c>
      <c r="AP51" s="247">
        <v>0</v>
      </c>
      <c r="AQ51" s="247">
        <v>0.94579096148635466</v>
      </c>
      <c r="AR51" s="247">
        <v>1.0782124201382177</v>
      </c>
      <c r="AS51" s="247">
        <v>0</v>
      </c>
      <c r="AT51" s="247">
        <v>0</v>
      </c>
      <c r="AU51" s="247">
        <v>0</v>
      </c>
      <c r="AV51" s="247">
        <v>1.0152635735097773</v>
      </c>
      <c r="AW51" s="247">
        <v>0</v>
      </c>
      <c r="AX51" s="247">
        <v>0</v>
      </c>
      <c r="AY51" s="247">
        <v>0</v>
      </c>
      <c r="AZ51" s="247">
        <v>0</v>
      </c>
      <c r="BA51" s="247">
        <v>0</v>
      </c>
      <c r="BB51" s="247">
        <v>0</v>
      </c>
      <c r="BC51" s="247">
        <v>0.93234258734199305</v>
      </c>
      <c r="BD51" s="247">
        <v>1.0016147567130804</v>
      </c>
      <c r="BE51" s="247">
        <v>0</v>
      </c>
      <c r="BF51" s="247">
        <v>1.107563650603399</v>
      </c>
      <c r="BG51" s="247">
        <v>0</v>
      </c>
      <c r="BH51" s="247">
        <v>0</v>
      </c>
      <c r="BI51" s="247">
        <v>0</v>
      </c>
      <c r="BJ51" s="247">
        <v>0</v>
      </c>
      <c r="BK51" s="247">
        <v>0</v>
      </c>
      <c r="BL51" s="247">
        <v>0</v>
      </c>
      <c r="BM51" s="247">
        <v>0.91630317368714187</v>
      </c>
      <c r="BN51" s="247">
        <v>0.84061432945455494</v>
      </c>
      <c r="BO51" s="247">
        <v>1.0512270427628128</v>
      </c>
      <c r="BP51" s="247">
        <v>0</v>
      </c>
      <c r="BQ51" s="247">
        <v>1.0734791032869866</v>
      </c>
      <c r="BR51" s="247">
        <v>0</v>
      </c>
      <c r="BS51" s="247">
        <v>0</v>
      </c>
      <c r="BT51" s="247">
        <v>0</v>
      </c>
      <c r="BU51" s="247">
        <v>0</v>
      </c>
      <c r="BV51" s="247">
        <v>0</v>
      </c>
      <c r="BW51" s="247">
        <v>0.99307426974228274</v>
      </c>
      <c r="BX51" s="247">
        <v>0</v>
      </c>
      <c r="BY51" s="247">
        <v>0</v>
      </c>
      <c r="BZ51" s="247">
        <v>0</v>
      </c>
      <c r="CA51" s="247">
        <v>0</v>
      </c>
      <c r="CB51" s="247">
        <v>0</v>
      </c>
      <c r="CC51" s="247">
        <v>0</v>
      </c>
      <c r="CD51" s="247">
        <v>0</v>
      </c>
      <c r="CE51" s="247">
        <v>0</v>
      </c>
      <c r="CF51" s="247">
        <v>0</v>
      </c>
      <c r="CG51" s="247">
        <v>0</v>
      </c>
      <c r="CH51" s="247">
        <v>0</v>
      </c>
      <c r="CI51" s="247">
        <v>0</v>
      </c>
      <c r="CJ51" s="247">
        <v>0.93550413956685008</v>
      </c>
      <c r="CK51" s="247">
        <v>0</v>
      </c>
      <c r="CL51" s="247">
        <v>0.9405966612165414</v>
      </c>
      <c r="CM51" s="247">
        <v>0</v>
      </c>
      <c r="CN51" s="247">
        <v>0</v>
      </c>
      <c r="CO51" s="247">
        <v>0</v>
      </c>
      <c r="CP51" s="247">
        <v>1.1346235353312184</v>
      </c>
      <c r="CQ51" s="247">
        <v>0</v>
      </c>
      <c r="CR51" s="9"/>
      <c r="CU51" s="9"/>
      <c r="CV51" s="282"/>
    </row>
    <row r="52" spans="2:100" x14ac:dyDescent="0.2">
      <c r="B52" s="24" t="s">
        <v>345</v>
      </c>
      <c r="C52" s="77">
        <v>0</v>
      </c>
      <c r="O52" s="87"/>
      <c r="P52" s="87"/>
      <c r="Q52" s="87"/>
      <c r="R52" s="87"/>
      <c r="AE52">
        <v>10</v>
      </c>
      <c r="AG52" s="10">
        <f>AG51+1</f>
        <v>3</v>
      </c>
      <c r="AH52" s="242" t="s">
        <v>352</v>
      </c>
      <c r="AI52" s="247">
        <v>0</v>
      </c>
      <c r="AJ52" s="247">
        <v>0</v>
      </c>
      <c r="AK52" s="247">
        <v>1.0082723810902054</v>
      </c>
      <c r="AL52" s="461">
        <v>0</v>
      </c>
      <c r="AM52" s="247">
        <v>0.98397278064128291</v>
      </c>
      <c r="AN52" s="247">
        <v>0</v>
      </c>
      <c r="AO52" s="247">
        <v>1.0651267070263475</v>
      </c>
      <c r="AP52" s="247">
        <v>0</v>
      </c>
      <c r="AQ52" s="247">
        <v>0</v>
      </c>
      <c r="AR52" s="247">
        <v>0.71133563919992548</v>
      </c>
      <c r="AS52" s="247">
        <v>0</v>
      </c>
      <c r="AT52" s="247">
        <v>0</v>
      </c>
      <c r="AU52" s="247">
        <v>0</v>
      </c>
      <c r="AV52" s="247">
        <v>0</v>
      </c>
      <c r="AW52" s="247">
        <v>0</v>
      </c>
      <c r="AX52" s="247">
        <v>0</v>
      </c>
      <c r="AY52" s="247">
        <v>0</v>
      </c>
      <c r="AZ52" s="247">
        <v>0</v>
      </c>
      <c r="BA52" s="247">
        <v>0</v>
      </c>
      <c r="BB52" s="247">
        <v>0</v>
      </c>
      <c r="BC52" s="247">
        <v>0.84715173498794971</v>
      </c>
      <c r="BD52" s="247">
        <v>1.0971858884916919</v>
      </c>
      <c r="BE52" s="247">
        <v>0</v>
      </c>
      <c r="BF52" s="247">
        <v>0</v>
      </c>
      <c r="BG52" s="247">
        <v>0</v>
      </c>
      <c r="BH52" s="247">
        <v>0</v>
      </c>
      <c r="BI52" s="247">
        <v>0</v>
      </c>
      <c r="BJ52" s="247">
        <v>0</v>
      </c>
      <c r="BK52" s="247">
        <v>0</v>
      </c>
      <c r="BL52" s="247">
        <v>0</v>
      </c>
      <c r="BM52" s="247">
        <v>0.8741673856276051</v>
      </c>
      <c r="BN52" s="247">
        <v>0</v>
      </c>
      <c r="BO52" s="247">
        <v>1.0283145512471747</v>
      </c>
      <c r="BP52" s="247">
        <v>0</v>
      </c>
      <c r="BQ52" s="247">
        <v>1.1458662434098228</v>
      </c>
      <c r="BR52" s="247">
        <v>0</v>
      </c>
      <c r="BS52" s="247">
        <v>0</v>
      </c>
      <c r="BT52" s="247">
        <v>1.0320399955786934</v>
      </c>
      <c r="BU52" s="247">
        <v>0</v>
      </c>
      <c r="BV52" s="247">
        <v>0</v>
      </c>
      <c r="BW52" s="247">
        <v>0.96245923414211865</v>
      </c>
      <c r="BX52" s="247">
        <v>0</v>
      </c>
      <c r="BY52" s="247">
        <v>0</v>
      </c>
      <c r="BZ52" s="247">
        <v>0</v>
      </c>
      <c r="CA52" s="247">
        <v>0</v>
      </c>
      <c r="CB52" s="247">
        <v>0</v>
      </c>
      <c r="CC52" s="247">
        <v>0</v>
      </c>
      <c r="CD52" s="247">
        <v>0</v>
      </c>
      <c r="CE52" s="247">
        <v>0</v>
      </c>
      <c r="CF52" s="247">
        <v>0</v>
      </c>
      <c r="CG52" s="247">
        <v>0</v>
      </c>
      <c r="CH52" s="247">
        <v>0</v>
      </c>
      <c r="CI52" s="247">
        <v>0</v>
      </c>
      <c r="CJ52" s="247">
        <v>0.90182119749456346</v>
      </c>
      <c r="CK52" s="247">
        <v>0</v>
      </c>
      <c r="CL52" s="247">
        <v>0</v>
      </c>
      <c r="CM52" s="247">
        <v>0</v>
      </c>
      <c r="CN52" s="247">
        <v>0</v>
      </c>
      <c r="CO52" s="247">
        <v>0</v>
      </c>
      <c r="CP52" s="247">
        <v>1.1040130033961086</v>
      </c>
      <c r="CQ52" s="247">
        <v>0</v>
      </c>
      <c r="CR52" s="9"/>
      <c r="CU52" s="9"/>
      <c r="CV52" s="282"/>
    </row>
    <row r="53" spans="2:100" ht="17.25" customHeight="1" x14ac:dyDescent="0.2">
      <c r="B53" s="24" t="s">
        <v>195</v>
      </c>
      <c r="C53" s="15">
        <v>0</v>
      </c>
      <c r="G53" s="87"/>
      <c r="O53" s="87"/>
      <c r="P53" s="87"/>
      <c r="Q53" s="87"/>
      <c r="R53" s="87"/>
      <c r="AE53">
        <v>100</v>
      </c>
      <c r="AG53" s="10">
        <f t="shared" ref="AG53:AG76" si="4">AG52+1</f>
        <v>4</v>
      </c>
      <c r="AH53" s="242" t="s">
        <v>569</v>
      </c>
      <c r="AI53" s="247">
        <v>0</v>
      </c>
      <c r="AJ53" s="247">
        <v>0</v>
      </c>
      <c r="AK53" s="247">
        <v>0</v>
      </c>
      <c r="AL53" s="247">
        <v>0</v>
      </c>
      <c r="AM53" s="247">
        <v>1.0769938208453462</v>
      </c>
      <c r="AN53" s="247">
        <v>0</v>
      </c>
      <c r="AO53" s="247">
        <v>0</v>
      </c>
      <c r="AP53" s="247">
        <v>0</v>
      </c>
      <c r="AQ53" s="247">
        <v>0</v>
      </c>
      <c r="AR53" s="247">
        <v>0</v>
      </c>
      <c r="AS53" s="247">
        <v>0</v>
      </c>
      <c r="AT53" s="247">
        <v>0</v>
      </c>
      <c r="AU53" s="247">
        <v>0</v>
      </c>
      <c r="AV53" s="247">
        <v>0</v>
      </c>
      <c r="AW53" s="247">
        <v>0</v>
      </c>
      <c r="AX53" s="247">
        <v>0</v>
      </c>
      <c r="AY53" s="247">
        <v>0</v>
      </c>
      <c r="AZ53" s="247">
        <v>0</v>
      </c>
      <c r="BA53" s="247">
        <v>0</v>
      </c>
      <c r="BB53" s="247">
        <v>0</v>
      </c>
      <c r="BC53" s="247">
        <v>0</v>
      </c>
      <c r="BD53" s="247">
        <v>1.0105368147938893</v>
      </c>
      <c r="BE53" s="247">
        <v>0</v>
      </c>
      <c r="BF53" s="247">
        <v>0</v>
      </c>
      <c r="BG53" s="247">
        <v>0</v>
      </c>
      <c r="BH53" s="247">
        <v>0</v>
      </c>
      <c r="BI53" s="247">
        <v>0</v>
      </c>
      <c r="BJ53" s="247">
        <v>0</v>
      </c>
      <c r="BK53" s="247">
        <v>0</v>
      </c>
      <c r="BL53" s="247">
        <v>0</v>
      </c>
      <c r="BM53" s="247">
        <v>0</v>
      </c>
      <c r="BN53" s="247">
        <v>0</v>
      </c>
      <c r="BO53" s="247">
        <v>0.93967490381826901</v>
      </c>
      <c r="BP53" s="247">
        <v>0</v>
      </c>
      <c r="BQ53" s="247">
        <v>0</v>
      </c>
      <c r="BR53" s="247">
        <v>0</v>
      </c>
      <c r="BS53" s="247">
        <v>0</v>
      </c>
      <c r="BT53" s="247">
        <v>0</v>
      </c>
      <c r="BU53" s="247">
        <v>0</v>
      </c>
      <c r="BV53" s="247">
        <v>0</v>
      </c>
      <c r="BW53" s="247">
        <v>0.97067947705706281</v>
      </c>
      <c r="BX53" s="247">
        <v>0</v>
      </c>
      <c r="BY53" s="247">
        <v>0</v>
      </c>
      <c r="BZ53" s="247">
        <v>0</v>
      </c>
      <c r="CA53" s="247">
        <v>0</v>
      </c>
      <c r="CB53" s="247">
        <v>0</v>
      </c>
      <c r="CC53" s="247">
        <v>0</v>
      </c>
      <c r="CD53" s="247">
        <v>0</v>
      </c>
      <c r="CE53" s="247">
        <v>0</v>
      </c>
      <c r="CF53" s="247">
        <v>0</v>
      </c>
      <c r="CG53" s="247">
        <v>0</v>
      </c>
      <c r="CH53" s="247">
        <v>0</v>
      </c>
      <c r="CI53" s="247">
        <v>0</v>
      </c>
      <c r="CJ53" s="247">
        <v>0</v>
      </c>
      <c r="CK53" s="247">
        <v>0</v>
      </c>
      <c r="CL53" s="247">
        <v>0</v>
      </c>
      <c r="CM53" s="247">
        <v>0</v>
      </c>
      <c r="CN53" s="247">
        <v>0</v>
      </c>
      <c r="CO53" s="247">
        <v>0</v>
      </c>
      <c r="CP53" s="247">
        <v>0</v>
      </c>
      <c r="CQ53" s="247">
        <v>0</v>
      </c>
      <c r="CR53" s="9"/>
      <c r="CU53" s="9"/>
      <c r="CV53" s="282"/>
    </row>
    <row r="54" spans="2:100" x14ac:dyDescent="0.2">
      <c r="B54" s="24" t="s">
        <v>194</v>
      </c>
      <c r="C54" s="92">
        <v>0</v>
      </c>
      <c r="G54" s="87"/>
      <c r="O54" s="87"/>
      <c r="P54" s="87"/>
      <c r="Q54" s="87"/>
      <c r="R54" s="87"/>
      <c r="AE54">
        <v>1000</v>
      </c>
      <c r="AG54" s="10">
        <f t="shared" si="4"/>
        <v>5</v>
      </c>
      <c r="AH54" s="242" t="s">
        <v>570</v>
      </c>
      <c r="AI54" s="247">
        <v>0</v>
      </c>
      <c r="AJ54" s="247">
        <v>0</v>
      </c>
      <c r="AK54" s="247">
        <v>0</v>
      </c>
      <c r="AL54" s="247">
        <v>0</v>
      </c>
      <c r="AM54" s="247">
        <v>0</v>
      </c>
      <c r="AN54" s="247">
        <v>0</v>
      </c>
      <c r="AO54" s="247">
        <v>0</v>
      </c>
      <c r="AP54" s="247">
        <v>0</v>
      </c>
      <c r="AQ54" s="247">
        <v>0</v>
      </c>
      <c r="AR54" s="247">
        <v>0</v>
      </c>
      <c r="AS54" s="247">
        <v>0</v>
      </c>
      <c r="AT54" s="247">
        <v>0</v>
      </c>
      <c r="AU54" s="247">
        <v>0</v>
      </c>
      <c r="AV54" s="247">
        <v>0</v>
      </c>
      <c r="AW54" s="247">
        <v>0</v>
      </c>
      <c r="AX54" s="247">
        <v>0</v>
      </c>
      <c r="AY54" s="247">
        <v>0</v>
      </c>
      <c r="AZ54" s="247">
        <v>0</v>
      </c>
      <c r="BA54" s="247">
        <v>0</v>
      </c>
      <c r="BB54" s="247">
        <v>0</v>
      </c>
      <c r="BC54" s="247">
        <v>0</v>
      </c>
      <c r="BD54" s="247">
        <v>0</v>
      </c>
      <c r="BE54" s="247">
        <v>0</v>
      </c>
      <c r="BF54" s="247">
        <v>0</v>
      </c>
      <c r="BG54" s="247">
        <v>0</v>
      </c>
      <c r="BH54" s="247">
        <v>0</v>
      </c>
      <c r="BI54" s="247">
        <v>0</v>
      </c>
      <c r="BJ54" s="247">
        <v>0</v>
      </c>
      <c r="BK54" s="247">
        <v>0</v>
      </c>
      <c r="BL54" s="247">
        <v>0</v>
      </c>
      <c r="BM54" s="247">
        <v>0</v>
      </c>
      <c r="BN54" s="247">
        <v>0</v>
      </c>
      <c r="BO54" s="247">
        <v>0</v>
      </c>
      <c r="BP54" s="247">
        <v>0</v>
      </c>
      <c r="BQ54" s="247">
        <v>0</v>
      </c>
      <c r="BR54" s="247">
        <v>0</v>
      </c>
      <c r="BS54" s="247">
        <v>0</v>
      </c>
      <c r="BT54" s="247">
        <v>0</v>
      </c>
      <c r="BU54" s="247">
        <v>0</v>
      </c>
      <c r="BV54" s="247">
        <v>0</v>
      </c>
      <c r="BW54" s="247">
        <v>0</v>
      </c>
      <c r="BX54" s="247">
        <v>0</v>
      </c>
      <c r="BY54" s="247">
        <v>0</v>
      </c>
      <c r="BZ54" s="247">
        <v>0</v>
      </c>
      <c r="CA54" s="247">
        <v>0</v>
      </c>
      <c r="CB54" s="247">
        <v>0</v>
      </c>
      <c r="CC54" s="247">
        <v>0</v>
      </c>
      <c r="CD54" s="247">
        <v>0</v>
      </c>
      <c r="CE54" s="247">
        <v>0</v>
      </c>
      <c r="CF54" s="247">
        <v>0</v>
      </c>
      <c r="CG54" s="247">
        <v>0</v>
      </c>
      <c r="CH54" s="247">
        <v>0</v>
      </c>
      <c r="CI54" s="247">
        <v>0</v>
      </c>
      <c r="CJ54" s="247">
        <v>0</v>
      </c>
      <c r="CK54" s="247">
        <v>0</v>
      </c>
      <c r="CL54" s="247">
        <v>0</v>
      </c>
      <c r="CM54" s="247">
        <v>0</v>
      </c>
      <c r="CN54" s="247">
        <v>0</v>
      </c>
      <c r="CO54" s="247">
        <v>0</v>
      </c>
      <c r="CP54" s="247">
        <v>0</v>
      </c>
      <c r="CQ54" s="247">
        <v>0</v>
      </c>
      <c r="CR54" s="9"/>
      <c r="CU54" s="9"/>
      <c r="CV54" s="282"/>
    </row>
    <row r="55" spans="2:100" x14ac:dyDescent="0.2">
      <c r="B55" s="24" t="s">
        <v>193</v>
      </c>
      <c r="C55" s="71">
        <f>+C30*C53*C54</f>
        <v>0</v>
      </c>
      <c r="O55" s="87"/>
      <c r="P55" s="87"/>
      <c r="Q55" s="87"/>
      <c r="R55" s="87"/>
      <c r="AG55" s="10">
        <f t="shared" si="4"/>
        <v>6</v>
      </c>
      <c r="AH55" s="291"/>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CF55" s="22"/>
      <c r="CG55" s="22"/>
      <c r="CH55" s="22"/>
      <c r="CI55" s="22"/>
      <c r="CJ55" s="22"/>
      <c r="CK55" s="22"/>
      <c r="CL55" s="22"/>
      <c r="CM55" s="22"/>
      <c r="CN55" s="22"/>
      <c r="CO55" s="22"/>
      <c r="CP55" s="22"/>
      <c r="CQ55" s="22"/>
      <c r="CU55" s="9"/>
      <c r="CV55" s="282"/>
    </row>
    <row r="56" spans="2:100" x14ac:dyDescent="0.2">
      <c r="B56" s="180" t="s">
        <v>363</v>
      </c>
      <c r="C56" s="92">
        <f>AI69</f>
        <v>1</v>
      </c>
      <c r="O56" s="87"/>
      <c r="P56" s="87"/>
      <c r="Q56" s="87"/>
      <c r="R56" s="87"/>
      <c r="AG56" s="10">
        <f t="shared" si="4"/>
        <v>7</v>
      </c>
      <c r="AH56" s="291"/>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CF56" s="22"/>
      <c r="CG56" s="22"/>
      <c r="CH56" s="22"/>
      <c r="CI56" s="22"/>
      <c r="CJ56" s="22"/>
      <c r="CK56" s="22"/>
      <c r="CL56" s="242"/>
      <c r="CT56" s="395"/>
      <c r="CU56" s="9"/>
      <c r="CV56" s="282"/>
    </row>
    <row r="57" spans="2:100" x14ac:dyDescent="0.2">
      <c r="B57" s="180" t="s">
        <v>364</v>
      </c>
      <c r="C57" s="71">
        <f>+C52*C55*(1-C56)</f>
        <v>0</v>
      </c>
      <c r="E57" s="7">
        <v>1</v>
      </c>
      <c r="O57" s="87"/>
      <c r="P57" s="87"/>
      <c r="Q57" s="87"/>
      <c r="R57" s="87"/>
      <c r="AG57" s="10">
        <f t="shared" si="4"/>
        <v>8</v>
      </c>
      <c r="AH57" s="291" t="s">
        <v>220</v>
      </c>
      <c r="AI57" t="str">
        <f>ProjectData!B12</f>
        <v xml:space="preserve">CALIFORNIA </v>
      </c>
      <c r="CU57" s="9"/>
      <c r="CV57" s="282"/>
    </row>
    <row r="58" spans="2:100" ht="14.25" customHeight="1" x14ac:dyDescent="0.2">
      <c r="B58" s="282" t="s">
        <v>292</v>
      </c>
      <c r="C58" s="200">
        <f>AI72</f>
        <v>8.2500000000000004E-2</v>
      </c>
      <c r="E58" s="7">
        <v>1</v>
      </c>
      <c r="O58" s="87"/>
      <c r="P58" s="87"/>
      <c r="Q58" s="87"/>
      <c r="R58" s="87"/>
      <c r="AG58" s="10">
        <f t="shared" si="4"/>
        <v>9</v>
      </c>
      <c r="AH58" s="291" t="s">
        <v>353</v>
      </c>
      <c r="AI58" s="22">
        <f>ProjectData!B18</f>
        <v>5</v>
      </c>
      <c r="CU58" s="9"/>
      <c r="CV58" s="282"/>
    </row>
    <row r="59" spans="2:100" x14ac:dyDescent="0.2">
      <c r="B59" s="180" t="s">
        <v>447</v>
      </c>
      <c r="C59" s="15">
        <f>AI77</f>
        <v>0</v>
      </c>
      <c r="E59" s="7">
        <v>1</v>
      </c>
      <c r="G59" s="14"/>
      <c r="H59" s="14"/>
      <c r="O59" s="87"/>
      <c r="P59" s="87"/>
      <c r="Q59" s="87"/>
      <c r="R59" s="87"/>
      <c r="AG59" s="10">
        <f t="shared" si="4"/>
        <v>10</v>
      </c>
      <c r="AH59" s="291" t="s">
        <v>354</v>
      </c>
      <c r="AI59">
        <f>IF($AI58&lt;$AE52,AG51,IF($AI58&lt;$AE53,AG52,IF($AI58&lt;1000,$AG53,AG54)))</f>
        <v>2</v>
      </c>
      <c r="CU59" s="9"/>
      <c r="CV59" s="282"/>
    </row>
    <row r="60" spans="2:100" x14ac:dyDescent="0.2">
      <c r="B60" s="1" t="s">
        <v>203</v>
      </c>
      <c r="O60" s="87"/>
      <c r="P60" s="87"/>
      <c r="Q60" s="87"/>
      <c r="R60" s="87"/>
      <c r="AG60" s="10">
        <f t="shared" si="4"/>
        <v>11</v>
      </c>
    </row>
    <row r="61" spans="2:100" x14ac:dyDescent="0.2">
      <c r="C61" t="s">
        <v>388</v>
      </c>
      <c r="D61" t="s">
        <v>124</v>
      </c>
      <c r="E61" t="s">
        <v>56</v>
      </c>
      <c r="F61" t="s">
        <v>389</v>
      </c>
      <c r="G61" t="s">
        <v>390</v>
      </c>
      <c r="H61" t="s">
        <v>125</v>
      </c>
      <c r="I61" t="s">
        <v>126</v>
      </c>
      <c r="J61" t="s">
        <v>127</v>
      </c>
      <c r="K61" t="s">
        <v>391</v>
      </c>
      <c r="L61" t="s">
        <v>392</v>
      </c>
      <c r="M61" t="s">
        <v>393</v>
      </c>
      <c r="N61" t="s">
        <v>57</v>
      </c>
      <c r="O61" t="s">
        <v>394</v>
      </c>
      <c r="P61" t="s">
        <v>128</v>
      </c>
      <c r="Q61" t="s">
        <v>395</v>
      </c>
      <c r="R61" t="s">
        <v>396</v>
      </c>
      <c r="S61" t="s">
        <v>397</v>
      </c>
      <c r="T61" t="s">
        <v>398</v>
      </c>
      <c r="U61" t="s">
        <v>399</v>
      </c>
      <c r="V61" t="s">
        <v>400</v>
      </c>
      <c r="W61" t="s">
        <v>58</v>
      </c>
      <c r="X61" t="s">
        <v>401</v>
      </c>
      <c r="AG61" s="10">
        <f t="shared" si="4"/>
        <v>12</v>
      </c>
      <c r="AH61" s="291" t="s">
        <v>355</v>
      </c>
      <c r="AI61" s="14">
        <f>HLOOKUP(AI57,AI50:CQ54,AI59)</f>
        <v>0.99991844223247794</v>
      </c>
      <c r="AJ61" s="8"/>
    </row>
    <row r="62" spans="2:100" ht="15.75" x14ac:dyDescent="0.25">
      <c r="B62" s="399" t="s">
        <v>388</v>
      </c>
      <c r="C62" s="402">
        <v>0.84763999999999995</v>
      </c>
      <c r="D62" s="402">
        <v>0</v>
      </c>
      <c r="E62" s="402">
        <v>0</v>
      </c>
      <c r="F62" s="402">
        <v>0</v>
      </c>
      <c r="G62" s="402">
        <v>0</v>
      </c>
      <c r="H62" s="402">
        <v>0</v>
      </c>
      <c r="I62" s="402">
        <v>0</v>
      </c>
      <c r="J62" s="402">
        <v>0</v>
      </c>
      <c r="K62" s="402">
        <v>0</v>
      </c>
      <c r="L62" s="402">
        <v>0</v>
      </c>
      <c r="M62" s="402">
        <v>0</v>
      </c>
      <c r="N62" s="402">
        <v>8.6213999999999999E-2</v>
      </c>
      <c r="O62" s="402">
        <v>1.2130000000000001E-3</v>
      </c>
      <c r="P62" s="402">
        <v>6.4933000000000005E-2</v>
      </c>
      <c r="Q62" s="402">
        <v>0</v>
      </c>
      <c r="R62" s="402">
        <v>0</v>
      </c>
      <c r="S62" s="402">
        <v>0</v>
      </c>
      <c r="T62" s="402">
        <v>0</v>
      </c>
      <c r="U62" s="402">
        <v>0</v>
      </c>
      <c r="V62" s="402">
        <v>0</v>
      </c>
      <c r="W62" s="402">
        <v>0</v>
      </c>
      <c r="X62" s="402">
        <v>0</v>
      </c>
      <c r="AG62" s="10">
        <f t="shared" si="4"/>
        <v>13</v>
      </c>
      <c r="AH62" s="291" t="s">
        <v>356</v>
      </c>
      <c r="AI62" s="8">
        <f>IF(AI61=0,AH32,AH32*AI61)*1000</f>
        <v>6561.4009865470689</v>
      </c>
    </row>
    <row r="63" spans="2:100" ht="15.75" x14ac:dyDescent="0.25">
      <c r="B63" s="399" t="s">
        <v>124</v>
      </c>
      <c r="C63" s="402">
        <v>0</v>
      </c>
      <c r="D63" s="402">
        <v>0.68281999999999998</v>
      </c>
      <c r="E63" s="402">
        <v>0</v>
      </c>
      <c r="F63" s="402">
        <v>0</v>
      </c>
      <c r="G63" s="402">
        <v>0</v>
      </c>
      <c r="H63" s="402">
        <v>0</v>
      </c>
      <c r="I63" s="402">
        <v>0</v>
      </c>
      <c r="J63" s="402">
        <v>0</v>
      </c>
      <c r="K63" s="402">
        <v>0</v>
      </c>
      <c r="L63" s="402">
        <v>0</v>
      </c>
      <c r="M63" s="402">
        <v>0</v>
      </c>
      <c r="N63" s="402">
        <v>1.289E-2</v>
      </c>
      <c r="O63" s="402">
        <v>8.7709999999999993E-3</v>
      </c>
      <c r="P63" s="402">
        <v>0.295518</v>
      </c>
      <c r="Q63" s="402">
        <v>0</v>
      </c>
      <c r="R63" s="402">
        <v>0</v>
      </c>
      <c r="S63" s="402">
        <v>0</v>
      </c>
      <c r="T63" s="402">
        <v>0</v>
      </c>
      <c r="U63" s="402">
        <v>0</v>
      </c>
      <c r="V63" s="402">
        <v>0</v>
      </c>
      <c r="W63" s="402">
        <v>0</v>
      </c>
      <c r="X63" s="402">
        <v>0</v>
      </c>
      <c r="AG63" s="10">
        <f t="shared" si="4"/>
        <v>14</v>
      </c>
      <c r="AI63" s="8"/>
    </row>
    <row r="64" spans="2:100" ht="15" customHeight="1" x14ac:dyDescent="0.25">
      <c r="B64" s="399" t="s">
        <v>56</v>
      </c>
      <c r="C64" s="402">
        <v>0</v>
      </c>
      <c r="D64" s="402">
        <v>0</v>
      </c>
      <c r="E64" s="402">
        <v>1</v>
      </c>
      <c r="F64" s="402">
        <v>0</v>
      </c>
      <c r="G64" s="402">
        <v>0</v>
      </c>
      <c r="H64" s="402">
        <v>0</v>
      </c>
      <c r="I64" s="402">
        <v>0</v>
      </c>
      <c r="J64" s="402">
        <v>0</v>
      </c>
      <c r="K64" s="402">
        <v>0</v>
      </c>
      <c r="L64" s="402">
        <v>0</v>
      </c>
      <c r="M64" s="402">
        <v>0</v>
      </c>
      <c r="N64" s="402">
        <v>0</v>
      </c>
      <c r="O64" s="402">
        <v>0</v>
      </c>
      <c r="P64" s="402">
        <v>0</v>
      </c>
      <c r="Q64" s="402">
        <v>0</v>
      </c>
      <c r="R64" s="402">
        <v>0</v>
      </c>
      <c r="S64" s="402">
        <v>0</v>
      </c>
      <c r="T64" s="402">
        <v>0</v>
      </c>
      <c r="U64" s="402">
        <v>0</v>
      </c>
      <c r="V64" s="402">
        <v>0</v>
      </c>
      <c r="W64" s="402">
        <v>0</v>
      </c>
      <c r="X64" s="402">
        <v>0</v>
      </c>
      <c r="AG64" s="10">
        <f t="shared" si="4"/>
        <v>15</v>
      </c>
      <c r="AH64" s="418" t="s">
        <v>360</v>
      </c>
      <c r="AI64" s="425">
        <v>0.04</v>
      </c>
      <c r="AJ64" s="426">
        <v>0</v>
      </c>
      <c r="AK64" s="427">
        <v>6.6000000000000003E-2</v>
      </c>
      <c r="AL64" s="425">
        <v>0.06</v>
      </c>
      <c r="AM64" s="427">
        <v>8.2500000000000004E-2</v>
      </c>
      <c r="AN64" s="427">
        <v>2.9000000000000001E-2</v>
      </c>
      <c r="AO64" s="425">
        <v>0.06</v>
      </c>
      <c r="AP64" s="426">
        <v>0</v>
      </c>
      <c r="AQ64" s="425">
        <v>0.06</v>
      </c>
      <c r="AR64" s="425">
        <v>0.06</v>
      </c>
      <c r="AS64" s="425">
        <v>0.04</v>
      </c>
      <c r="AT64" s="425">
        <v>0.04</v>
      </c>
      <c r="AU64" s="425">
        <v>0.06</v>
      </c>
      <c r="AV64" s="427">
        <v>6.25E-2</v>
      </c>
      <c r="AW64" s="425">
        <v>7.0000000000000007E-2</v>
      </c>
      <c r="AX64" s="425">
        <v>0.06</v>
      </c>
      <c r="AY64" s="427">
        <v>6.3E-2</v>
      </c>
      <c r="AZ64" s="425">
        <v>0.06</v>
      </c>
      <c r="BA64" s="425">
        <v>0.04</v>
      </c>
      <c r="BB64" s="425">
        <v>0.05</v>
      </c>
      <c r="BC64" s="425">
        <v>0.06</v>
      </c>
      <c r="BD64" s="427">
        <v>6.25E-2</v>
      </c>
      <c r="BE64" s="425">
        <v>0.06</v>
      </c>
      <c r="BF64" s="427">
        <v>6.8750000000000006E-2</v>
      </c>
      <c r="BG64" s="425">
        <v>7.0000000000000007E-2</v>
      </c>
      <c r="BH64" s="427">
        <v>4.2250000000000003E-2</v>
      </c>
      <c r="BI64" s="426">
        <v>0</v>
      </c>
      <c r="BJ64" s="437">
        <f>'User Add-in Location'!B5</f>
        <v>0</v>
      </c>
      <c r="BK64" s="437">
        <f>'User Add-in Location'!$B$5</f>
        <v>0</v>
      </c>
      <c r="BL64" s="427">
        <v>5.5E-2</v>
      </c>
      <c r="BM64" s="427">
        <v>6.8500000000000005E-2</v>
      </c>
      <c r="BN64" s="426">
        <v>0</v>
      </c>
      <c r="BO64" s="425">
        <v>7.0000000000000007E-2</v>
      </c>
      <c r="BP64" s="425">
        <v>5.1249999999999997E-2</v>
      </c>
      <c r="BQ64" s="425">
        <v>0.04</v>
      </c>
      <c r="BR64" s="427">
        <v>5.7500000000000002E-2</v>
      </c>
      <c r="BS64" s="425">
        <v>0.05</v>
      </c>
      <c r="BT64" s="427">
        <v>5.5E-2</v>
      </c>
      <c r="BU64" s="427">
        <v>4.4999999999999998E-2</v>
      </c>
      <c r="BV64" s="426">
        <v>0</v>
      </c>
      <c r="BW64" s="425">
        <v>0.06</v>
      </c>
      <c r="CF64" s="425">
        <v>7.0000000000000007E-2</v>
      </c>
      <c r="CG64" s="425">
        <v>0.06</v>
      </c>
      <c r="CH64" s="425">
        <v>0.04</v>
      </c>
      <c r="CI64" s="425">
        <v>7.0000000000000007E-2</v>
      </c>
      <c r="CJ64" s="427">
        <v>6.25E-2</v>
      </c>
      <c r="CK64" s="427">
        <v>4.7E-2</v>
      </c>
      <c r="CL64" s="425">
        <v>0.06</v>
      </c>
      <c r="CM64" s="425">
        <v>0.04</v>
      </c>
      <c r="CN64" s="427">
        <v>6.5000000000000002E-2</v>
      </c>
      <c r="CO64" s="425">
        <v>0.06</v>
      </c>
      <c r="CP64" s="425">
        <v>0.05</v>
      </c>
      <c r="CQ64" s="425">
        <v>0.04</v>
      </c>
    </row>
    <row r="65" spans="2:95" ht="15.75" x14ac:dyDescent="0.25">
      <c r="B65" s="399" t="s">
        <v>389</v>
      </c>
      <c r="C65" s="402">
        <v>0</v>
      </c>
      <c r="D65" s="402">
        <v>0</v>
      </c>
      <c r="E65" s="402">
        <v>0</v>
      </c>
      <c r="F65" s="402">
        <v>1</v>
      </c>
      <c r="G65" s="402">
        <v>0</v>
      </c>
      <c r="H65" s="402">
        <v>0</v>
      </c>
      <c r="I65" s="402">
        <v>0</v>
      </c>
      <c r="J65" s="402">
        <v>0</v>
      </c>
      <c r="K65" s="402">
        <v>0</v>
      </c>
      <c r="L65" s="402">
        <v>0</v>
      </c>
      <c r="M65" s="402">
        <v>0</v>
      </c>
      <c r="N65" s="402">
        <v>0</v>
      </c>
      <c r="O65" s="402">
        <v>0</v>
      </c>
      <c r="P65" s="402">
        <v>0</v>
      </c>
      <c r="Q65" s="402">
        <v>0</v>
      </c>
      <c r="R65" s="402">
        <v>0</v>
      </c>
      <c r="S65" s="402">
        <v>0</v>
      </c>
      <c r="T65" s="402">
        <v>0</v>
      </c>
      <c r="U65" s="402">
        <v>0</v>
      </c>
      <c r="V65" s="402">
        <v>0</v>
      </c>
      <c r="W65" s="402">
        <v>0</v>
      </c>
      <c r="X65" s="402">
        <v>0</v>
      </c>
      <c r="AG65" s="10">
        <f t="shared" si="4"/>
        <v>16</v>
      </c>
      <c r="AH65" s="291" t="s">
        <v>359</v>
      </c>
      <c r="AI65" s="425">
        <v>0.04</v>
      </c>
      <c r="AJ65" s="426">
        <v>0</v>
      </c>
      <c r="AK65" s="427">
        <v>6.6000000000000003E-2</v>
      </c>
      <c r="AL65" s="425">
        <v>0.06</v>
      </c>
      <c r="AM65" s="427">
        <v>8.2500000000000004E-2</v>
      </c>
      <c r="AN65" s="427">
        <v>2.9000000000000001E-2</v>
      </c>
      <c r="AO65" s="425">
        <v>0.06</v>
      </c>
      <c r="AP65" s="426">
        <v>0</v>
      </c>
      <c r="AQ65" s="425">
        <v>0.06</v>
      </c>
      <c r="AR65" s="425">
        <v>0.06</v>
      </c>
      <c r="AS65" s="425">
        <v>0.04</v>
      </c>
      <c r="AT65" s="425">
        <v>0.04</v>
      </c>
      <c r="AU65" s="425">
        <v>0.06</v>
      </c>
      <c r="AV65" s="427">
        <v>6.25E-2</v>
      </c>
      <c r="AW65" s="425">
        <v>7.0000000000000007E-2</v>
      </c>
      <c r="AX65" s="425">
        <v>0.06</v>
      </c>
      <c r="AY65" s="427">
        <v>6.3E-2</v>
      </c>
      <c r="AZ65" s="425">
        <v>0.06</v>
      </c>
      <c r="BA65" s="425">
        <v>0.04</v>
      </c>
      <c r="BB65" s="425">
        <v>0.05</v>
      </c>
      <c r="BC65" s="425">
        <v>0.06</v>
      </c>
      <c r="BD65" s="427">
        <v>6.25E-2</v>
      </c>
      <c r="BE65" s="425">
        <v>0.06</v>
      </c>
      <c r="BF65" s="427">
        <v>6.8750000000000006E-2</v>
      </c>
      <c r="BG65" s="425">
        <v>7.0000000000000007E-2</v>
      </c>
      <c r="BH65" s="427">
        <v>4.2250000000000003E-2</v>
      </c>
      <c r="BI65" s="426">
        <v>0</v>
      </c>
      <c r="BJ65" s="437">
        <f>'User Add-in Location'!$B$5</f>
        <v>0</v>
      </c>
      <c r="BK65" s="437">
        <f>'User Add-in Location'!$B$5</f>
        <v>0</v>
      </c>
      <c r="BL65" s="427">
        <v>5.5E-2</v>
      </c>
      <c r="BM65" s="427">
        <v>6.8500000000000005E-2</v>
      </c>
      <c r="BN65" s="426">
        <v>0</v>
      </c>
      <c r="BO65" s="425">
        <v>7.0000000000000007E-2</v>
      </c>
      <c r="BP65" s="425">
        <v>5.1249999999999997E-2</v>
      </c>
      <c r="BQ65" s="425">
        <v>0.04</v>
      </c>
      <c r="BR65" s="427">
        <v>5.7500000000000002E-2</v>
      </c>
      <c r="BS65" s="425">
        <v>0.05</v>
      </c>
      <c r="BT65" s="427">
        <v>5.5E-2</v>
      </c>
      <c r="BU65" s="427">
        <v>4.4999999999999998E-2</v>
      </c>
      <c r="BV65" s="426">
        <v>0</v>
      </c>
      <c r="BW65" s="425">
        <v>0.06</v>
      </c>
      <c r="CF65" s="425">
        <v>7.0000000000000007E-2</v>
      </c>
      <c r="CG65" s="425">
        <v>0.06</v>
      </c>
      <c r="CH65" s="425">
        <v>0.04</v>
      </c>
      <c r="CI65" s="425">
        <v>7.0000000000000007E-2</v>
      </c>
      <c r="CJ65" s="427">
        <v>6.25E-2</v>
      </c>
      <c r="CK65" s="427">
        <v>4.7E-2</v>
      </c>
      <c r="CL65" s="425">
        <v>0.06</v>
      </c>
      <c r="CM65" s="425">
        <v>0.04</v>
      </c>
      <c r="CN65" s="427">
        <v>6.5000000000000002E-2</v>
      </c>
      <c r="CO65" s="425">
        <v>0.06</v>
      </c>
      <c r="CP65" s="425">
        <v>0.05</v>
      </c>
      <c r="CQ65" s="425">
        <v>0.04</v>
      </c>
    </row>
    <row r="66" spans="2:95" ht="15" customHeight="1" x14ac:dyDescent="0.25">
      <c r="B66" s="399" t="s">
        <v>390</v>
      </c>
      <c r="C66" s="402">
        <v>0</v>
      </c>
      <c r="D66" s="402">
        <v>0</v>
      </c>
      <c r="E66" s="402">
        <v>0</v>
      </c>
      <c r="F66" s="402">
        <v>0</v>
      </c>
      <c r="G66" s="402">
        <v>1</v>
      </c>
      <c r="H66" s="402">
        <v>0</v>
      </c>
      <c r="I66" s="402">
        <v>0</v>
      </c>
      <c r="J66" s="402">
        <v>0</v>
      </c>
      <c r="K66" s="402">
        <v>0</v>
      </c>
      <c r="L66" s="402">
        <v>0</v>
      </c>
      <c r="M66" s="402">
        <v>0</v>
      </c>
      <c r="N66" s="402">
        <v>0</v>
      </c>
      <c r="O66" s="402">
        <v>0</v>
      </c>
      <c r="P66" s="402">
        <v>0</v>
      </c>
      <c r="Q66" s="402">
        <v>0</v>
      </c>
      <c r="R66" s="402">
        <v>0</v>
      </c>
      <c r="S66" s="402">
        <v>0</v>
      </c>
      <c r="T66" s="402">
        <v>0</v>
      </c>
      <c r="U66" s="402">
        <v>0</v>
      </c>
      <c r="V66" s="402">
        <v>0</v>
      </c>
      <c r="W66" s="402">
        <v>0</v>
      </c>
      <c r="X66" s="402">
        <v>0</v>
      </c>
      <c r="AG66" s="10">
        <f t="shared" si="4"/>
        <v>17</v>
      </c>
      <c r="AH66" s="396" t="s">
        <v>358</v>
      </c>
      <c r="AI66" s="88"/>
      <c r="AJ66" s="88"/>
      <c r="AK66" s="88">
        <v>1</v>
      </c>
      <c r="AL66" s="88"/>
      <c r="AM66" s="88">
        <v>1</v>
      </c>
      <c r="AN66" s="88">
        <v>1</v>
      </c>
      <c r="AO66" s="88">
        <v>1</v>
      </c>
      <c r="AP66" s="88"/>
      <c r="AQ66" s="88"/>
      <c r="AR66" s="88"/>
      <c r="AS66" s="88"/>
      <c r="AT66" s="88"/>
      <c r="AU66" s="88"/>
      <c r="AV66" s="88"/>
      <c r="AW66" s="88">
        <v>1</v>
      </c>
      <c r="AX66" s="88">
        <v>1</v>
      </c>
      <c r="AY66" s="88">
        <v>1</v>
      </c>
      <c r="AZ66" s="88"/>
      <c r="BA66" s="88">
        <v>1</v>
      </c>
      <c r="BB66" s="88"/>
      <c r="BC66" s="88">
        <v>1</v>
      </c>
      <c r="BD66" s="88">
        <v>1</v>
      </c>
      <c r="BE66" s="88"/>
      <c r="BF66" s="88">
        <v>1</v>
      </c>
      <c r="BG66" s="88"/>
      <c r="BH66" s="88"/>
      <c r="BI66" s="88">
        <v>1</v>
      </c>
      <c r="BJ66" s="436">
        <f>'User Add-in Location'!$B$7</f>
        <v>0</v>
      </c>
      <c r="BK66" s="436">
        <f>'User Add-in Location'!$B$7</f>
        <v>0</v>
      </c>
      <c r="BL66" s="88"/>
      <c r="BM66" s="88">
        <v>1</v>
      </c>
      <c r="BN66" s="88"/>
      <c r="BO66" s="88">
        <v>1</v>
      </c>
      <c r="BP66" s="88">
        <v>1</v>
      </c>
      <c r="BQ66" s="88">
        <v>1</v>
      </c>
      <c r="BR66" s="88">
        <v>0.8</v>
      </c>
      <c r="BS66" s="88">
        <v>1</v>
      </c>
      <c r="BT66" s="88">
        <v>1</v>
      </c>
      <c r="BU66" s="88"/>
      <c r="BV66" s="88">
        <v>1</v>
      </c>
      <c r="BW66" s="88"/>
      <c r="CF66" s="88"/>
      <c r="CG66" s="88"/>
      <c r="CH66" s="88">
        <v>0.7</v>
      </c>
      <c r="CI66" s="88"/>
      <c r="CJ66" s="88">
        <v>1</v>
      </c>
      <c r="CK66" s="88"/>
      <c r="CL66" s="88"/>
      <c r="CM66" s="88"/>
      <c r="CN66" s="88"/>
      <c r="CO66" s="88"/>
      <c r="CP66" s="88">
        <v>1</v>
      </c>
      <c r="CQ66" s="88"/>
    </row>
    <row r="67" spans="2:95" ht="15.75" x14ac:dyDescent="0.25">
      <c r="B67" s="399" t="s">
        <v>125</v>
      </c>
      <c r="C67" s="402">
        <v>0</v>
      </c>
      <c r="D67" s="402">
        <v>0</v>
      </c>
      <c r="E67" s="402">
        <v>0</v>
      </c>
      <c r="F67" s="402">
        <v>0</v>
      </c>
      <c r="G67" s="402">
        <v>0</v>
      </c>
      <c r="H67" s="402">
        <v>0.84199599999999997</v>
      </c>
      <c r="I67" s="402">
        <v>0</v>
      </c>
      <c r="J67" s="402">
        <v>0</v>
      </c>
      <c r="K67" s="402">
        <v>0</v>
      </c>
      <c r="L67" s="402">
        <v>0</v>
      </c>
      <c r="M67" s="402">
        <v>0</v>
      </c>
      <c r="N67" s="402">
        <v>0.107789</v>
      </c>
      <c r="O67" s="402">
        <v>1.8332999999999999E-2</v>
      </c>
      <c r="P67" s="402">
        <v>3.1882000000000001E-2</v>
      </c>
      <c r="Q67" s="402">
        <v>0</v>
      </c>
      <c r="R67" s="402">
        <v>0</v>
      </c>
      <c r="S67" s="402">
        <v>0</v>
      </c>
      <c r="T67" s="402">
        <v>0</v>
      </c>
      <c r="U67" s="402">
        <v>0</v>
      </c>
      <c r="V67" s="402">
        <v>0</v>
      </c>
      <c r="W67" s="402">
        <v>0</v>
      </c>
      <c r="X67" s="402">
        <v>0</v>
      </c>
      <c r="AG67" s="10">
        <f t="shared" si="4"/>
        <v>18</v>
      </c>
      <c r="AH67" t="s">
        <v>359</v>
      </c>
      <c r="AI67" s="88"/>
      <c r="AJ67" s="88"/>
      <c r="AK67" s="88">
        <v>1</v>
      </c>
      <c r="AL67" s="88"/>
      <c r="AM67" s="88">
        <v>1</v>
      </c>
      <c r="AN67" s="88"/>
      <c r="AO67" s="88">
        <v>1</v>
      </c>
      <c r="AP67" s="88"/>
      <c r="AQ67" s="88"/>
      <c r="AR67" s="88"/>
      <c r="AS67" s="88"/>
      <c r="AT67" s="88"/>
      <c r="AU67" s="88">
        <v>1</v>
      </c>
      <c r="AV67" s="88"/>
      <c r="AW67" s="88">
        <v>1</v>
      </c>
      <c r="AX67" s="88">
        <v>1</v>
      </c>
      <c r="AY67" s="88">
        <v>1</v>
      </c>
      <c r="AZ67" s="88"/>
      <c r="BA67" s="88"/>
      <c r="BB67" s="88"/>
      <c r="BC67" s="88">
        <v>1</v>
      </c>
      <c r="BD67" s="88">
        <v>1</v>
      </c>
      <c r="BE67" s="88">
        <v>1</v>
      </c>
      <c r="BF67" s="88">
        <v>1</v>
      </c>
      <c r="BG67" s="88"/>
      <c r="BH67" s="88"/>
      <c r="BI67" s="88">
        <v>1</v>
      </c>
      <c r="BJ67" s="436">
        <f>'User Add-in Location'!$B$7</f>
        <v>0</v>
      </c>
      <c r="BK67" s="436">
        <f>'User Add-in Location'!$B$7</f>
        <v>0</v>
      </c>
      <c r="BL67" s="88"/>
      <c r="BM67" s="88">
        <v>1</v>
      </c>
      <c r="BN67" s="88"/>
      <c r="BO67" s="88">
        <v>1</v>
      </c>
      <c r="BP67" s="88"/>
      <c r="BQ67" s="88">
        <v>1</v>
      </c>
      <c r="BR67" s="88">
        <v>0.8</v>
      </c>
      <c r="BS67" s="88">
        <v>1</v>
      </c>
      <c r="BT67" s="88">
        <v>1</v>
      </c>
      <c r="BU67" s="88"/>
      <c r="BV67" s="88">
        <v>1</v>
      </c>
      <c r="BW67" s="88"/>
      <c r="CF67" s="88"/>
      <c r="CG67" s="88"/>
      <c r="CH67" s="88">
        <v>0.7</v>
      </c>
      <c r="CJ67" s="7">
        <v>1</v>
      </c>
      <c r="CK67" s="88"/>
      <c r="CL67" s="88"/>
      <c r="CM67" s="88"/>
      <c r="CN67" s="88"/>
      <c r="CO67" s="88"/>
      <c r="CP67" s="88">
        <v>1</v>
      </c>
      <c r="CQ67" s="88"/>
    </row>
    <row r="68" spans="2:95" ht="15.75" x14ac:dyDescent="0.25">
      <c r="B68" s="399" t="s">
        <v>126</v>
      </c>
      <c r="C68" s="402">
        <v>0</v>
      </c>
      <c r="D68" s="402">
        <v>0</v>
      </c>
      <c r="E68" s="402">
        <v>0</v>
      </c>
      <c r="F68" s="402">
        <v>0</v>
      </c>
      <c r="G68" s="402">
        <v>0</v>
      </c>
      <c r="H68" s="402">
        <v>0</v>
      </c>
      <c r="I68" s="402">
        <v>0.720028</v>
      </c>
      <c r="J68" s="402">
        <v>0</v>
      </c>
      <c r="K68" s="402">
        <v>0</v>
      </c>
      <c r="L68" s="402">
        <v>0</v>
      </c>
      <c r="M68" s="402">
        <v>0</v>
      </c>
      <c r="N68" s="402">
        <v>0.170125</v>
      </c>
      <c r="O68" s="402">
        <v>9.8636000000000001E-2</v>
      </c>
      <c r="P68" s="402">
        <v>1.1211E-2</v>
      </c>
      <c r="Q68" s="402">
        <v>0</v>
      </c>
      <c r="R68" s="402">
        <v>0</v>
      </c>
      <c r="S68" s="402">
        <v>0</v>
      </c>
      <c r="T68" s="402">
        <v>0</v>
      </c>
      <c r="U68" s="402">
        <v>0</v>
      </c>
      <c r="V68" s="402">
        <v>0</v>
      </c>
      <c r="W68" s="402">
        <v>0</v>
      </c>
      <c r="X68" s="402">
        <v>0</v>
      </c>
      <c r="AG68" s="10">
        <f t="shared" si="4"/>
        <v>19</v>
      </c>
      <c r="AH68" t="s">
        <v>402</v>
      </c>
      <c r="AK68" s="7">
        <v>1</v>
      </c>
      <c r="AM68" s="7">
        <v>1</v>
      </c>
      <c r="AN68" s="419"/>
      <c r="AO68" s="7">
        <v>1</v>
      </c>
      <c r="AR68" s="88"/>
      <c r="AU68" s="88"/>
      <c r="AW68" s="88">
        <v>1</v>
      </c>
      <c r="AX68" s="88">
        <v>1</v>
      </c>
      <c r="AY68" s="88">
        <v>1</v>
      </c>
      <c r="BB68" s="88"/>
      <c r="BC68" s="88">
        <v>1</v>
      </c>
      <c r="BD68" s="88">
        <v>1</v>
      </c>
      <c r="BE68" s="88">
        <v>1</v>
      </c>
      <c r="BF68" s="88">
        <v>1</v>
      </c>
      <c r="BI68" s="88">
        <v>1</v>
      </c>
      <c r="BJ68" s="436">
        <f>'User Add-in Location'!$B$7</f>
        <v>0</v>
      </c>
      <c r="BK68" s="436">
        <f>'User Add-in Location'!$B$7</f>
        <v>0</v>
      </c>
      <c r="BL68" s="88"/>
      <c r="BM68" s="88">
        <v>1</v>
      </c>
      <c r="BO68" s="88">
        <v>1</v>
      </c>
      <c r="BQ68" s="88">
        <v>1</v>
      </c>
      <c r="BR68" s="88">
        <v>0.8</v>
      </c>
      <c r="BS68" s="88">
        <v>1</v>
      </c>
      <c r="BT68" s="88">
        <v>1</v>
      </c>
      <c r="BV68" s="88">
        <v>1</v>
      </c>
      <c r="CF68" s="88"/>
      <c r="CH68" s="7">
        <v>0.7</v>
      </c>
      <c r="CI68" s="7"/>
      <c r="CJ68" s="7">
        <v>1</v>
      </c>
      <c r="CK68" s="88"/>
      <c r="CL68" s="88"/>
      <c r="CM68" s="88"/>
      <c r="CN68" s="88"/>
      <c r="CO68" s="88"/>
      <c r="CP68" s="88">
        <v>1</v>
      </c>
      <c r="CQ68" s="88"/>
    </row>
    <row r="69" spans="2:95" ht="13.5" customHeight="1" x14ac:dyDescent="0.25">
      <c r="B69" s="399" t="s">
        <v>127</v>
      </c>
      <c r="C69" s="402">
        <v>0</v>
      </c>
      <c r="D69" s="402">
        <v>0</v>
      </c>
      <c r="E69" s="402">
        <v>0</v>
      </c>
      <c r="F69" s="402">
        <v>0</v>
      </c>
      <c r="G69" s="402">
        <v>0</v>
      </c>
      <c r="H69" s="402">
        <v>0</v>
      </c>
      <c r="I69" s="402">
        <v>0</v>
      </c>
      <c r="J69" s="402">
        <v>0.83328599999999997</v>
      </c>
      <c r="K69" s="402">
        <v>0</v>
      </c>
      <c r="L69" s="402">
        <v>0</v>
      </c>
      <c r="M69" s="402">
        <v>0</v>
      </c>
      <c r="N69" s="402">
        <v>0.111651</v>
      </c>
      <c r="O69" s="402">
        <v>2.3139E-2</v>
      </c>
      <c r="P69" s="402">
        <v>3.1925000000000002E-2</v>
      </c>
      <c r="Q69" s="402">
        <v>0</v>
      </c>
      <c r="R69" s="402">
        <v>0</v>
      </c>
      <c r="S69" s="402">
        <v>0</v>
      </c>
      <c r="T69" s="402">
        <v>0</v>
      </c>
      <c r="U69" s="402">
        <v>0</v>
      </c>
      <c r="V69" s="402">
        <v>0</v>
      </c>
      <c r="W69" s="402">
        <v>0</v>
      </c>
      <c r="X69" s="402">
        <v>0</v>
      </c>
      <c r="AG69" s="10">
        <f t="shared" si="4"/>
        <v>20</v>
      </c>
      <c r="AH69" s="396" t="s">
        <v>361</v>
      </c>
      <c r="AI69" s="88">
        <f>HLOOKUP(AI$57,AI$50:CQ$68,AI70)</f>
        <v>1</v>
      </c>
      <c r="AJ69" s="25" t="s">
        <v>362</v>
      </c>
      <c r="AK69" s="88">
        <f>1-AI69</f>
        <v>0</v>
      </c>
    </row>
    <row r="70" spans="2:95" ht="15.75" x14ac:dyDescent="0.25">
      <c r="B70" s="399" t="s">
        <v>391</v>
      </c>
      <c r="C70" s="402">
        <v>0</v>
      </c>
      <c r="D70" s="402">
        <v>0</v>
      </c>
      <c r="E70" s="402">
        <v>0</v>
      </c>
      <c r="F70" s="402">
        <v>0</v>
      </c>
      <c r="G70" s="402">
        <v>0</v>
      </c>
      <c r="H70" s="402">
        <v>0</v>
      </c>
      <c r="I70" s="402">
        <v>0</v>
      </c>
      <c r="J70" s="402">
        <v>0</v>
      </c>
      <c r="K70" s="402">
        <v>0.82125899999999996</v>
      </c>
      <c r="L70" s="402">
        <v>0</v>
      </c>
      <c r="M70" s="402">
        <v>0</v>
      </c>
      <c r="N70" s="402">
        <v>0.144205</v>
      </c>
      <c r="O70" s="402">
        <v>1.9375E-2</v>
      </c>
      <c r="P70" s="402">
        <v>1.516E-2</v>
      </c>
      <c r="Q70" s="402">
        <v>0</v>
      </c>
      <c r="R70" s="402">
        <v>0</v>
      </c>
      <c r="S70" s="402">
        <v>0</v>
      </c>
      <c r="T70" s="402">
        <v>0</v>
      </c>
      <c r="U70" s="402">
        <v>0</v>
      </c>
      <c r="V70" s="402">
        <v>0</v>
      </c>
      <c r="W70" s="402">
        <v>0</v>
      </c>
      <c r="X70" s="402">
        <v>0</v>
      </c>
      <c r="AG70" s="10">
        <f t="shared" si="4"/>
        <v>21</v>
      </c>
      <c r="AH70" s="291" t="s">
        <v>354</v>
      </c>
      <c r="AI70">
        <f>IF(AI$58&lt;10,AG66,IF(AI$58&lt;100,AG67,AG68))</f>
        <v>17</v>
      </c>
    </row>
    <row r="71" spans="2:95" ht="15.75" x14ac:dyDescent="0.25">
      <c r="B71" s="399" t="s">
        <v>392</v>
      </c>
      <c r="C71" s="402">
        <v>0</v>
      </c>
      <c r="D71" s="402">
        <v>0</v>
      </c>
      <c r="E71" s="402">
        <v>0</v>
      </c>
      <c r="F71" s="402">
        <v>0</v>
      </c>
      <c r="G71" s="402">
        <v>0</v>
      </c>
      <c r="H71" s="402">
        <v>0</v>
      </c>
      <c r="I71" s="402">
        <v>0</v>
      </c>
      <c r="J71" s="402">
        <v>0</v>
      </c>
      <c r="K71" s="402">
        <v>0</v>
      </c>
      <c r="L71" s="402">
        <v>0.700021</v>
      </c>
      <c r="M71" s="402">
        <v>0</v>
      </c>
      <c r="N71" s="402">
        <v>0.29131899999999999</v>
      </c>
      <c r="O71" s="402">
        <v>0</v>
      </c>
      <c r="P71" s="402">
        <v>8.6599999999999993E-3</v>
      </c>
      <c r="Q71" s="402">
        <v>0</v>
      </c>
      <c r="R71" s="402">
        <v>0</v>
      </c>
      <c r="S71" s="402">
        <v>0</v>
      </c>
      <c r="T71" s="402">
        <v>0</v>
      </c>
      <c r="U71" s="402">
        <v>0</v>
      </c>
      <c r="V71" s="402">
        <v>0</v>
      </c>
      <c r="W71" s="402">
        <v>0</v>
      </c>
      <c r="X71" s="402">
        <v>0</v>
      </c>
      <c r="AG71" s="10">
        <f t="shared" si="4"/>
        <v>22</v>
      </c>
    </row>
    <row r="72" spans="2:95" ht="15.75" x14ac:dyDescent="0.25">
      <c r="B72" s="399" t="s">
        <v>393</v>
      </c>
      <c r="C72" s="402">
        <v>0</v>
      </c>
      <c r="D72" s="402">
        <v>0</v>
      </c>
      <c r="E72" s="402">
        <v>0</v>
      </c>
      <c r="F72" s="402">
        <v>0</v>
      </c>
      <c r="G72" s="402">
        <v>0</v>
      </c>
      <c r="H72" s="402">
        <v>0</v>
      </c>
      <c r="I72" s="402">
        <v>0</v>
      </c>
      <c r="J72" s="402">
        <v>0</v>
      </c>
      <c r="K72" s="402">
        <v>0</v>
      </c>
      <c r="L72" s="402">
        <v>0</v>
      </c>
      <c r="M72" s="402">
        <v>0.87762399999999996</v>
      </c>
      <c r="N72" s="402">
        <v>0.11397699999999999</v>
      </c>
      <c r="O72" s="402">
        <v>0</v>
      </c>
      <c r="P72" s="402">
        <v>8.3979999999999992E-3</v>
      </c>
      <c r="Q72" s="402">
        <v>0</v>
      </c>
      <c r="R72" s="402">
        <v>0</v>
      </c>
      <c r="S72" s="402">
        <v>0</v>
      </c>
      <c r="T72" s="402">
        <v>0</v>
      </c>
      <c r="U72" s="402">
        <v>0</v>
      </c>
      <c r="V72" s="402">
        <v>0</v>
      </c>
      <c r="W72" s="402">
        <v>0</v>
      </c>
      <c r="X72" s="402">
        <v>0</v>
      </c>
      <c r="AG72" s="10">
        <f t="shared" si="4"/>
        <v>23</v>
      </c>
      <c r="AH72" t="s">
        <v>357</v>
      </c>
      <c r="AI72" s="91">
        <f>HLOOKUP(AI$57,AI$50:CQ$68,AI73)</f>
        <v>8.2500000000000004E-2</v>
      </c>
    </row>
    <row r="73" spans="2:95" ht="15.75" x14ac:dyDescent="0.25">
      <c r="B73" s="399" t="s">
        <v>57</v>
      </c>
      <c r="C73" s="402">
        <v>0</v>
      </c>
      <c r="D73" s="402">
        <v>0</v>
      </c>
      <c r="E73" s="402">
        <v>0</v>
      </c>
      <c r="F73" s="402">
        <v>0</v>
      </c>
      <c r="G73" s="402">
        <v>0</v>
      </c>
      <c r="H73" s="402">
        <v>0</v>
      </c>
      <c r="I73" s="402">
        <v>0</v>
      </c>
      <c r="J73" s="402">
        <v>0</v>
      </c>
      <c r="K73" s="402">
        <v>0</v>
      </c>
      <c r="L73" s="402">
        <v>0</v>
      </c>
      <c r="M73" s="402">
        <v>0</v>
      </c>
      <c r="N73" s="402">
        <v>0.72233099999999995</v>
      </c>
      <c r="O73" s="402">
        <v>0</v>
      </c>
      <c r="P73" s="402">
        <v>0.277669</v>
      </c>
      <c r="Q73" s="402">
        <v>0</v>
      </c>
      <c r="R73" s="402">
        <v>0</v>
      </c>
      <c r="S73" s="402">
        <v>0</v>
      </c>
      <c r="T73" s="402">
        <v>0</v>
      </c>
      <c r="U73" s="402">
        <v>0</v>
      </c>
      <c r="V73" s="402">
        <v>0</v>
      </c>
      <c r="W73" s="402">
        <v>0</v>
      </c>
      <c r="X73" s="402">
        <v>0</v>
      </c>
      <c r="AG73" s="10">
        <f t="shared" si="4"/>
        <v>24</v>
      </c>
      <c r="AH73" t="s">
        <v>354</v>
      </c>
      <c r="AI73">
        <f>IF(AI58&lt;10,AG64,AG65)</f>
        <v>15</v>
      </c>
    </row>
    <row r="74" spans="2:95" ht="15.75" x14ac:dyDescent="0.25">
      <c r="B74" s="399" t="s">
        <v>394</v>
      </c>
      <c r="C74" s="402">
        <v>0</v>
      </c>
      <c r="D74" s="402">
        <v>0</v>
      </c>
      <c r="E74" s="402">
        <v>0</v>
      </c>
      <c r="F74" s="402">
        <v>0</v>
      </c>
      <c r="G74" s="402">
        <v>0</v>
      </c>
      <c r="H74" s="402">
        <v>0</v>
      </c>
      <c r="I74" s="402">
        <v>0</v>
      </c>
      <c r="J74" s="402">
        <v>0</v>
      </c>
      <c r="K74" s="402">
        <v>0</v>
      </c>
      <c r="L74" s="402">
        <v>0</v>
      </c>
      <c r="M74" s="402">
        <v>0</v>
      </c>
      <c r="N74" s="402">
        <v>0</v>
      </c>
      <c r="O74" s="402">
        <v>1</v>
      </c>
      <c r="P74" s="402">
        <v>0</v>
      </c>
      <c r="Q74" s="402">
        <v>0</v>
      </c>
      <c r="R74" s="402">
        <v>0</v>
      </c>
      <c r="S74" s="402">
        <v>0</v>
      </c>
      <c r="T74" s="402">
        <v>0</v>
      </c>
      <c r="U74" s="402">
        <v>0</v>
      </c>
      <c r="V74" s="402">
        <v>0</v>
      </c>
      <c r="W74" s="402">
        <v>0</v>
      </c>
      <c r="X74" s="402">
        <v>0</v>
      </c>
      <c r="AG74" s="10">
        <f t="shared" si="4"/>
        <v>25</v>
      </c>
      <c r="AH74" t="s">
        <v>446</v>
      </c>
      <c r="AI74" s="88"/>
      <c r="AJ74" s="88"/>
      <c r="AK74" s="88">
        <v>1</v>
      </c>
      <c r="AL74" s="88"/>
      <c r="AM74" s="88"/>
      <c r="AN74" s="88">
        <v>1</v>
      </c>
      <c r="AO74" s="88">
        <v>1</v>
      </c>
      <c r="AP74" s="88"/>
      <c r="AQ74" s="88"/>
      <c r="AR74" s="88">
        <v>1</v>
      </c>
      <c r="AS74" s="88"/>
      <c r="AT74" s="88"/>
      <c r="AU74" s="88"/>
      <c r="AV74" s="88"/>
      <c r="AW74" s="88"/>
      <c r="AX74" s="88">
        <v>1</v>
      </c>
      <c r="AY74" s="88"/>
      <c r="AZ74" s="88"/>
      <c r="BA74" s="88"/>
      <c r="BB74" s="88"/>
      <c r="BC74" s="88">
        <v>1</v>
      </c>
      <c r="BD74" s="88">
        <v>1</v>
      </c>
      <c r="BE74" s="88"/>
      <c r="BF74" s="88">
        <v>1</v>
      </c>
      <c r="BG74" s="88"/>
      <c r="BH74" s="88"/>
      <c r="BI74" s="88"/>
      <c r="BJ74" s="436">
        <f>'User Add-in Location'!$B$6</f>
        <v>0</v>
      </c>
      <c r="BK74" s="436">
        <f>'User Add-in Location'!$B$6</f>
        <v>0</v>
      </c>
      <c r="BL74" s="88"/>
      <c r="BM74" s="88"/>
      <c r="BN74" s="88"/>
      <c r="BO74" s="88">
        <v>1</v>
      </c>
      <c r="BP74" s="88"/>
      <c r="BQ74" s="88">
        <v>1</v>
      </c>
      <c r="BR74" s="88"/>
      <c r="BS74" s="88"/>
      <c r="BT74" s="88"/>
      <c r="BU74" s="88"/>
      <c r="BV74" s="88"/>
      <c r="BW74" s="88"/>
      <c r="CF74" s="88">
        <v>1</v>
      </c>
      <c r="CG74" s="88"/>
      <c r="CH74" s="88"/>
      <c r="CI74" s="88"/>
      <c r="CJ74" s="88"/>
      <c r="CK74" s="88"/>
      <c r="CL74" s="88">
        <v>1</v>
      </c>
      <c r="CM74" s="88"/>
      <c r="CN74" s="88">
        <v>1</v>
      </c>
      <c r="CO74" s="88"/>
      <c r="CP74" s="88">
        <v>1</v>
      </c>
      <c r="CQ74" s="88">
        <v>1</v>
      </c>
    </row>
    <row r="75" spans="2:95" ht="15.75" x14ac:dyDescent="0.25">
      <c r="B75" s="399" t="s">
        <v>128</v>
      </c>
      <c r="C75" s="402">
        <v>0</v>
      </c>
      <c r="D75" s="402">
        <v>0</v>
      </c>
      <c r="E75" s="402">
        <v>0</v>
      </c>
      <c r="F75" s="402">
        <v>0</v>
      </c>
      <c r="G75" s="402">
        <v>0</v>
      </c>
      <c r="H75" s="402">
        <v>0</v>
      </c>
      <c r="I75" s="402">
        <v>0</v>
      </c>
      <c r="J75" s="402">
        <v>0</v>
      </c>
      <c r="K75" s="402">
        <v>0</v>
      </c>
      <c r="L75" s="402">
        <v>0</v>
      </c>
      <c r="M75" s="402">
        <v>0</v>
      </c>
      <c r="N75" s="402">
        <v>0</v>
      </c>
      <c r="O75" s="402">
        <v>0</v>
      </c>
      <c r="P75" s="402">
        <v>1</v>
      </c>
      <c r="Q75" s="402">
        <v>0</v>
      </c>
      <c r="R75" s="402">
        <v>0</v>
      </c>
      <c r="S75" s="402">
        <v>0</v>
      </c>
      <c r="T75" s="402">
        <v>0</v>
      </c>
      <c r="U75" s="402">
        <v>0</v>
      </c>
      <c r="V75" s="402">
        <v>0</v>
      </c>
      <c r="W75" s="402">
        <v>0</v>
      </c>
      <c r="X75" s="402">
        <v>0</v>
      </c>
      <c r="AD75" t="s">
        <v>403</v>
      </c>
      <c r="AG75" s="10">
        <f t="shared" si="4"/>
        <v>26</v>
      </c>
      <c r="AH75" t="s">
        <v>359</v>
      </c>
      <c r="AI75" s="88"/>
      <c r="AJ75" s="88"/>
      <c r="AK75" s="88">
        <v>1</v>
      </c>
      <c r="AL75" s="88"/>
      <c r="AM75" s="88"/>
      <c r="AN75" s="88">
        <v>1</v>
      </c>
      <c r="AO75" s="88">
        <v>1</v>
      </c>
      <c r="AP75" s="88"/>
      <c r="AQ75" s="88"/>
      <c r="AR75" s="88">
        <v>1</v>
      </c>
      <c r="AS75" s="88"/>
      <c r="AT75" s="88"/>
      <c r="AU75" s="88">
        <v>1</v>
      </c>
      <c r="AV75" s="88"/>
      <c r="AW75" s="88"/>
      <c r="AX75" s="88">
        <v>1</v>
      </c>
      <c r="AY75" s="88"/>
      <c r="AZ75" s="88">
        <v>1</v>
      </c>
      <c r="BA75" s="88"/>
      <c r="BB75" s="88"/>
      <c r="BC75" s="88">
        <v>1</v>
      </c>
      <c r="BD75" s="88"/>
      <c r="BE75" s="88"/>
      <c r="BF75" s="88">
        <v>1</v>
      </c>
      <c r="BG75" s="88"/>
      <c r="BH75" s="88"/>
      <c r="BI75" s="88"/>
      <c r="BJ75" s="436">
        <f>'User Add-in Location'!$B$6</f>
        <v>0</v>
      </c>
      <c r="BK75" s="436">
        <f>'User Add-in Location'!$B$6</f>
        <v>0</v>
      </c>
      <c r="BL75" s="88"/>
      <c r="BM75" s="88"/>
      <c r="BN75" s="88"/>
      <c r="BO75" s="88">
        <v>1</v>
      </c>
      <c r="BP75" s="88"/>
      <c r="BQ75" s="88">
        <v>1</v>
      </c>
      <c r="BR75" s="88"/>
      <c r="BS75" s="88"/>
      <c r="BT75" s="88">
        <v>1</v>
      </c>
      <c r="BU75" s="88"/>
      <c r="BV75" s="88"/>
      <c r="BW75" s="88"/>
      <c r="CF75" s="88">
        <v>1</v>
      </c>
      <c r="CG75" s="88"/>
      <c r="CH75" s="88"/>
      <c r="CK75" s="88">
        <v>1</v>
      </c>
      <c r="CL75" s="88">
        <v>1</v>
      </c>
      <c r="CM75" s="88"/>
      <c r="CN75" s="88">
        <v>1</v>
      </c>
      <c r="CO75" s="88"/>
      <c r="CP75" s="88">
        <v>1</v>
      </c>
      <c r="CQ75" s="88">
        <v>1</v>
      </c>
    </row>
    <row r="76" spans="2:95" ht="15.75" x14ac:dyDescent="0.25">
      <c r="B76" s="399" t="s">
        <v>395</v>
      </c>
      <c r="C76" s="402">
        <v>0</v>
      </c>
      <c r="D76" s="402">
        <v>0</v>
      </c>
      <c r="E76" s="402">
        <v>0</v>
      </c>
      <c r="F76" s="402">
        <v>0</v>
      </c>
      <c r="G76" s="402">
        <v>0</v>
      </c>
      <c r="H76" s="402">
        <v>0</v>
      </c>
      <c r="I76" s="402">
        <v>0</v>
      </c>
      <c r="J76" s="402">
        <v>0</v>
      </c>
      <c r="K76" s="402">
        <v>0</v>
      </c>
      <c r="L76" s="402">
        <v>0</v>
      </c>
      <c r="M76" s="402">
        <v>0</v>
      </c>
      <c r="N76" s="402">
        <v>0</v>
      </c>
      <c r="O76" s="402">
        <v>0</v>
      </c>
      <c r="P76" s="402">
        <v>0</v>
      </c>
      <c r="Q76" s="402">
        <v>1</v>
      </c>
      <c r="R76" s="402">
        <v>0</v>
      </c>
      <c r="S76" s="402">
        <v>0</v>
      </c>
      <c r="T76" s="402">
        <v>0</v>
      </c>
      <c r="U76" s="402">
        <v>0</v>
      </c>
      <c r="V76" s="402">
        <v>0</v>
      </c>
      <c r="W76" s="402">
        <v>0</v>
      </c>
      <c r="X76" s="402">
        <v>0</v>
      </c>
      <c r="AG76" s="10">
        <f t="shared" si="4"/>
        <v>27</v>
      </c>
      <c r="AH76" t="s">
        <v>402</v>
      </c>
      <c r="AK76" s="7">
        <v>1</v>
      </c>
      <c r="AN76" s="419">
        <v>1</v>
      </c>
      <c r="AO76" s="7">
        <v>1</v>
      </c>
      <c r="AR76" s="88">
        <v>1</v>
      </c>
      <c r="AU76" s="88"/>
      <c r="AX76" s="88">
        <v>1</v>
      </c>
      <c r="BB76" s="88"/>
      <c r="BC76" s="88">
        <v>1</v>
      </c>
      <c r="BF76" s="88">
        <v>1</v>
      </c>
      <c r="BJ76" s="436">
        <f>'User Add-in Location'!$B$6</f>
        <v>0</v>
      </c>
      <c r="BK76" s="436">
        <f>'User Add-in Location'!$B$6</f>
        <v>0</v>
      </c>
      <c r="BL76" s="88"/>
      <c r="BT76" s="88">
        <v>1</v>
      </c>
      <c r="CF76" s="88">
        <v>1</v>
      </c>
      <c r="CK76" s="88">
        <v>1</v>
      </c>
      <c r="CL76" s="88">
        <v>1</v>
      </c>
      <c r="CM76" s="88"/>
      <c r="CN76" s="88">
        <v>1</v>
      </c>
      <c r="CO76" s="88"/>
      <c r="CP76" s="88">
        <v>1</v>
      </c>
      <c r="CQ76" s="88">
        <v>1</v>
      </c>
    </row>
    <row r="77" spans="2:95" ht="15.75" x14ac:dyDescent="0.25">
      <c r="B77" s="399" t="s">
        <v>396</v>
      </c>
      <c r="C77" s="402">
        <v>0</v>
      </c>
      <c r="D77" s="402">
        <v>0</v>
      </c>
      <c r="E77" s="402">
        <v>0</v>
      </c>
      <c r="F77" s="402">
        <v>0</v>
      </c>
      <c r="G77" s="402">
        <v>0</v>
      </c>
      <c r="H77" s="402">
        <v>0</v>
      </c>
      <c r="I77" s="402">
        <v>0</v>
      </c>
      <c r="J77" s="402">
        <v>0</v>
      </c>
      <c r="K77" s="402">
        <v>0</v>
      </c>
      <c r="L77" s="402">
        <v>0</v>
      </c>
      <c r="M77" s="402">
        <v>0</v>
      </c>
      <c r="N77" s="402">
        <v>0</v>
      </c>
      <c r="O77" s="402">
        <v>4.2299999999999998E-4</v>
      </c>
      <c r="P77" s="402">
        <v>0</v>
      </c>
      <c r="Q77" s="402">
        <v>0</v>
      </c>
      <c r="R77" s="402">
        <v>0.99957700000000005</v>
      </c>
      <c r="S77" s="402">
        <v>0</v>
      </c>
      <c r="T77" s="402">
        <v>0</v>
      </c>
      <c r="U77" s="402">
        <v>0</v>
      </c>
      <c r="V77" s="402">
        <v>0</v>
      </c>
      <c r="W77" s="402">
        <v>0</v>
      </c>
      <c r="X77" s="402">
        <v>0</v>
      </c>
      <c r="AH77" s="396" t="s">
        <v>445</v>
      </c>
      <c r="AI77" s="88">
        <f>HLOOKUP(AI$57,AI$50:CQ$76,AI78)</f>
        <v>0</v>
      </c>
      <c r="AJ77" s="25" t="s">
        <v>362</v>
      </c>
      <c r="AK77" s="88">
        <f>1-AI77</f>
        <v>1</v>
      </c>
    </row>
    <row r="78" spans="2:95" ht="15.75" x14ac:dyDescent="0.25">
      <c r="B78" s="399" t="s">
        <v>397</v>
      </c>
      <c r="C78" s="402">
        <v>0</v>
      </c>
      <c r="D78" s="402">
        <v>0</v>
      </c>
      <c r="E78" s="402">
        <v>0</v>
      </c>
      <c r="F78" s="402">
        <v>0</v>
      </c>
      <c r="G78" s="402">
        <v>0</v>
      </c>
      <c r="H78" s="402">
        <v>0</v>
      </c>
      <c r="I78" s="402">
        <v>0</v>
      </c>
      <c r="J78" s="402">
        <v>0</v>
      </c>
      <c r="K78" s="402">
        <v>0</v>
      </c>
      <c r="L78" s="402">
        <v>0</v>
      </c>
      <c r="M78" s="402">
        <v>0</v>
      </c>
      <c r="N78" s="402">
        <v>0</v>
      </c>
      <c r="O78" s="402">
        <v>0</v>
      </c>
      <c r="P78" s="402">
        <v>0</v>
      </c>
      <c r="Q78" s="402">
        <v>0</v>
      </c>
      <c r="R78" s="402">
        <v>0</v>
      </c>
      <c r="S78" s="402">
        <v>1</v>
      </c>
      <c r="T78" s="402">
        <v>0</v>
      </c>
      <c r="U78" s="402">
        <v>0</v>
      </c>
      <c r="V78" s="402">
        <v>0</v>
      </c>
      <c r="W78" s="402">
        <v>0</v>
      </c>
      <c r="X78" s="402">
        <v>0</v>
      </c>
      <c r="AH78" s="291" t="s">
        <v>354</v>
      </c>
      <c r="AI78">
        <f>IF(AI$58&lt;10,AG74,IF(AI$58&lt;100,AG75,AG76))</f>
        <v>25</v>
      </c>
    </row>
    <row r="79" spans="2:95" ht="15.75" x14ac:dyDescent="0.25">
      <c r="B79" s="399" t="s">
        <v>398</v>
      </c>
      <c r="C79" s="402">
        <v>0</v>
      </c>
      <c r="D79" s="402">
        <v>0</v>
      </c>
      <c r="E79" s="402">
        <v>0</v>
      </c>
      <c r="F79" s="402">
        <v>0</v>
      </c>
      <c r="G79" s="402">
        <v>0</v>
      </c>
      <c r="H79" s="402">
        <v>0</v>
      </c>
      <c r="I79" s="402">
        <v>0</v>
      </c>
      <c r="J79" s="402">
        <v>0</v>
      </c>
      <c r="K79" s="402">
        <v>0</v>
      </c>
      <c r="L79" s="402">
        <v>0</v>
      </c>
      <c r="M79" s="402">
        <v>0</v>
      </c>
      <c r="N79" s="402">
        <v>0</v>
      </c>
      <c r="O79" s="402">
        <v>0</v>
      </c>
      <c r="P79" s="402">
        <v>0</v>
      </c>
      <c r="Q79" s="402">
        <v>0</v>
      </c>
      <c r="R79" s="402">
        <v>0</v>
      </c>
      <c r="S79" s="402">
        <v>0</v>
      </c>
      <c r="T79" s="402">
        <v>1</v>
      </c>
      <c r="U79" s="402">
        <v>0</v>
      </c>
      <c r="V79" s="402">
        <v>0</v>
      </c>
      <c r="W79" s="402">
        <v>0</v>
      </c>
      <c r="X79" s="402">
        <v>0</v>
      </c>
    </row>
    <row r="80" spans="2:95" ht="15.75" x14ac:dyDescent="0.25">
      <c r="B80" s="399" t="s">
        <v>399</v>
      </c>
      <c r="C80" s="402">
        <v>0</v>
      </c>
      <c r="D80" s="402">
        <v>0</v>
      </c>
      <c r="E80" s="402">
        <v>0</v>
      </c>
      <c r="F80" s="402">
        <v>0</v>
      </c>
      <c r="G80" s="402">
        <v>0</v>
      </c>
      <c r="H80" s="402">
        <v>0</v>
      </c>
      <c r="I80" s="402">
        <v>0</v>
      </c>
      <c r="J80" s="402">
        <v>0</v>
      </c>
      <c r="K80" s="402">
        <v>0</v>
      </c>
      <c r="L80" s="402">
        <v>0</v>
      </c>
      <c r="M80" s="402">
        <v>0</v>
      </c>
      <c r="N80" s="402">
        <v>0</v>
      </c>
      <c r="O80" s="402">
        <v>0</v>
      </c>
      <c r="P80" s="402">
        <v>0</v>
      </c>
      <c r="Q80" s="402">
        <v>0</v>
      </c>
      <c r="R80" s="402">
        <v>0</v>
      </c>
      <c r="S80" s="402">
        <v>0</v>
      </c>
      <c r="T80" s="402">
        <v>0</v>
      </c>
      <c r="U80" s="402">
        <v>1</v>
      </c>
      <c r="V80" s="402">
        <v>0</v>
      </c>
      <c r="W80" s="402">
        <v>0</v>
      </c>
      <c r="X80" s="402">
        <v>0</v>
      </c>
    </row>
    <row r="81" spans="2:28" ht="15.75" x14ac:dyDescent="0.25">
      <c r="B81" s="399" t="s">
        <v>400</v>
      </c>
      <c r="C81" s="402">
        <v>0</v>
      </c>
      <c r="D81" s="402">
        <v>0</v>
      </c>
      <c r="E81" s="402">
        <v>0</v>
      </c>
      <c r="F81" s="402">
        <v>0</v>
      </c>
      <c r="G81" s="402">
        <v>0</v>
      </c>
      <c r="H81" s="402">
        <v>0</v>
      </c>
      <c r="I81" s="402">
        <v>0</v>
      </c>
      <c r="J81" s="402">
        <v>0</v>
      </c>
      <c r="K81" s="402">
        <v>0</v>
      </c>
      <c r="L81" s="402">
        <v>0</v>
      </c>
      <c r="M81" s="402">
        <v>0</v>
      </c>
      <c r="N81" s="402">
        <v>0.20174600000000001</v>
      </c>
      <c r="O81" s="402">
        <v>1.8610999999999999E-2</v>
      </c>
      <c r="P81" s="402">
        <v>2.5811000000000001E-2</v>
      </c>
      <c r="Q81" s="402">
        <v>0</v>
      </c>
      <c r="R81" s="402">
        <v>0</v>
      </c>
      <c r="S81" s="402">
        <v>0</v>
      </c>
      <c r="T81" s="402">
        <v>0</v>
      </c>
      <c r="U81" s="402">
        <v>0</v>
      </c>
      <c r="V81" s="402">
        <v>0.75383199999999995</v>
      </c>
      <c r="W81" s="402">
        <v>0</v>
      </c>
      <c r="X81" s="402">
        <v>0</v>
      </c>
    </row>
    <row r="82" spans="2:28" ht="15.75" x14ac:dyDescent="0.25">
      <c r="B82" s="399" t="s">
        <v>58</v>
      </c>
      <c r="C82" s="402">
        <v>0</v>
      </c>
      <c r="D82" s="402">
        <v>0</v>
      </c>
      <c r="E82" s="402">
        <v>0</v>
      </c>
      <c r="F82" s="402">
        <v>0</v>
      </c>
      <c r="G82" s="402">
        <v>0</v>
      </c>
      <c r="H82" s="402">
        <v>0</v>
      </c>
      <c r="I82" s="402">
        <v>0</v>
      </c>
      <c r="J82" s="402">
        <v>0</v>
      </c>
      <c r="K82" s="402">
        <v>0</v>
      </c>
      <c r="L82" s="402">
        <v>0</v>
      </c>
      <c r="M82" s="402">
        <v>0</v>
      </c>
      <c r="N82" s="402">
        <v>0</v>
      </c>
      <c r="O82" s="402">
        <v>5.6099000000000003E-2</v>
      </c>
      <c r="P82" s="402">
        <v>0</v>
      </c>
      <c r="Q82" s="402">
        <v>0</v>
      </c>
      <c r="R82" s="402">
        <v>0</v>
      </c>
      <c r="S82" s="402">
        <v>0</v>
      </c>
      <c r="T82" s="402">
        <v>0</v>
      </c>
      <c r="U82" s="402">
        <v>0</v>
      </c>
      <c r="V82" s="402">
        <v>0</v>
      </c>
      <c r="W82" s="402">
        <v>0.94390099999999999</v>
      </c>
      <c r="X82" s="402">
        <v>0</v>
      </c>
    </row>
    <row r="83" spans="2:28" ht="15.75" x14ac:dyDescent="0.25">
      <c r="B83" s="399" t="s">
        <v>401</v>
      </c>
      <c r="C83" s="402">
        <v>0</v>
      </c>
      <c r="D83" s="402">
        <v>0</v>
      </c>
      <c r="E83" s="402">
        <v>0</v>
      </c>
      <c r="F83" s="402">
        <v>0</v>
      </c>
      <c r="G83" s="402">
        <v>0</v>
      </c>
      <c r="H83" s="402">
        <v>0</v>
      </c>
      <c r="I83" s="402">
        <v>0</v>
      </c>
      <c r="J83" s="402">
        <v>0</v>
      </c>
      <c r="K83" s="402">
        <v>0</v>
      </c>
      <c r="L83" s="402">
        <v>0</v>
      </c>
      <c r="M83" s="402">
        <v>0</v>
      </c>
      <c r="N83" s="402">
        <v>0.10527400000000001</v>
      </c>
      <c r="O83" s="402">
        <v>0</v>
      </c>
      <c r="P83" s="402">
        <v>1.0964E-2</v>
      </c>
      <c r="Q83" s="402">
        <v>0</v>
      </c>
      <c r="R83" s="402">
        <v>0</v>
      </c>
      <c r="S83" s="402">
        <v>0</v>
      </c>
      <c r="T83" s="402">
        <v>0</v>
      </c>
      <c r="U83" s="402">
        <v>0</v>
      </c>
      <c r="V83" s="402">
        <v>0</v>
      </c>
      <c r="W83" s="402">
        <v>0</v>
      </c>
      <c r="X83" s="402">
        <v>0.88376200000000005</v>
      </c>
    </row>
    <row r="84" spans="2:28" x14ac:dyDescent="0.2">
      <c r="B84" s="192"/>
      <c r="C84" s="192"/>
      <c r="D84" s="192"/>
      <c r="E84" s="192"/>
      <c r="F84" s="192"/>
      <c r="G84" s="192"/>
      <c r="H84" s="192"/>
      <c r="I84" s="192"/>
      <c r="J84" s="192"/>
      <c r="K84" s="192"/>
      <c r="L84" s="192"/>
      <c r="M84" s="192"/>
      <c r="N84" s="192"/>
      <c r="O84" s="400"/>
      <c r="P84" s="400"/>
      <c r="Q84" s="192"/>
      <c r="R84" s="192"/>
      <c r="S84" s="192"/>
      <c r="T84" s="192"/>
      <c r="U84" s="192"/>
      <c r="V84" s="192"/>
      <c r="W84" s="192"/>
      <c r="X84" s="192"/>
      <c r="Y84" s="192"/>
      <c r="Z84" s="192"/>
      <c r="AA84" s="192"/>
      <c r="AB84" s="192"/>
    </row>
    <row r="85" spans="2:28" ht="15" x14ac:dyDescent="0.2">
      <c r="B85" s="192"/>
      <c r="C85" s="401"/>
      <c r="D85" s="401"/>
      <c r="E85" s="401"/>
      <c r="F85" s="401"/>
      <c r="G85" s="401"/>
      <c r="H85" s="401"/>
      <c r="I85" s="401"/>
      <c r="J85" s="401"/>
      <c r="K85" s="401"/>
      <c r="L85" s="401"/>
      <c r="M85" s="401"/>
      <c r="N85" s="401"/>
      <c r="O85" s="401"/>
      <c r="P85" s="401"/>
      <c r="Q85" s="401"/>
      <c r="R85" s="401"/>
      <c r="S85" s="401"/>
      <c r="T85" s="401"/>
      <c r="U85" s="401"/>
      <c r="V85" s="401"/>
      <c r="W85" s="401"/>
      <c r="X85" s="510"/>
      <c r="Y85" s="510"/>
      <c r="Z85" s="510"/>
      <c r="AA85" s="510"/>
      <c r="AB85" s="192"/>
    </row>
    <row r="86" spans="2:28" x14ac:dyDescent="0.2">
      <c r="B86" s="192"/>
      <c r="C86" s="192"/>
      <c r="D86" s="192"/>
      <c r="E86" s="192"/>
      <c r="F86" s="192"/>
      <c r="G86" s="192"/>
      <c r="H86" s="192"/>
      <c r="I86" s="192"/>
      <c r="J86" s="192"/>
      <c r="K86" s="192"/>
      <c r="L86" s="192"/>
      <c r="M86" s="192"/>
      <c r="N86" s="192"/>
      <c r="O86" s="400"/>
      <c r="P86" s="400"/>
      <c r="Q86" s="192"/>
      <c r="R86" s="192"/>
      <c r="S86" s="192"/>
      <c r="T86" s="192"/>
      <c r="U86" s="192"/>
      <c r="V86" s="192"/>
      <c r="W86" s="192"/>
      <c r="X86" s="192"/>
      <c r="Y86" s="192"/>
      <c r="Z86" s="192"/>
      <c r="AA86" s="192"/>
      <c r="AB86" s="192"/>
    </row>
    <row r="87" spans="2:28" x14ac:dyDescent="0.2">
      <c r="B87" s="192"/>
      <c r="C87" s="192"/>
      <c r="D87" s="192"/>
      <c r="E87" s="192"/>
      <c r="F87" s="192"/>
      <c r="G87" s="192"/>
      <c r="H87" s="192"/>
      <c r="I87" s="192"/>
      <c r="J87" s="192"/>
      <c r="K87" s="192"/>
      <c r="L87" s="192"/>
      <c r="M87" s="192"/>
      <c r="N87" s="192"/>
      <c r="O87" s="400"/>
      <c r="P87" s="400"/>
      <c r="Q87" s="192"/>
      <c r="R87" s="192"/>
      <c r="S87" s="192"/>
      <c r="T87" s="192"/>
      <c r="U87" s="192"/>
      <c r="V87" s="192"/>
      <c r="W87" s="192"/>
      <c r="X87" s="192"/>
      <c r="Y87" s="192"/>
      <c r="Z87" s="192"/>
      <c r="AA87" s="192"/>
      <c r="AB87" s="192"/>
    </row>
    <row r="88" spans="2:28" x14ac:dyDescent="0.2">
      <c r="O88" s="87"/>
      <c r="P88" s="87"/>
    </row>
    <row r="89" spans="2:28" x14ac:dyDescent="0.2">
      <c r="O89" s="87"/>
      <c r="P89" s="87"/>
    </row>
    <row r="90" spans="2:28" x14ac:dyDescent="0.2">
      <c r="O90" s="87"/>
      <c r="P90" s="87"/>
    </row>
    <row r="91" spans="2:28" x14ac:dyDescent="0.2">
      <c r="O91" s="87"/>
      <c r="P91" s="87"/>
    </row>
    <row r="92" spans="2:28" x14ac:dyDescent="0.2">
      <c r="O92" s="87"/>
      <c r="P92" s="87"/>
    </row>
    <row r="93" spans="2:28" x14ac:dyDescent="0.2">
      <c r="O93" s="87"/>
      <c r="P93" s="87"/>
    </row>
    <row r="94" spans="2:28" x14ac:dyDescent="0.2">
      <c r="O94" s="87"/>
      <c r="P94" s="87"/>
    </row>
    <row r="95" spans="2:28" x14ac:dyDescent="0.2">
      <c r="O95" s="87"/>
      <c r="P95" s="87"/>
    </row>
    <row r="96" spans="2:28" x14ac:dyDescent="0.2">
      <c r="O96" s="87"/>
      <c r="P96" s="87"/>
    </row>
    <row r="97" spans="15:16" x14ac:dyDescent="0.2">
      <c r="O97" s="87"/>
      <c r="P97" s="87"/>
    </row>
    <row r="98" spans="15:16" x14ac:dyDescent="0.2">
      <c r="O98" s="87"/>
      <c r="P98" s="87"/>
    </row>
    <row r="99" spans="15:16" x14ac:dyDescent="0.2">
      <c r="O99" s="87"/>
      <c r="P99" s="87"/>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mergeCells count="1">
    <mergeCell ref="X85:AA85"/>
  </mergeCells>
  <phoneticPr fontId="0" type="noConversion"/>
  <pageMargins left="0.75" right="0.75" top="1" bottom="1" header="0.5" footer="0.5"/>
  <pageSetup orientation="portrait" horizontalDpi="4294967293" verticalDpi="300"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Q249"/>
  <sheetViews>
    <sheetView workbookViewId="0">
      <selection activeCell="C1" sqref="C1"/>
    </sheetView>
  </sheetViews>
  <sheetFormatPr defaultRowHeight="12.75" x14ac:dyDescent="0.2"/>
  <cols>
    <col min="1" max="1" width="177" style="242" customWidth="1"/>
    <col min="3" max="3" width="41.140625" customWidth="1"/>
    <col min="4" max="4" width="13.85546875" customWidth="1"/>
    <col min="5" max="5" width="17" customWidth="1"/>
    <col min="6" max="6" width="19.140625" customWidth="1"/>
    <col min="7" max="7" width="15.7109375" customWidth="1"/>
    <col min="8" max="8" width="16.28515625" customWidth="1"/>
    <col min="9" max="9" width="13.28515625" customWidth="1"/>
    <col min="10" max="10" width="13.85546875" customWidth="1"/>
    <col min="11" max="11" width="16.28515625" customWidth="1"/>
    <col min="12" max="12" width="13.85546875" customWidth="1"/>
    <col min="14" max="14" width="14" bestFit="1" customWidth="1"/>
    <col min="15" max="15" width="11.28515625" bestFit="1" customWidth="1"/>
    <col min="16" max="16" width="12.28515625" bestFit="1" customWidth="1"/>
    <col min="17" max="17" width="7.5703125" customWidth="1"/>
    <col min="18" max="18" width="11.7109375" bestFit="1"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30" width="20" customWidth="1"/>
    <col min="31" max="31" width="13.42578125" bestFit="1" customWidth="1"/>
    <col min="32" max="32" width="11.140625" customWidth="1"/>
    <col min="33" max="33" width="72.5703125" customWidth="1"/>
    <col min="34" max="34" width="11.140625" customWidth="1"/>
    <col min="35" max="35" width="11.140625" bestFit="1" customWidth="1"/>
    <col min="36" max="36" width="12.28515625" customWidth="1"/>
    <col min="38" max="38" width="30.28515625" customWidth="1"/>
  </cols>
  <sheetData>
    <row r="1" spans="1:35" x14ac:dyDescent="0.2">
      <c r="A1" s="238"/>
      <c r="C1" s="1" t="s">
        <v>120</v>
      </c>
      <c r="D1" s="1"/>
      <c r="E1" s="11" t="str">
        <f>ProjectData!B12</f>
        <v xml:space="preserve">CALIFORNIA </v>
      </c>
      <c r="F1" s="1" t="str">
        <f>Project_Data</f>
        <v>Photovoltaic Project Data</v>
      </c>
      <c r="G1" s="1"/>
      <c r="I1" s="11"/>
      <c r="J1" s="11"/>
      <c r="K1" s="11"/>
    </row>
    <row r="2" spans="1:35" x14ac:dyDescent="0.2">
      <c r="A2" s="238"/>
      <c r="C2" s="1"/>
      <c r="D2" s="1"/>
      <c r="E2" s="1"/>
      <c r="F2" s="1"/>
      <c r="G2" s="1"/>
      <c r="H2" s="11"/>
      <c r="I2" s="11"/>
      <c r="J2" s="11"/>
      <c r="K2" s="11"/>
    </row>
    <row r="3" spans="1:35" ht="15.75" x14ac:dyDescent="0.25">
      <c r="A3" s="238"/>
      <c r="C3" s="6"/>
      <c r="I3" s="11" t="s">
        <v>252</v>
      </c>
      <c r="AB3" s="74" t="s">
        <v>231</v>
      </c>
      <c r="AC3" s="11" t="str">
        <f>IF(ProjectData!B$12="MyCounty",'User Add-in Location'!B$3,IF(ProjectData!B$12="MyRegion",'User Add-in Location'!B4,ProjectData!B$12))</f>
        <v xml:space="preserve">CALIFORNIA </v>
      </c>
      <c r="AD3" s="109">
        <f>ProjectData!_xlnm.Print_Area</f>
        <v>2012</v>
      </c>
      <c r="AE3" s="109"/>
    </row>
    <row r="4" spans="1:35" ht="15" x14ac:dyDescent="0.2">
      <c r="A4" s="238"/>
      <c r="C4" s="17" t="s">
        <v>130</v>
      </c>
      <c r="F4" s="11" t="s">
        <v>252</v>
      </c>
      <c r="I4" s="11" t="s">
        <v>253</v>
      </c>
      <c r="W4" s="6"/>
      <c r="X4" s="8"/>
      <c r="Y4" s="8"/>
      <c r="Z4" s="8"/>
      <c r="AA4" s="8"/>
      <c r="AE4" s="219" t="s">
        <v>252</v>
      </c>
      <c r="AF4" s="8"/>
      <c r="AG4" s="8"/>
      <c r="AH4" s="8"/>
      <c r="AI4" s="8"/>
    </row>
    <row r="5" spans="1:35" ht="23.25" x14ac:dyDescent="0.35">
      <c r="A5" s="239" t="s">
        <v>269</v>
      </c>
      <c r="C5" s="198" t="str">
        <f>DefaultData!B14</f>
        <v>Installation Costs</v>
      </c>
      <c r="D5" s="11" t="s">
        <v>111</v>
      </c>
      <c r="E5" s="30" t="s">
        <v>5</v>
      </c>
      <c r="F5" s="11" t="s">
        <v>253</v>
      </c>
      <c r="G5" s="17" t="s">
        <v>131</v>
      </c>
      <c r="H5" s="1" t="s">
        <v>276</v>
      </c>
      <c r="I5" s="11" t="s">
        <v>259</v>
      </c>
      <c r="J5" s="11" t="s">
        <v>260</v>
      </c>
      <c r="W5" s="6"/>
      <c r="X5" s="8"/>
      <c r="Y5" s="8"/>
      <c r="Z5" s="8"/>
      <c r="AA5" s="8"/>
      <c r="AB5" s="17" t="s">
        <v>176</v>
      </c>
      <c r="AC5" s="11" t="s">
        <v>111</v>
      </c>
      <c r="AD5" s="11" t="s">
        <v>5</v>
      </c>
      <c r="AE5" s="11" t="s">
        <v>253</v>
      </c>
      <c r="AF5" s="8"/>
      <c r="AG5" s="8"/>
      <c r="AH5" s="8"/>
      <c r="AI5" s="8"/>
    </row>
    <row r="6" spans="1:35" ht="15" x14ac:dyDescent="0.2">
      <c r="A6" s="238"/>
      <c r="C6" s="198" t="str">
        <f>DefaultData!B15</f>
        <v xml:space="preserve">  Materials &amp; Equipment</v>
      </c>
      <c r="D6" s="9"/>
      <c r="E6" s="7"/>
      <c r="I6" s="10" t="s">
        <v>240</v>
      </c>
      <c r="J6" s="10" t="s">
        <v>255</v>
      </c>
      <c r="W6" s="6"/>
      <c r="X6" s="8"/>
      <c r="Y6" s="8"/>
      <c r="Z6" s="8"/>
      <c r="AA6" s="8"/>
      <c r="AB6" s="198" t="str">
        <f>C6</f>
        <v xml:space="preserve">  Materials &amp; Equipment</v>
      </c>
      <c r="AC6" s="12"/>
      <c r="AD6" s="12"/>
      <c r="AE6" s="12"/>
      <c r="AF6" s="8"/>
      <c r="AG6" s="8"/>
      <c r="AH6" s="8"/>
      <c r="AI6" s="8"/>
    </row>
    <row r="7" spans="1:35" ht="15.75" x14ac:dyDescent="0.25">
      <c r="A7" s="240" t="s">
        <v>270</v>
      </c>
      <c r="C7" s="2" t="str">
        <f>DefaultData!B16</f>
        <v xml:space="preserve">    Mounting (rails, clamps, fittings, etc.)</v>
      </c>
      <c r="D7" s="8">
        <f>IF(ProjectData!$B$26="y",DefaultData!C16,ProjectData!B33)</f>
        <v>114990.62085673495</v>
      </c>
      <c r="E7" s="7">
        <f>IF(ProjectData!$B$26="y",ProjectData!T33,ProjectData!E33)</f>
        <v>1</v>
      </c>
      <c r="F7" s="15" t="str">
        <f>IF(ProjectData!$B$26="y",DefaultData!AG17,ProjectData!F33)</f>
        <v>N</v>
      </c>
      <c r="G7" s="8">
        <f>IF(F7="y",J7,I7)</f>
        <v>22998.124171346986</v>
      </c>
      <c r="H7" s="88">
        <f>IF(ProjectData!B$15="Utility",0,0.8)</f>
        <v>0.8</v>
      </c>
      <c r="I7" s="8">
        <f>IF(ProjectData!B$15="Utility",0,IF(F7="N",D7*E7*(1-H7),))</f>
        <v>22998.124171346986</v>
      </c>
      <c r="J7" s="8">
        <f>IF(F7="Y",D7*E7,)</f>
        <v>0</v>
      </c>
      <c r="W7" s="6"/>
      <c r="X7" s="8"/>
      <c r="Y7" s="8"/>
      <c r="Z7" s="8"/>
      <c r="AA7" s="8"/>
      <c r="AB7" s="2" t="str">
        <f t="shared" ref="AB7:AB20" si="0">C7</f>
        <v xml:space="preserve">    Mounting (rails, clamps, fittings, etc.)</v>
      </c>
      <c r="AC7" s="8">
        <f t="shared" ref="AC7:AE10" si="1">D7</f>
        <v>114990.62085673495</v>
      </c>
      <c r="AD7" s="92">
        <f t="shared" si="1"/>
        <v>1</v>
      </c>
      <c r="AE7" s="92" t="str">
        <f t="shared" si="1"/>
        <v>N</v>
      </c>
      <c r="AF7" s="8"/>
      <c r="AG7" s="8"/>
      <c r="AH7" s="8"/>
      <c r="AI7" s="8"/>
    </row>
    <row r="8" spans="1:35" ht="15" x14ac:dyDescent="0.2">
      <c r="A8" s="241"/>
      <c r="C8" s="2" t="str">
        <f>DefaultData!B17</f>
        <v xml:space="preserve">    Modules</v>
      </c>
      <c r="D8" s="8">
        <f>IF(ProjectData!$B$26="y",DefaultData!C17,ProjectData!B34)</f>
        <v>1074912.3253999136</v>
      </c>
      <c r="E8" s="7">
        <f>IF(ProjectData!$B$26="y",ProjectData!T34,ProjectData!E34)</f>
        <v>1</v>
      </c>
      <c r="F8" s="15" t="str">
        <f>IF(ProjectData!$B$26="y",DefaultData!AG18,ProjectData!F34)</f>
        <v>N</v>
      </c>
      <c r="G8" s="8">
        <f>IF(F8="y",J8,I8)</f>
        <v>214982.46507998268</v>
      </c>
      <c r="H8" s="88">
        <f>IF(ProjectData!B$15="Utility",0,0.8)</f>
        <v>0.8</v>
      </c>
      <c r="I8" s="8">
        <f>IF(ProjectData!B$15="Utility",0,IF(F8="N",D8*E8*(1-H8),))</f>
        <v>214982.46507998268</v>
      </c>
      <c r="J8" s="8">
        <f>IF(F8="Y",D8*E8,)</f>
        <v>0</v>
      </c>
      <c r="W8" s="6"/>
      <c r="X8" s="8"/>
      <c r="Y8" s="8"/>
      <c r="Z8" s="8"/>
      <c r="AA8" s="8"/>
      <c r="AB8" s="2" t="str">
        <f t="shared" si="0"/>
        <v xml:space="preserve">    Modules</v>
      </c>
      <c r="AC8" s="8">
        <f t="shared" si="1"/>
        <v>1074912.3253999136</v>
      </c>
      <c r="AD8" s="92">
        <f t="shared" si="1"/>
        <v>1</v>
      </c>
      <c r="AE8" s="92" t="str">
        <f t="shared" si="1"/>
        <v>N</v>
      </c>
      <c r="AF8" s="8"/>
      <c r="AG8" s="8"/>
      <c r="AH8" s="8"/>
      <c r="AI8" s="8"/>
    </row>
    <row r="9" spans="1:35" ht="15.75" x14ac:dyDescent="0.25">
      <c r="A9" s="240" t="s">
        <v>271</v>
      </c>
      <c r="C9" s="2" t="str">
        <f>DefaultData!B18</f>
        <v xml:space="preserve">    Electrical (wire, connectors, breakers, etc.)</v>
      </c>
      <c r="D9" s="8">
        <f>IF(ProjectData!$B$26="y",DefaultData!C18,ProjectData!B35)</f>
        <v>114990.62085673495</v>
      </c>
      <c r="E9" s="7">
        <f>IF(ProjectData!$B$26="y",ProjectData!T35,ProjectData!E35)</f>
        <v>1</v>
      </c>
      <c r="F9" s="15" t="str">
        <f>IF(ProjectData!$B$26="y",DefaultData!AG19,ProjectData!F35)</f>
        <v>N</v>
      </c>
      <c r="G9" s="8">
        <f>IF(F9="y",J9,I9)</f>
        <v>22998.124171346986</v>
      </c>
      <c r="H9" s="88">
        <f>IF(ProjectData!B$15="Utility",0,0.8)</f>
        <v>0.8</v>
      </c>
      <c r="I9" s="8">
        <f>IF(ProjectData!B$15="Utility",0,IF(F9="N",D9*E9*(1-H9),))</f>
        <v>22998.124171346986</v>
      </c>
      <c r="J9" s="8">
        <f>IF(F9="Y",D9*E9,)</f>
        <v>0</v>
      </c>
      <c r="W9" s="6"/>
      <c r="X9" s="8"/>
      <c r="Y9" s="8"/>
      <c r="Z9" s="8"/>
      <c r="AA9" s="8"/>
      <c r="AB9" s="2" t="str">
        <f t="shared" si="0"/>
        <v xml:space="preserve">    Electrical (wire, connectors, breakers, etc.)</v>
      </c>
      <c r="AC9" s="8">
        <f t="shared" si="1"/>
        <v>114990.62085673495</v>
      </c>
      <c r="AD9" s="92">
        <f t="shared" si="1"/>
        <v>1</v>
      </c>
      <c r="AE9" s="92" t="str">
        <f t="shared" si="1"/>
        <v>N</v>
      </c>
      <c r="AF9" s="8"/>
      <c r="AG9" s="8"/>
      <c r="AH9" s="8"/>
      <c r="AI9" s="8"/>
    </row>
    <row r="10" spans="1:35" ht="15" x14ac:dyDescent="0.2">
      <c r="A10" s="238"/>
      <c r="C10" s="2" t="str">
        <f>DefaultData!B19</f>
        <v xml:space="preserve">    Inverter</v>
      </c>
      <c r="D10" s="8">
        <f>IF(ProjectData!$B$26="y",DefaultData!C19,ProjectData!B36)</f>
        <v>209982.87286882036</v>
      </c>
      <c r="E10" s="7">
        <f>IF(ProjectData!$B$26="y",ProjectData!T36,ProjectData!E36)</f>
        <v>1</v>
      </c>
      <c r="F10" s="15" t="str">
        <f>IF(ProjectData!$B$26="y",DefaultData!AG20,ProjectData!F36)</f>
        <v>N</v>
      </c>
      <c r="G10" s="8">
        <f>IF(F10="y",J10,I10)</f>
        <v>41996.574573764061</v>
      </c>
      <c r="H10" s="88">
        <f>IF(ProjectData!B$15="Utility",0,0.8)</f>
        <v>0.8</v>
      </c>
      <c r="I10" s="8">
        <f>IF(ProjectData!B$15="Utility",0,IF(F10="N",D10*E10*(1-H10),))</f>
        <v>41996.574573764061</v>
      </c>
      <c r="J10" s="8">
        <f>IF(F10="Y",D10*E10,)</f>
        <v>0</v>
      </c>
      <c r="W10" s="6"/>
      <c r="X10" s="8"/>
      <c r="Y10" s="8"/>
      <c r="Z10" s="8"/>
      <c r="AA10" s="8"/>
      <c r="AB10" s="2" t="str">
        <f t="shared" si="0"/>
        <v xml:space="preserve">    Inverter</v>
      </c>
      <c r="AC10" s="8">
        <f t="shared" si="1"/>
        <v>209982.87286882036</v>
      </c>
      <c r="AD10" s="92">
        <f t="shared" si="1"/>
        <v>1</v>
      </c>
      <c r="AE10" s="92" t="str">
        <f t="shared" si="1"/>
        <v>N</v>
      </c>
      <c r="AF10" s="8"/>
      <c r="AG10" s="8"/>
      <c r="AH10" s="8"/>
      <c r="AI10" s="8"/>
    </row>
    <row r="11" spans="1:35" ht="15.75" x14ac:dyDescent="0.25">
      <c r="A11" s="240" t="s">
        <v>272</v>
      </c>
      <c r="C11" s="2" t="str">
        <f>DefaultData!B20</f>
        <v xml:space="preserve">    Subtotal</v>
      </c>
      <c r="D11" s="8">
        <f>SUM(D7:D10)</f>
        <v>1514876.4399822038</v>
      </c>
      <c r="E11" s="7"/>
      <c r="G11" s="8">
        <f>SUM(G7:G10)</f>
        <v>302975.28799644072</v>
      </c>
      <c r="I11" s="8">
        <f>SUM(I7:I10)</f>
        <v>302975.28799644072</v>
      </c>
      <c r="J11" s="8">
        <f>SUM(J7:J10)</f>
        <v>0</v>
      </c>
      <c r="W11" s="6"/>
      <c r="X11" s="8"/>
      <c r="Y11" s="8"/>
      <c r="Z11" s="8"/>
      <c r="AA11" s="8"/>
      <c r="AB11" s="2" t="str">
        <f t="shared" si="0"/>
        <v xml:space="preserve">    Subtotal</v>
      </c>
      <c r="AC11" s="8">
        <f>D11</f>
        <v>1514876.4399822038</v>
      </c>
      <c r="AD11" s="92"/>
      <c r="AE11" s="92"/>
      <c r="AF11" s="9"/>
      <c r="AG11" s="9"/>
      <c r="AH11" s="9"/>
      <c r="AI11" s="9"/>
    </row>
    <row r="12" spans="1:35" x14ac:dyDescent="0.2">
      <c r="A12" s="238"/>
      <c r="C12" s="198" t="str">
        <f>DefaultData!B21</f>
        <v xml:space="preserve">  Labor</v>
      </c>
      <c r="D12" s="8"/>
      <c r="E12" s="7"/>
      <c r="G12" s="8"/>
      <c r="AB12" s="198" t="str">
        <f t="shared" si="0"/>
        <v xml:space="preserve">  Labor</v>
      </c>
      <c r="AC12" s="8"/>
      <c r="AD12" s="92"/>
      <c r="AE12" s="92"/>
    </row>
    <row r="13" spans="1:35" x14ac:dyDescent="0.2">
      <c r="A13" s="238"/>
      <c r="C13" s="2" t="str">
        <f>DefaultData!B22</f>
        <v xml:space="preserve">    Installation</v>
      </c>
      <c r="D13" s="8">
        <f>IF(ProjectData!$B$26="y",DefaultData!C22,ProjectData!B39)</f>
        <v>275112.75532553397</v>
      </c>
      <c r="E13" s="7">
        <f>IF(ProjectData!$B$26="y",ProjectData!T39,ProjectData!E39)</f>
        <v>1</v>
      </c>
      <c r="G13" s="8">
        <f>+E13*D13</f>
        <v>275112.75532553397</v>
      </c>
      <c r="AB13" s="2" t="str">
        <f t="shared" si="0"/>
        <v xml:space="preserve">    Installation</v>
      </c>
      <c r="AC13" s="8">
        <f t="shared" ref="AC13:AD15" si="2">D13</f>
        <v>275112.75532553397</v>
      </c>
      <c r="AD13" s="92">
        <f t="shared" si="2"/>
        <v>1</v>
      </c>
      <c r="AE13" s="92"/>
    </row>
    <row r="14" spans="1:35" x14ac:dyDescent="0.2">
      <c r="A14" s="238"/>
      <c r="C14" s="2" t="str">
        <f>DefaultData!B23</f>
        <v xml:space="preserve">    Subtotal</v>
      </c>
      <c r="D14" s="8">
        <f>IF(ProjectData!$B$26="y",DefaultData!C23,ProjectData!B40)</f>
        <v>275112.75532553397</v>
      </c>
      <c r="E14" s="7"/>
      <c r="G14" s="8">
        <f>G13</f>
        <v>275112.75532553397</v>
      </c>
      <c r="AB14" s="2" t="str">
        <f t="shared" si="0"/>
        <v xml:space="preserve">    Subtotal</v>
      </c>
      <c r="AC14" s="8">
        <f t="shared" si="2"/>
        <v>275112.75532553397</v>
      </c>
      <c r="AD14" s="92">
        <f t="shared" si="2"/>
        <v>0</v>
      </c>
      <c r="AE14" s="92"/>
    </row>
    <row r="15" spans="1:35" x14ac:dyDescent="0.2">
      <c r="A15" s="238"/>
      <c r="C15" s="2" t="str">
        <f>DefaultData!B24</f>
        <v xml:space="preserve">  Total</v>
      </c>
      <c r="D15" s="8">
        <f>IF(ProjectData!$B$26="y",DefaultData!C24,ProjectData!B41)</f>
        <v>1789989.1953077377</v>
      </c>
      <c r="E15" s="7"/>
      <c r="G15" s="8">
        <f>G14+G11</f>
        <v>578088.04332197469</v>
      </c>
      <c r="AB15" s="2" t="str">
        <f t="shared" si="0"/>
        <v xml:space="preserve">  Total</v>
      </c>
      <c r="AC15" s="8">
        <f t="shared" si="2"/>
        <v>1789989.1953077377</v>
      </c>
      <c r="AD15" s="92">
        <f t="shared" si="2"/>
        <v>0</v>
      </c>
      <c r="AE15" s="92"/>
    </row>
    <row r="16" spans="1:35" x14ac:dyDescent="0.2">
      <c r="A16" s="238"/>
      <c r="C16" s="198" t="str">
        <f>DefaultData!B25</f>
        <v>Other Costs</v>
      </c>
      <c r="D16" s="8"/>
      <c r="E16" s="7"/>
      <c r="G16" s="8"/>
      <c r="AB16" s="198" t="str">
        <f t="shared" si="0"/>
        <v>Other Costs</v>
      </c>
      <c r="AC16" s="8"/>
      <c r="AD16" s="92"/>
      <c r="AE16" s="92"/>
    </row>
    <row r="17" spans="1:31" ht="15.75" x14ac:dyDescent="0.25">
      <c r="A17" s="240"/>
      <c r="C17" s="2" t="str">
        <f>DefaultData!B26</f>
        <v xml:space="preserve">  Permitting</v>
      </c>
      <c r="D17" s="8">
        <f>IF(ProjectData!$B$26="y",DefaultData!C26,ProjectData!B43)</f>
        <v>91863.275178912125</v>
      </c>
      <c r="E17" s="7">
        <f>IF(ProjectData!$B$26="y",ProjectData!T43,ProjectData!E43)</f>
        <v>1</v>
      </c>
      <c r="G17" s="8">
        <f>+E17*D17</f>
        <v>91863.275178912125</v>
      </c>
      <c r="AB17" s="2" t="str">
        <f t="shared" si="0"/>
        <v xml:space="preserve">  Permitting</v>
      </c>
      <c r="AC17" s="8">
        <f t="shared" ref="AC17:AD19" si="3">D17</f>
        <v>91863.275178912125</v>
      </c>
      <c r="AD17" s="92">
        <f t="shared" si="3"/>
        <v>1</v>
      </c>
      <c r="AE17" s="92"/>
    </row>
    <row r="18" spans="1:31" ht="15.75" x14ac:dyDescent="0.25">
      <c r="A18" s="240" t="s">
        <v>273</v>
      </c>
      <c r="C18" s="2" t="str">
        <f>DefaultData!B27</f>
        <v xml:space="preserve">  Other Costs</v>
      </c>
      <c r="D18" s="8">
        <f>IF(ProjectData!$B$26="y",DefaultData!C27,ProjectData!B44)</f>
        <v>183726.55035782425</v>
      </c>
      <c r="E18" s="7">
        <f>IF(ProjectData!$B$26="y",ProjectData!T44,ProjectData!E44)</f>
        <v>1</v>
      </c>
      <c r="F18" s="15"/>
      <c r="G18" s="8">
        <f>+E18*D18</f>
        <v>183726.55035782425</v>
      </c>
      <c r="H18" s="88"/>
      <c r="I18" s="8"/>
      <c r="J18" s="8"/>
      <c r="AB18" s="2" t="str">
        <f>C18</f>
        <v xml:space="preserve">  Other Costs</v>
      </c>
      <c r="AC18" s="8">
        <f t="shared" si="3"/>
        <v>183726.55035782425</v>
      </c>
      <c r="AD18" s="92">
        <f t="shared" si="3"/>
        <v>1</v>
      </c>
      <c r="AE18" s="92"/>
    </row>
    <row r="19" spans="1:31" x14ac:dyDescent="0.2">
      <c r="A19" s="238"/>
      <c r="C19" s="2" t="str">
        <f>DefaultData!B28</f>
        <v xml:space="preserve">  Business Overhead</v>
      </c>
      <c r="D19" s="8">
        <f>IF(ProjectData!$B$26="y",DefaultData!C28,ProjectData!B45)</f>
        <v>1215121.4724290601</v>
      </c>
      <c r="E19" s="7">
        <f>IF(ProjectData!$B$26="y",ProjectData!T45,ProjectData!E45)</f>
        <v>1</v>
      </c>
      <c r="F19" s="15"/>
      <c r="G19" s="8">
        <f>+E19*D19</f>
        <v>1215121.4724290601</v>
      </c>
      <c r="H19" s="88"/>
      <c r="I19" s="8"/>
      <c r="J19" s="8"/>
      <c r="AB19" s="2" t="str">
        <f>C19</f>
        <v xml:space="preserve">  Business Overhead</v>
      </c>
      <c r="AC19" s="8">
        <f t="shared" si="3"/>
        <v>1215121.4724290601</v>
      </c>
      <c r="AD19" s="92">
        <f t="shared" si="3"/>
        <v>1</v>
      </c>
      <c r="AE19" s="92"/>
    </row>
    <row r="20" spans="1:31" x14ac:dyDescent="0.2">
      <c r="A20" s="238"/>
      <c r="C20" s="2" t="str">
        <f>DefaultData!B29</f>
        <v xml:space="preserve">  Subtotal</v>
      </c>
      <c r="D20" s="8">
        <f>IF(ProjectData!$B$26="y",DefaultData!C29,ProjectData!B46)</f>
        <v>1490711.2979657967</v>
      </c>
      <c r="E20" s="7"/>
      <c r="G20" s="8">
        <f>SUM(G17:G19)</f>
        <v>1490711.2979657967</v>
      </c>
      <c r="AB20" s="2" t="str">
        <f t="shared" si="0"/>
        <v xml:space="preserve">  Subtotal</v>
      </c>
      <c r="AC20" s="8">
        <f>D20</f>
        <v>1490711.2979657967</v>
      </c>
      <c r="AD20" s="92"/>
      <c r="AE20" s="92"/>
    </row>
    <row r="21" spans="1:31" ht="15" x14ac:dyDescent="0.25">
      <c r="A21" s="238"/>
      <c r="C21" s="198" t="s">
        <v>290</v>
      </c>
      <c r="D21" s="8">
        <f>IF(ProjectData!$B$26="y",DefaultData!C30,ProjectData!B47)</f>
        <v>3280700.4932735343</v>
      </c>
      <c r="E21" s="7"/>
      <c r="G21" s="8">
        <f>G20+G15+G11</f>
        <v>2371774.6292842119</v>
      </c>
      <c r="J21" s="288" t="s">
        <v>299</v>
      </c>
      <c r="K21" s="242"/>
      <c r="L21" t="s">
        <v>300</v>
      </c>
      <c r="AB21" s="4" t="str">
        <f>C21</f>
        <v>Subtotal</v>
      </c>
      <c r="AC21" s="8">
        <f>AC20+AC15</f>
        <v>3280700.4932735343</v>
      </c>
      <c r="AD21" s="8"/>
      <c r="AE21" s="15"/>
    </row>
    <row r="22" spans="1:31" ht="15" x14ac:dyDescent="0.25">
      <c r="A22" s="238"/>
      <c r="C22" s="283" t="s">
        <v>291</v>
      </c>
      <c r="D22" s="8">
        <f>IF(ProjectData!$B$26="y",DefaultData!$C31,ProjectData!B48)</f>
        <v>124977.30629853181</v>
      </c>
      <c r="E22" s="7">
        <f>IF(ProjectData!$B$26="y",DefaultData!E58,ProjectData!D77)</f>
        <v>1</v>
      </c>
      <c r="G22" s="8">
        <f>+E22*D22</f>
        <v>124977.30629853181</v>
      </c>
      <c r="H22" s="8"/>
      <c r="J22" s="242" t="s">
        <v>303</v>
      </c>
      <c r="K22" s="302">
        <v>7.1186945514116112E-2</v>
      </c>
      <c r="L22" s="319">
        <f>(K22/K$24)*ProjectData!D81</f>
        <v>7.1186945514116112E-2</v>
      </c>
      <c r="N22" s="242"/>
      <c r="O22" s="242"/>
      <c r="P22" s="87"/>
      <c r="Q22" s="87"/>
      <c r="AB22" s="4" t="str">
        <f t="shared" ref="AB22:AD23" si="4">C22</f>
        <v>Sales Tax (Materials &amp; Equipment Purchases)</v>
      </c>
      <c r="AC22" s="8">
        <f t="shared" si="4"/>
        <v>124977.30629853181</v>
      </c>
      <c r="AD22" s="92">
        <f t="shared" si="4"/>
        <v>1</v>
      </c>
      <c r="AE22" s="15"/>
    </row>
    <row r="23" spans="1:31" ht="14.25" customHeight="1" x14ac:dyDescent="0.25">
      <c r="A23" s="238"/>
      <c r="C23" s="4" t="s">
        <v>4</v>
      </c>
      <c r="D23" s="8">
        <f>D22+D21</f>
        <v>3405677.7995720659</v>
      </c>
      <c r="E23" s="7"/>
      <c r="G23" s="8">
        <f>G22+G21</f>
        <v>2496751.9355827435</v>
      </c>
      <c r="J23" s="242" t="s">
        <v>304</v>
      </c>
      <c r="K23" s="302">
        <f>0.4557-K22</f>
        <v>0.38451305448588391</v>
      </c>
      <c r="L23" s="319">
        <f>(K23/K$24)*ProjectData!D81</f>
        <v>0.38451305448588391</v>
      </c>
      <c r="N23" s="321" t="s">
        <v>314</v>
      </c>
      <c r="O23" s="242"/>
      <c r="P23" s="87"/>
      <c r="Q23" s="87"/>
      <c r="AB23" s="4" t="str">
        <f t="shared" si="4"/>
        <v>Total</v>
      </c>
      <c r="AC23" s="8">
        <f>AC22+AC21</f>
        <v>3405677.7995720659</v>
      </c>
      <c r="AD23" s="8"/>
    </row>
    <row r="24" spans="1:31" ht="13.5" customHeight="1" x14ac:dyDescent="0.2">
      <c r="A24" s="238"/>
      <c r="C24" s="2"/>
      <c r="D24" s="8">
        <f>D21/(DefaultData!E5)</f>
        <v>6561.4009865470689</v>
      </c>
      <c r="E24" s="7"/>
      <c r="G24" s="8"/>
      <c r="J24" s="88" t="s">
        <v>4</v>
      </c>
      <c r="K24" s="319">
        <f>K23+K22</f>
        <v>0.45569999999999999</v>
      </c>
      <c r="L24" s="319">
        <f>L23+L22</f>
        <v>0.45569999999999999</v>
      </c>
      <c r="N24" s="320" t="s">
        <v>313</v>
      </c>
      <c r="O24" s="321"/>
      <c r="P24" s="242"/>
      <c r="Q24" s="242"/>
    </row>
    <row r="25" spans="1:31" ht="14.25" customHeight="1" x14ac:dyDescent="0.25">
      <c r="A25" s="238"/>
      <c r="C25" s="294" t="s">
        <v>296</v>
      </c>
      <c r="D25" s="242" t="s">
        <v>297</v>
      </c>
      <c r="E25" s="242" t="s">
        <v>298</v>
      </c>
      <c r="F25" s="288" t="s">
        <v>299</v>
      </c>
      <c r="G25" s="288" t="s">
        <v>299</v>
      </c>
      <c r="H25" s="242" t="s">
        <v>136</v>
      </c>
      <c r="I25" s="242" t="s">
        <v>300</v>
      </c>
      <c r="J25" s="242"/>
      <c r="K25" s="242"/>
      <c r="N25" s="242" t="s">
        <v>297</v>
      </c>
      <c r="O25" s="242" t="s">
        <v>298</v>
      </c>
      <c r="P25" s="288" t="s">
        <v>299</v>
      </c>
      <c r="Q25" s="288" t="s">
        <v>299</v>
      </c>
      <c r="R25" s="242"/>
      <c r="AB25" s="29" t="str">
        <f>C66</f>
        <v>PV System Annual Operating and Maintenance Costs</v>
      </c>
      <c r="AE25" s="11" t="str">
        <f>AE4</f>
        <v>Manufactured</v>
      </c>
    </row>
    <row r="26" spans="1:31" x14ac:dyDescent="0.2">
      <c r="A26" s="238"/>
      <c r="C26" s="295" t="s">
        <v>301</v>
      </c>
      <c r="D26" s="296"/>
      <c r="E26" s="297"/>
      <c r="F26" s="296"/>
      <c r="G26" s="298"/>
      <c r="H26" s="299"/>
      <c r="I26" s="299"/>
      <c r="J26" s="88"/>
      <c r="K26" s="242" t="s">
        <v>136</v>
      </c>
      <c r="L26" s="242"/>
      <c r="M26" s="242"/>
      <c r="N26" s="296"/>
      <c r="O26" s="296"/>
      <c r="P26" s="296"/>
      <c r="Q26" s="298"/>
      <c r="R26" s="242"/>
      <c r="AC26" s="11" t="s">
        <v>111</v>
      </c>
      <c r="AD26" s="11" t="s">
        <v>5</v>
      </c>
      <c r="AE26" s="11" t="str">
        <f>AE5</f>
        <v>Locally</v>
      </c>
    </row>
    <row r="27" spans="1:31" x14ac:dyDescent="0.2">
      <c r="A27" s="238"/>
      <c r="C27" s="300" t="s">
        <v>306</v>
      </c>
      <c r="D27" s="296">
        <f>(E27+F27)</f>
        <v>31.134883501293732</v>
      </c>
      <c r="E27" s="301">
        <f>IF(DefaultData!AI61=0,21.39,21.39*DefaultData!AI61)</f>
        <v>21.388255479352704</v>
      </c>
      <c r="F27" s="296">
        <f>+E27*G27</f>
        <v>9.746628021941028</v>
      </c>
      <c r="G27" s="298">
        <f>K$24</f>
        <v>0.45569999999999999</v>
      </c>
      <c r="H27" s="307">
        <f>(G13)/(D27*(52*40))</f>
        <v>4.248152967945571</v>
      </c>
      <c r="I27" s="307">
        <f>(ProjectData!B39*ProjectData!E39)/(N27*40*52)</f>
        <v>4.248152967945571</v>
      </c>
      <c r="J27" s="88"/>
      <c r="K27" s="306">
        <f>D27*52*40</f>
        <v>64760.55768269096</v>
      </c>
      <c r="L27" s="242">
        <f>IF(ProjectData!B$26="Y",Calculations!H27,Calculations!I27)</f>
        <v>4.248152967945571</v>
      </c>
      <c r="M27" s="242"/>
      <c r="N27" s="296">
        <f>(O27+P27)</f>
        <v>31.134883501293732</v>
      </c>
      <c r="O27" s="296">
        <f>ProjectData!B81</f>
        <v>21.388255479352704</v>
      </c>
      <c r="P27" s="296">
        <f>+O27*Q27</f>
        <v>9.746628021941028</v>
      </c>
      <c r="Q27" s="302">
        <f>ProjectData!D81</f>
        <v>0.45569999999999999</v>
      </c>
      <c r="R27" s="306">
        <f>N27*52*40</f>
        <v>64760.55768269096</v>
      </c>
      <c r="AB27" s="199" t="str">
        <f t="shared" ref="AB27:AB33" si="5">C67</f>
        <v>Labor</v>
      </c>
      <c r="AD27" s="10"/>
    </row>
    <row r="28" spans="1:31" x14ac:dyDescent="0.2">
      <c r="A28" s="238"/>
      <c r="C28" s="295" t="s">
        <v>302</v>
      </c>
      <c r="D28" s="296"/>
      <c r="E28" s="301"/>
      <c r="F28" s="296"/>
      <c r="G28" s="298"/>
      <c r="H28" s="299"/>
      <c r="I28" s="299"/>
      <c r="J28" s="88"/>
      <c r="K28" s="242"/>
      <c r="L28" s="242"/>
      <c r="M28" s="242"/>
      <c r="N28" s="296"/>
      <c r="O28" s="296"/>
      <c r="P28" s="296"/>
      <c r="Q28" s="302"/>
      <c r="R28" s="242"/>
      <c r="AB28" s="8" t="str">
        <f t="shared" si="5"/>
        <v xml:space="preserve">  Technicians</v>
      </c>
      <c r="AC28" s="8">
        <f>D68</f>
        <v>8965.3333333333321</v>
      </c>
      <c r="AD28" s="15">
        <f>E68</f>
        <v>1</v>
      </c>
    </row>
    <row r="29" spans="1:31" x14ac:dyDescent="0.2">
      <c r="A29" s="238"/>
      <c r="C29" s="308" t="s">
        <v>248</v>
      </c>
      <c r="D29" s="296">
        <f>(E29+F29)</f>
        <v>31.134883501293732</v>
      </c>
      <c r="E29" s="301">
        <f>E27</f>
        <v>21.388255479352704</v>
      </c>
      <c r="F29" s="296">
        <f>+E29*G29</f>
        <v>9.746628021941028</v>
      </c>
      <c r="G29" s="298">
        <f>K$24</f>
        <v>0.45569999999999999</v>
      </c>
      <c r="H29" s="307">
        <f>(G69)/(D29*(52*40))</f>
        <v>0.13843817369919845</v>
      </c>
      <c r="I29" s="307">
        <f>(ProjectData!B55*ProjectData!E54)/(N29*40*52)</f>
        <v>0.13843817369919845</v>
      </c>
      <c r="J29" s="88"/>
      <c r="K29" s="306">
        <f>D29*52*40</f>
        <v>64760.55768269096</v>
      </c>
      <c r="L29" s="242">
        <f>IF(ProjectData!B$26="Y",Calculations!H29,Calculations!I29)</f>
        <v>0.13843817369919845</v>
      </c>
      <c r="M29" s="242"/>
      <c r="N29" s="296">
        <f>(O29+P29)</f>
        <v>31.134883501293732</v>
      </c>
      <c r="O29" s="296">
        <f>ProjectData!B83</f>
        <v>21.388255479352704</v>
      </c>
      <c r="P29" s="296">
        <f>+O29*Q29</f>
        <v>9.746628021941028</v>
      </c>
      <c r="Q29" s="302">
        <f>ProjectData!D83</f>
        <v>0.45569999999999999</v>
      </c>
      <c r="R29" s="306">
        <f>N29*52*40</f>
        <v>64760.55768269096</v>
      </c>
      <c r="AB29" s="8" t="str">
        <f t="shared" si="5"/>
        <v xml:space="preserve">  Subtotal</v>
      </c>
      <c r="AC29" s="8">
        <f>D69</f>
        <v>8965.3333333333321</v>
      </c>
      <c r="AD29" s="15"/>
    </row>
    <row r="30" spans="1:31" x14ac:dyDescent="0.2">
      <c r="A30" s="238"/>
      <c r="C30" s="300"/>
      <c r="D30" s="296"/>
      <c r="E30" s="297"/>
      <c r="F30" s="296"/>
      <c r="G30" s="298"/>
      <c r="H30" s="299"/>
      <c r="I30" s="299"/>
      <c r="J30" s="88"/>
      <c r="K30" s="242"/>
      <c r="L30" s="242"/>
      <c r="M30" s="242"/>
      <c r="N30" s="296"/>
      <c r="O30" s="296"/>
      <c r="P30" s="296"/>
      <c r="Q30" s="298"/>
      <c r="R30" s="242"/>
      <c r="AB30" s="199" t="str">
        <f t="shared" si="5"/>
        <v>Materials and Services</v>
      </c>
      <c r="AC30" s="8"/>
      <c r="AD30" s="15"/>
    </row>
    <row r="31" spans="1:31" x14ac:dyDescent="0.2">
      <c r="A31" s="238"/>
      <c r="C31" s="295"/>
      <c r="D31" s="242"/>
      <c r="E31" s="299"/>
      <c r="F31" s="288"/>
      <c r="G31" s="299"/>
      <c r="H31" s="325" t="s">
        <v>320</v>
      </c>
      <c r="I31" s="416">
        <f>I55+I57+I56</f>
        <v>6.7317111822133002</v>
      </c>
      <c r="J31" s="416"/>
      <c r="K31" s="242"/>
      <c r="L31" s="325" t="s">
        <v>319</v>
      </c>
      <c r="M31" s="333">
        <f>(M55+M56+M57)*$G64</f>
        <v>0.31385487402903445</v>
      </c>
      <c r="N31" s="324"/>
      <c r="O31" s="325"/>
      <c r="P31" s="325" t="s">
        <v>319</v>
      </c>
      <c r="Q31" s="333">
        <f>(Q55+Q56+Q57)*$G64</f>
        <v>0.77291463153657181</v>
      </c>
      <c r="R31" s="334"/>
      <c r="AB31" s="8" t="str">
        <f t="shared" si="5"/>
        <v xml:space="preserve">  Materials &amp; Equipment</v>
      </c>
      <c r="AC31" s="8">
        <f>D71</f>
        <v>7434.666666666667</v>
      </c>
      <c r="AD31" s="15">
        <f>E71</f>
        <v>1</v>
      </c>
      <c r="AE31" s="92" t="str">
        <f>F71</f>
        <v>N</v>
      </c>
    </row>
    <row r="32" spans="1:31" x14ac:dyDescent="0.2">
      <c r="A32" s="238"/>
      <c r="C32" s="287"/>
      <c r="D32" s="296"/>
      <c r="E32" s="301"/>
      <c r="F32" s="296"/>
      <c r="G32" s="298"/>
      <c r="H32" s="325" t="s">
        <v>315</v>
      </c>
      <c r="I32" s="326">
        <f>I61-I34-I33-I31</f>
        <v>7.5056277600542129</v>
      </c>
      <c r="J32" s="326"/>
      <c r="K32" s="242"/>
      <c r="L32" s="325" t="s">
        <v>315</v>
      </c>
      <c r="M32" s="333">
        <f>((M61-M34)*G64)-M33-M31</f>
        <v>0.4098395048879333</v>
      </c>
      <c r="N32" s="325"/>
      <c r="O32" s="325"/>
      <c r="P32" s="325" t="s">
        <v>315</v>
      </c>
      <c r="Q32" s="333">
        <f>((Q61-Q34)*G64)-Q33-Q31</f>
        <v>1.1457492607241972</v>
      </c>
      <c r="R32" s="325"/>
      <c r="AB32" s="8" t="str">
        <f t="shared" si="5"/>
        <v xml:space="preserve">  Services</v>
      </c>
      <c r="AC32" s="8">
        <f>D72</f>
        <v>0</v>
      </c>
      <c r="AD32" s="15">
        <f>E72</f>
        <v>1</v>
      </c>
      <c r="AE32" s="92"/>
    </row>
    <row r="33" spans="1:41" x14ac:dyDescent="0.2">
      <c r="A33" s="238"/>
      <c r="C33" s="198"/>
      <c r="D33" s="8"/>
      <c r="E33" s="7"/>
      <c r="G33" s="8"/>
      <c r="H33" s="325" t="s">
        <v>316</v>
      </c>
      <c r="I33" s="326">
        <f>SUM(I44:I49)+I60</f>
        <v>0</v>
      </c>
      <c r="J33" s="326">
        <f>SUM(J44:J49)+J60</f>
        <v>0</v>
      </c>
      <c r="L33" s="325" t="s">
        <v>321</v>
      </c>
      <c r="M33" s="333">
        <f>(SUM(M44:M49)+M60)*$G64</f>
        <v>0</v>
      </c>
      <c r="N33" s="333">
        <f>(SUM(N44:N49)+N60)*$G64</f>
        <v>0</v>
      </c>
      <c r="O33" s="325"/>
      <c r="P33" s="325" t="s">
        <v>322</v>
      </c>
      <c r="Q33" s="333">
        <f>(SUM(Q44:Q49)+Q60)*$G64</f>
        <v>0</v>
      </c>
      <c r="R33" s="333">
        <f>(SUM(R44:R49)+R60)*$G64</f>
        <v>0</v>
      </c>
      <c r="AB33" s="8" t="str">
        <f t="shared" si="5"/>
        <v xml:space="preserve">  Subtotal</v>
      </c>
      <c r="AC33" s="8">
        <f>D73</f>
        <v>7434.666666666667</v>
      </c>
      <c r="AD33" s="15"/>
    </row>
    <row r="34" spans="1:41" ht="15" x14ac:dyDescent="0.2">
      <c r="A34" s="238"/>
      <c r="C34" s="2"/>
      <c r="D34" s="8"/>
      <c r="E34" s="7"/>
      <c r="G34" s="8"/>
      <c r="H34" t="s">
        <v>56</v>
      </c>
      <c r="I34" s="14">
        <f>I41+I42+I43</f>
        <v>4.248152967945571</v>
      </c>
      <c r="L34" t="s">
        <v>56</v>
      </c>
      <c r="M34" s="434">
        <f>M41+M42+M43</f>
        <v>0.26945078596015326</v>
      </c>
      <c r="P34" t="s">
        <v>56</v>
      </c>
      <c r="Q34" s="434">
        <f>Q41+Q42+Q43</f>
        <v>0.26945078596015326</v>
      </c>
      <c r="AB34" s="199" t="str">
        <f>C74</f>
        <v>Sales Tax (Materials &amp; Equipment Purchases)</v>
      </c>
      <c r="AC34" s="8">
        <f>D74</f>
        <v>613.36</v>
      </c>
      <c r="AD34" s="15">
        <f>E74</f>
        <v>1</v>
      </c>
      <c r="AG34" s="335" t="s">
        <v>148</v>
      </c>
      <c r="AH34" s="336"/>
      <c r="AI34" s="336"/>
      <c r="AJ34" s="336"/>
    </row>
    <row r="35" spans="1:41" x14ac:dyDescent="0.2">
      <c r="A35" s="238"/>
      <c r="C35" t="s">
        <v>118</v>
      </c>
      <c r="D35">
        <f>+ProjectData!B24</f>
        <v>2010</v>
      </c>
      <c r="F35" s="159" t="str">
        <f>CONCATENATE("Convert to ",Deflators!D4, " dollars")</f>
        <v>Convert to 2008 dollars</v>
      </c>
      <c r="G35" s="28">
        <f>Deflators!E7</f>
        <v>0.97941945890992577</v>
      </c>
      <c r="H35" s="14"/>
      <c r="I35" s="22"/>
      <c r="M35" s="22"/>
      <c r="AB35" s="199" t="str">
        <f>C75</f>
        <v>Average Annual Payment (Interest and Principal)</v>
      </c>
      <c r="AC35" s="8">
        <f>D75</f>
        <v>380561.25721973006</v>
      </c>
      <c r="AD35" s="15">
        <f>E75</f>
        <v>0</v>
      </c>
      <c r="AG35" s="336"/>
      <c r="AH35" s="337" t="s">
        <v>55</v>
      </c>
      <c r="AI35" s="337" t="s">
        <v>146</v>
      </c>
      <c r="AJ35" s="337" t="s">
        <v>147</v>
      </c>
    </row>
    <row r="36" spans="1:41" x14ac:dyDescent="0.2">
      <c r="A36" s="238"/>
      <c r="C36" s="17" t="s">
        <v>238</v>
      </c>
      <c r="F36" s="25"/>
      <c r="G36" s="26"/>
      <c r="M36" s="10">
        <f>Deflators!D4</f>
        <v>2008</v>
      </c>
      <c r="N36" t="s">
        <v>139</v>
      </c>
      <c r="AB36" s="199" t="str">
        <f>C76</f>
        <v>Property Taxes</v>
      </c>
      <c r="AC36" s="8">
        <f>D76</f>
        <v>0</v>
      </c>
      <c r="AD36" s="15">
        <f>E76</f>
        <v>1</v>
      </c>
      <c r="AG36" s="233" t="s">
        <v>371</v>
      </c>
      <c r="AH36" s="337"/>
      <c r="AI36" s="337"/>
      <c r="AJ36" s="337"/>
    </row>
    <row r="37" spans="1:41" x14ac:dyDescent="0.2">
      <c r="A37" s="238"/>
      <c r="D37" s="24" t="s">
        <v>116</v>
      </c>
      <c r="F37" t="s">
        <v>4</v>
      </c>
      <c r="G37" t="s">
        <v>117</v>
      </c>
      <c r="I37" s="11" t="s">
        <v>55</v>
      </c>
      <c r="J37" s="11" t="s">
        <v>55</v>
      </c>
      <c r="K37" s="11" t="s">
        <v>55</v>
      </c>
      <c r="L37" s="11" t="s">
        <v>55</v>
      </c>
      <c r="M37" s="11" t="s">
        <v>146</v>
      </c>
      <c r="N37" s="11"/>
      <c r="O37" s="11"/>
      <c r="P37" s="11"/>
      <c r="Q37" s="11" t="s">
        <v>147</v>
      </c>
      <c r="AB37" s="199" t="str">
        <f>C77</f>
        <v>Total</v>
      </c>
      <c r="AC37" s="8">
        <f>D77</f>
        <v>397574.61721973005</v>
      </c>
      <c r="AD37" s="15"/>
      <c r="AG37" s="243" t="s">
        <v>367</v>
      </c>
    </row>
    <row r="38" spans="1:41" x14ac:dyDescent="0.2">
      <c r="A38" s="238"/>
      <c r="G38" s="19"/>
      <c r="I38" s="11" t="s">
        <v>121</v>
      </c>
      <c r="J38" s="11" t="s">
        <v>122</v>
      </c>
      <c r="K38" s="11" t="s">
        <v>123</v>
      </c>
      <c r="L38" s="11" t="s">
        <v>4</v>
      </c>
      <c r="M38" s="11" t="s">
        <v>121</v>
      </c>
      <c r="N38" s="11" t="s">
        <v>122</v>
      </c>
      <c r="O38" s="11" t="s">
        <v>123</v>
      </c>
      <c r="P38" s="11" t="s">
        <v>4</v>
      </c>
      <c r="Q38" s="11" t="s">
        <v>121</v>
      </c>
      <c r="R38" s="11" t="s">
        <v>122</v>
      </c>
      <c r="S38" s="11" t="s">
        <v>123</v>
      </c>
      <c r="T38" s="11" t="s">
        <v>4</v>
      </c>
      <c r="AG38" s="392" t="s">
        <v>368</v>
      </c>
      <c r="AH38" s="342">
        <f>I34</f>
        <v>4.248152967945571</v>
      </c>
      <c r="AI38" s="340">
        <f>M34*G64*1000</f>
        <v>275.1127553255339</v>
      </c>
      <c r="AJ38" s="340">
        <f>Q34*G64*1000</f>
        <v>275.1127553255339</v>
      </c>
    </row>
    <row r="39" spans="1:41" ht="15.75" x14ac:dyDescent="0.25">
      <c r="A39" s="238"/>
      <c r="C39" s="403" t="s">
        <v>388</v>
      </c>
      <c r="D39" s="8">
        <f>$E$147*DefaultData!C62+$E$148*DefaultData!C63+$E$149*DefaultData!C64+$E$150*DefaultData!C65+$E$151*DefaultData!C66+$E$152*DefaultData!C67+$E$153*DefaultData!C68+$E$154*DefaultData!C69+$E$155*DefaultData!C70+$E$156*DefaultData!C71+$E$157*DefaultData!C72+$E$158*DefaultData!C73+$E$159*DefaultData!C74+$E$160*DefaultData!C75+$E$161*DefaultData!C76+$E$162*DefaultData!C77+$E$163*DefaultData!C78+$E$164*DefaultData!C79+$E$165*DefaultData!C80+$E$166*DefaultData!C81+$E$167*DefaultData!C82+$E$168*DefaultData!C83</f>
        <v>0</v>
      </c>
      <c r="F39" s="8">
        <f>D39</f>
        <v>0</v>
      </c>
      <c r="G39" s="18">
        <f t="shared" ref="G39:G60" si="6">F39*G$35/10^6</f>
        <v>0</v>
      </c>
      <c r="H39" s="8"/>
      <c r="I39" s="22">
        <f>+G39*Multipliers!D234</f>
        <v>0</v>
      </c>
      <c r="J39" s="21">
        <f>+$G39*Multipliers!E234</f>
        <v>0</v>
      </c>
      <c r="K39" s="21">
        <f>+$G39*Multipliers!F234</f>
        <v>0</v>
      </c>
      <c r="L39" s="12">
        <f t="shared" ref="L39:L44" si="7">+K39+J39+I39</f>
        <v>0</v>
      </c>
      <c r="M39" s="18">
        <f>+$G39*Multipliers!H234</f>
        <v>0</v>
      </c>
      <c r="N39" s="18">
        <f>+$G39*Multipliers!I234</f>
        <v>0</v>
      </c>
      <c r="O39" s="18">
        <f>+$G39*Multipliers!J234</f>
        <v>0</v>
      </c>
      <c r="P39" s="18">
        <f t="shared" ref="P39:P44" si="8">+O39+N39+M39</f>
        <v>0</v>
      </c>
      <c r="Q39" s="18">
        <f>+$G39*Multipliers!L234</f>
        <v>0</v>
      </c>
      <c r="R39" s="18">
        <f>+$G39*Multipliers!M234</f>
        <v>0</v>
      </c>
      <c r="S39" s="18">
        <f>+$G39*Multipliers!N234</f>
        <v>0</v>
      </c>
      <c r="T39" s="18">
        <f t="shared" ref="T39:T44" si="9">+S39+R39+Q39</f>
        <v>0</v>
      </c>
      <c r="AB39" s="75" t="s">
        <v>132</v>
      </c>
      <c r="AG39" s="243" t="s">
        <v>369</v>
      </c>
      <c r="AH39" s="343">
        <f>I31</f>
        <v>6.7317111822133002</v>
      </c>
      <c r="AI39" s="334">
        <f>M31*1000</f>
        <v>313.85487402903442</v>
      </c>
      <c r="AJ39" s="334">
        <f>Q31*1000</f>
        <v>772.91463153657185</v>
      </c>
    </row>
    <row r="40" spans="1:41" x14ac:dyDescent="0.2">
      <c r="A40" s="238"/>
      <c r="C40" s="403" t="s">
        <v>124</v>
      </c>
      <c r="D40" s="8">
        <f>$E$147*DefaultData!D62+$E$148*DefaultData!D63+$E$149*DefaultData!D64+$E$150*DefaultData!D65+$E$151*DefaultData!D66+$E$152*DefaultData!D67+$E$153*DefaultData!D68+$E$154*DefaultData!D69+$E$155*DefaultData!D70+$E$156*DefaultData!D71+$E$157*DefaultData!D72+$E$158*DefaultData!D73+$E$159*DefaultData!D74+$E$160*DefaultData!D75+$E$161*DefaultData!D76+$E$162*DefaultData!D77+$E$163*DefaultData!D78+$E$164*DefaultData!D79+$E$165*DefaultData!D80+$E$166*DefaultData!D81+$E$167*DefaultData!D82+$E$168*DefaultData!D83</f>
        <v>0</v>
      </c>
      <c r="F40" s="8">
        <f t="shared" ref="F40:F60" si="10">D40</f>
        <v>0</v>
      </c>
      <c r="G40" s="18">
        <f t="shared" si="6"/>
        <v>0</v>
      </c>
      <c r="H40" s="8"/>
      <c r="I40" s="22">
        <f>+G40*Multipliers!D235</f>
        <v>0</v>
      </c>
      <c r="J40" s="21">
        <f>+$G40*Multipliers!E235</f>
        <v>0</v>
      </c>
      <c r="K40" s="21">
        <f>+$G40*Multipliers!F235</f>
        <v>0</v>
      </c>
      <c r="L40" s="12">
        <f t="shared" si="7"/>
        <v>0</v>
      </c>
      <c r="M40" s="18">
        <f>+$G40*Multipliers!H235</f>
        <v>0</v>
      </c>
      <c r="N40" s="18">
        <f>+$G40*Multipliers!I235</f>
        <v>0</v>
      </c>
      <c r="O40" s="18">
        <f>+$G40*Multipliers!J235</f>
        <v>0</v>
      </c>
      <c r="P40" s="18">
        <f t="shared" si="8"/>
        <v>0</v>
      </c>
      <c r="Q40" s="18">
        <f>+$G40*Multipliers!L235</f>
        <v>0</v>
      </c>
      <c r="R40" s="18">
        <f>+$G40*Multipliers!M235</f>
        <v>0</v>
      </c>
      <c r="S40" s="18">
        <f>+$G40*Multipliers!N235</f>
        <v>0</v>
      </c>
      <c r="T40" s="18">
        <f t="shared" si="9"/>
        <v>0</v>
      </c>
      <c r="AD40" s="11" t="s">
        <v>5</v>
      </c>
      <c r="AG40" s="459" t="s">
        <v>555</v>
      </c>
      <c r="AH40" s="342">
        <f>AH38+AH39</f>
        <v>10.979864150158871</v>
      </c>
      <c r="AI40" s="340">
        <f>AI38+AI39</f>
        <v>588.96762935456832</v>
      </c>
      <c r="AJ40" s="340">
        <f>AJ38+AJ39</f>
        <v>1048.0273868621057</v>
      </c>
    </row>
    <row r="41" spans="1:41" ht="15" x14ac:dyDescent="0.25">
      <c r="A41" s="238"/>
      <c r="C41" s="403" t="s">
        <v>56</v>
      </c>
      <c r="D41" s="8">
        <f>$E$147*DefaultData!E62+$E$148*DefaultData!E63+$E$149*DefaultData!E64+$E$150*DefaultData!E65+$E$151*DefaultData!E66+$E$152*DefaultData!E67+$E$153*DefaultData!E68+$E$154*DefaultData!E69+$E$155*DefaultData!E70+$E$156*DefaultData!E71+$E$157*DefaultData!E72+$E$158*DefaultData!E73+$E$159*DefaultData!E74+$E$160*DefaultData!E75+$E$161*DefaultData!E76+$E$162*DefaultData!E77+$E$163*DefaultData!E78+$E$164*DefaultData!E79+$E$165*DefaultData!E80+$E$166*DefaultData!E81+$E$167*DefaultData!E82+$E$168*DefaultData!E83</f>
        <v>0</v>
      </c>
      <c r="F41" s="8">
        <f t="shared" si="10"/>
        <v>0</v>
      </c>
      <c r="G41" s="18">
        <f t="shared" si="6"/>
        <v>0</v>
      </c>
      <c r="H41" s="18">
        <f>G13*G35/10^6</f>
        <v>0.26945078596015326</v>
      </c>
      <c r="I41" s="22">
        <f>+G41*Multipliers!D236</f>
        <v>0</v>
      </c>
      <c r="J41" s="21">
        <f>+$G41*Multipliers!E236</f>
        <v>0</v>
      </c>
      <c r="K41" s="21">
        <f>+$G41*Multipliers!F236</f>
        <v>0</v>
      </c>
      <c r="L41" s="12">
        <f t="shared" si="7"/>
        <v>0</v>
      </c>
      <c r="M41" s="18">
        <f>+$G41*Multipliers!H236</f>
        <v>0</v>
      </c>
      <c r="N41" s="18">
        <f>+$G41*Multipliers!I236</f>
        <v>0</v>
      </c>
      <c r="O41" s="18">
        <f>+$G41*Multipliers!J236</f>
        <v>0</v>
      </c>
      <c r="P41" s="18">
        <f t="shared" si="8"/>
        <v>0</v>
      </c>
      <c r="Q41" s="18">
        <f>+$G41*Multipliers!L236</f>
        <v>0</v>
      </c>
      <c r="R41" s="18">
        <f>+$G41*Multipliers!M236</f>
        <v>0</v>
      </c>
      <c r="S41" s="18">
        <f>+$G41*Multipliers!N236</f>
        <v>0</v>
      </c>
      <c r="T41" s="18">
        <f t="shared" si="9"/>
        <v>0</v>
      </c>
      <c r="AB41" s="3" t="s">
        <v>112</v>
      </c>
      <c r="AG41" s="393" t="s">
        <v>370</v>
      </c>
      <c r="AM41" s="471"/>
      <c r="AN41" s="471"/>
      <c r="AO41" s="471"/>
    </row>
    <row r="42" spans="1:41" x14ac:dyDescent="0.2">
      <c r="A42" s="238"/>
      <c r="C42" s="403" t="s">
        <v>389</v>
      </c>
      <c r="D42" s="8">
        <f>$E$147*DefaultData!F62+$E$148*DefaultData!F63+$E$149*DefaultData!F64+$E$150*DefaultData!F65+$E$151*DefaultData!F66+$E$152*DefaultData!F67+$E$153*DefaultData!F68+$E$154*DefaultData!F69+$E$155*DefaultData!F70+$E$156*DefaultData!F71+$E$157*DefaultData!F72+$E$158*DefaultData!F73+$E$159*DefaultData!F74+$E$160*DefaultData!F75+$E$161*DefaultData!F76+$E$162*DefaultData!F77+$E$163*DefaultData!F78+$E$164*DefaultData!F79+$E$165*DefaultData!F80+$E$166*DefaultData!F81+$E$167*DefaultData!F82+$E$168*DefaultData!F83</f>
        <v>0</v>
      </c>
      <c r="F42" s="8">
        <f t="shared" si="10"/>
        <v>0</v>
      </c>
      <c r="G42" s="18">
        <f t="shared" si="6"/>
        <v>0</v>
      </c>
      <c r="H42" s="18">
        <f>G42-H$41</f>
        <v>-0.26945078596015326</v>
      </c>
      <c r="I42" s="22">
        <f>IF(F42&gt;0,(H$42*Multipliers!D237)+L27,0)</f>
        <v>0</v>
      </c>
      <c r="J42" s="21">
        <f>+$G42*Multipliers!E237</f>
        <v>0</v>
      </c>
      <c r="K42" s="21">
        <f>+$G42*Multipliers!F237</f>
        <v>0</v>
      </c>
      <c r="L42" s="12">
        <f t="shared" si="7"/>
        <v>0</v>
      </c>
      <c r="M42" s="18">
        <f>IF(F42&gt;0,H$41+($H42*Multipliers!H237),0)</f>
        <v>0</v>
      </c>
      <c r="N42" s="18">
        <f>+$G42*Multipliers!I237</f>
        <v>0</v>
      </c>
      <c r="O42" s="18">
        <f>+$G42*Multipliers!J237</f>
        <v>0</v>
      </c>
      <c r="P42" s="18">
        <f t="shared" si="8"/>
        <v>0</v>
      </c>
      <c r="Q42" s="18">
        <f>+$G42*Multipliers!L237</f>
        <v>0</v>
      </c>
      <c r="R42" s="18">
        <f>+$G42*Multipliers!M237</f>
        <v>0</v>
      </c>
      <c r="S42" s="18">
        <f>+$G42*Multipliers!N237</f>
        <v>0</v>
      </c>
      <c r="T42" s="18">
        <f t="shared" si="9"/>
        <v>0</v>
      </c>
      <c r="AB42" s="1" t="str">
        <f>DefaultData!B46</f>
        <v>Debt Financing</v>
      </c>
      <c r="AG42" s="459" t="s">
        <v>556</v>
      </c>
      <c r="AH42" s="22">
        <f>I33+J33</f>
        <v>0</v>
      </c>
      <c r="AI42" s="478">
        <f>(M33+N33)*1000*G64</f>
        <v>0</v>
      </c>
      <c r="AJ42" s="479">
        <f>(Q33+R33)*1000</f>
        <v>0</v>
      </c>
      <c r="AL42" s="459"/>
    </row>
    <row r="43" spans="1:41" x14ac:dyDescent="0.2">
      <c r="A43" s="238"/>
      <c r="C43" s="403" t="s">
        <v>390</v>
      </c>
      <c r="D43" s="8">
        <f>$E$147*DefaultData!G62+$E$148*DefaultData!G63+$E$149*DefaultData!G64+$E$150*DefaultData!G65+$E$151*DefaultData!G66+$E$152*DefaultData!G67+$E$153*DefaultData!G68+$E$154*DefaultData!G69+$E$155*DefaultData!G70+$E$156*DefaultData!G71+$E$157*DefaultData!G72+$E$158*DefaultData!G73+$E$159*DefaultData!G74+$E$160*DefaultData!G75+$E$161*DefaultData!G76+$E$162*DefaultData!G77+$E$163*DefaultData!G78+$E$164*DefaultData!G79+$E$165*DefaultData!G80+$E$166*DefaultData!G81+$E$167*DefaultData!G82+$E$168*DefaultData!G83</f>
        <v>275112.75532553397</v>
      </c>
      <c r="F43" s="8">
        <f t="shared" si="10"/>
        <v>275112.75532553397</v>
      </c>
      <c r="G43" s="18">
        <f t="shared" si="6"/>
        <v>0.26945078596015326</v>
      </c>
      <c r="H43" s="18">
        <f>G43-H$41</f>
        <v>0</v>
      </c>
      <c r="I43" s="22">
        <f>IF(F43&gt;0,(H$43*Multipliers!D238)+L27,0)</f>
        <v>4.248152967945571</v>
      </c>
      <c r="J43" s="21">
        <f>+$G43*Multipliers!E238</f>
        <v>0.50515919370543727</v>
      </c>
      <c r="K43" s="21">
        <f>+$G43*Multipliers!F238</f>
        <v>1.0050896608044857</v>
      </c>
      <c r="L43" s="12">
        <f t="shared" si="7"/>
        <v>5.758401822455494</v>
      </c>
      <c r="M43" s="18">
        <f>IF(F43&gt;0,H$41+($H43*Multipliers!H238),0)</f>
        <v>0.26945078596015326</v>
      </c>
      <c r="N43" s="18">
        <f>+$G43*Multipliers!I238</f>
        <v>2.4512763677754189E-2</v>
      </c>
      <c r="O43" s="18">
        <f>+$G43*Multipliers!J238</f>
        <v>4.3627081221122001E-2</v>
      </c>
      <c r="P43" s="18">
        <f t="shared" si="8"/>
        <v>0.33759063085902946</v>
      </c>
      <c r="Q43" s="18">
        <f>+$G43*Multipliers!L238</f>
        <v>0.26945078596015326</v>
      </c>
      <c r="R43" s="18">
        <f>+$G43*Multipliers!M238</f>
        <v>8.8482824219473538E-2</v>
      </c>
      <c r="S43" s="18">
        <f>+$G43*Multipliers!N238</f>
        <v>0.15485441005966463</v>
      </c>
      <c r="T43" s="18">
        <f t="shared" si="9"/>
        <v>0.51278802023929138</v>
      </c>
      <c r="AB43" s="13" t="str">
        <f>DefaultData!B47</f>
        <v xml:space="preserve">  Percentage financed</v>
      </c>
      <c r="AC43" s="15">
        <f>IF(ProjectData!$B$26="y",DefaultData!C47,ProjectData!B67)</f>
        <v>0.8</v>
      </c>
      <c r="AD43" s="15">
        <f>IF(ProjectData!$B$26="y",DefaultData!E47,ProjectData!D67)</f>
        <v>0</v>
      </c>
      <c r="AG43" s="477" t="s">
        <v>544</v>
      </c>
      <c r="AH43" s="22">
        <f>I50+I51+J50+J51</f>
        <v>2.9131471294028897</v>
      </c>
      <c r="AI43" s="9">
        <f>(M50+M51+N50+N51)*1000*G64</f>
        <v>178.61488489965222</v>
      </c>
      <c r="AJ43" s="9">
        <f>(Q50+R50+Q51+R51)*1000*G64</f>
        <v>538.621992365035</v>
      </c>
      <c r="AL43" s="459"/>
    </row>
    <row r="44" spans="1:41" x14ac:dyDescent="0.2">
      <c r="A44" s="238"/>
      <c r="C44" s="403" t="s">
        <v>125</v>
      </c>
      <c r="D44" s="8">
        <f>$E$147*DefaultData!H62+$E$148*DefaultData!H63+$E$149*DefaultData!H64+$E$150*DefaultData!H65+$E$151*DefaultData!H66+$E$152*DefaultData!H67+$E$153*DefaultData!H68+$E$154*DefaultData!H69+$E$155*DefaultData!H70+$E$156*DefaultData!H71+$E$157*DefaultData!H72+$E$158*DefaultData!H73+$E$159*DefaultData!H74+$E$160*DefaultData!H75+$E$161*DefaultData!H76+$E$162*DefaultData!H77+$E$163*DefaultData!H78+$E$164*DefaultData!H79+$E$165*DefaultData!H80+$E$166*DefaultData!H81+$E$167*DefaultData!H82+$E$168*DefaultData!H83</f>
        <v>0</v>
      </c>
      <c r="F44" s="8">
        <f t="shared" si="10"/>
        <v>0</v>
      </c>
      <c r="G44" s="18">
        <f t="shared" si="6"/>
        <v>0</v>
      </c>
      <c r="H44" s="8"/>
      <c r="I44" s="22">
        <f>+G44*Multipliers!D239</f>
        <v>0</v>
      </c>
      <c r="J44" s="21">
        <f>+$G44*Multipliers!E239</f>
        <v>0</v>
      </c>
      <c r="K44" s="21">
        <f>+$G44*Multipliers!F239</f>
        <v>0</v>
      </c>
      <c r="L44" s="12">
        <f t="shared" si="7"/>
        <v>0</v>
      </c>
      <c r="M44" s="18">
        <f>+$G44*Multipliers!H239</f>
        <v>0</v>
      </c>
      <c r="N44" s="18">
        <f>+$G44*Multipliers!I239</f>
        <v>0</v>
      </c>
      <c r="O44" s="18">
        <f>+$G44*Multipliers!J239</f>
        <v>0</v>
      </c>
      <c r="P44" s="18">
        <f t="shared" si="8"/>
        <v>0</v>
      </c>
      <c r="Q44" s="18">
        <f>+$G44*Multipliers!L239</f>
        <v>0</v>
      </c>
      <c r="R44" s="18">
        <f>+$G44*Multipliers!M239</f>
        <v>0</v>
      </c>
      <c r="S44" s="18">
        <f>+$G44*Multipliers!N239</f>
        <v>0</v>
      </c>
      <c r="T44" s="18">
        <f t="shared" si="9"/>
        <v>0</v>
      </c>
      <c r="AB44" s="13" t="str">
        <f>DefaultData!B48</f>
        <v xml:space="preserve">  Years financed (term)</v>
      </c>
      <c r="AC44" s="110">
        <f>IF(ProjectData!$B$26="y",DefaultData!C48,ProjectData!B68)</f>
        <v>10</v>
      </c>
      <c r="AD44" s="15"/>
      <c r="AG44" s="477" t="s">
        <v>545</v>
      </c>
      <c r="AH44" s="22">
        <f>I53+I54+J53+J54</f>
        <v>0</v>
      </c>
      <c r="AI44" s="9">
        <f>(M53+M54+N53+N54)*1000*G64</f>
        <v>0</v>
      </c>
      <c r="AJ44" s="9">
        <f>(Q53+R53+Q54+R54)*1000*G64</f>
        <v>0</v>
      </c>
      <c r="AL44" s="459"/>
    </row>
    <row r="45" spans="1:41" x14ac:dyDescent="0.2">
      <c r="A45" s="238"/>
      <c r="C45" s="403" t="s">
        <v>126</v>
      </c>
      <c r="D45" s="8">
        <f>$E$147*DefaultData!I62+$E$148*DefaultData!I63+$E$149*DefaultData!I64+$E$150*DefaultData!I65+$E$151*DefaultData!I66+$E$152*DefaultData!I67+$E$153*DefaultData!I68+$E$154*DefaultData!I69+$E$155*DefaultData!I70+$E$156*DefaultData!I71+$E$157*DefaultData!I72+$E$158*DefaultData!I73+$E$159*DefaultData!I74+$E$160*DefaultData!I75+$E$161*DefaultData!I76+$E$162*DefaultData!I77+$E$163*DefaultData!I78+$E$164*DefaultData!I79+$E$165*DefaultData!I80+$E$166*DefaultData!I81+$E$167*DefaultData!I82+$E$168*DefaultData!I83</f>
        <v>0</v>
      </c>
      <c r="F45" s="8">
        <f t="shared" si="10"/>
        <v>0</v>
      </c>
      <c r="G45" s="18">
        <f t="shared" si="6"/>
        <v>0</v>
      </c>
      <c r="H45" s="8"/>
      <c r="I45" s="22">
        <f>+G45*Multipliers!D240</f>
        <v>0</v>
      </c>
      <c r="J45" s="21">
        <f>+$G45*Multipliers!E240</f>
        <v>0</v>
      </c>
      <c r="K45" s="21">
        <f>+$G45*Multipliers!F240</f>
        <v>0</v>
      </c>
      <c r="L45" s="12">
        <f t="shared" ref="L45:L60" si="11">+K45+J45+I45</f>
        <v>0</v>
      </c>
      <c r="M45" s="18">
        <f>+$G45*Multipliers!H240</f>
        <v>0</v>
      </c>
      <c r="N45" s="18">
        <f>+$G45*Multipliers!I240</f>
        <v>0</v>
      </c>
      <c r="O45" s="18">
        <f>+$G45*Multipliers!J240</f>
        <v>0</v>
      </c>
      <c r="P45" s="18">
        <f t="shared" ref="P45:P60" si="12">+O45+N45+M45</f>
        <v>0</v>
      </c>
      <c r="Q45" s="18">
        <f>+$G45*Multipliers!L240</f>
        <v>0</v>
      </c>
      <c r="R45" s="18">
        <f>+$G45*Multipliers!M240</f>
        <v>0</v>
      </c>
      <c r="S45" s="18">
        <f>+$G45*Multipliers!N240</f>
        <v>0</v>
      </c>
      <c r="T45" s="18">
        <f t="shared" ref="T45:T60" si="13">+S45+R45+Q45</f>
        <v>0</v>
      </c>
      <c r="AB45" s="13" t="str">
        <f>DefaultData!B49</f>
        <v xml:space="preserve">  Interest rate</v>
      </c>
      <c r="AC45" s="15">
        <f>IF(ProjectData!$B$26="y",DefaultData!C49,ProjectData!B69)</f>
        <v>0.1</v>
      </c>
      <c r="AD45" s="15"/>
      <c r="AG45" s="477" t="s">
        <v>546</v>
      </c>
      <c r="AH45" s="22">
        <f>J55+J56+J57</f>
        <v>2.0427506021517083</v>
      </c>
      <c r="AI45" s="9">
        <f>(N55+N56+N57)*1000*G64</f>
        <v>100.4153157482303</v>
      </c>
      <c r="AJ45" s="9">
        <f>(R55+R56+R57)*1000*G64</f>
        <v>339.55817515796292</v>
      </c>
      <c r="AL45" s="459"/>
    </row>
    <row r="46" spans="1:41" x14ac:dyDescent="0.2">
      <c r="A46" s="238"/>
      <c r="C46" s="403" t="s">
        <v>127</v>
      </c>
      <c r="D46" s="8">
        <f>$E$147*DefaultData!J62+$E$148*DefaultData!J63+$E$149*DefaultData!J64+$E$150*DefaultData!J65+$E$151*DefaultData!J66+$E$152*DefaultData!J67+$E$153*DefaultData!J68+$E$154*DefaultData!J69+$E$155*DefaultData!J70+$E$156*DefaultData!J71+$E$157*DefaultData!J72+$E$158*DefaultData!J73+$E$159*DefaultData!J74+$E$160*DefaultData!J75+$E$161*DefaultData!J76+$E$162*DefaultData!J77+$E$163*DefaultData!J78+$E$164*DefaultData!J79+$E$165*DefaultData!J80+$E$166*DefaultData!J81+$E$167*DefaultData!J82+$E$168*DefaultData!J83</f>
        <v>0</v>
      </c>
      <c r="F46" s="8">
        <f t="shared" si="10"/>
        <v>0</v>
      </c>
      <c r="G46" s="18">
        <f t="shared" si="6"/>
        <v>0</v>
      </c>
      <c r="H46" s="8"/>
      <c r="I46" s="22">
        <f>+G46*Multipliers!D241</f>
        <v>0</v>
      </c>
      <c r="J46" s="21">
        <f>+$G46*Multipliers!E241</f>
        <v>0</v>
      </c>
      <c r="K46" s="21">
        <f>+$G46*Multipliers!F241</f>
        <v>0</v>
      </c>
      <c r="L46" s="12">
        <f t="shared" si="11"/>
        <v>0</v>
      </c>
      <c r="M46" s="18">
        <f>+$G46*Multipliers!H241</f>
        <v>0</v>
      </c>
      <c r="N46" s="18">
        <f>+$G46*Multipliers!I241</f>
        <v>0</v>
      </c>
      <c r="O46" s="18">
        <f>+$G46*Multipliers!J241</f>
        <v>0</v>
      </c>
      <c r="P46" s="18">
        <f t="shared" si="12"/>
        <v>0</v>
      </c>
      <c r="Q46" s="18">
        <f>+$G46*Multipliers!L241</f>
        <v>0</v>
      </c>
      <c r="R46" s="18">
        <f>+$G46*Multipliers!M241</f>
        <v>0</v>
      </c>
      <c r="S46" s="18">
        <f>+$G46*Multipliers!N241</f>
        <v>0</v>
      </c>
      <c r="T46" s="18">
        <f t="shared" si="13"/>
        <v>0</v>
      </c>
      <c r="AB46" s="1" t="str">
        <f>DefaultData!B51</f>
        <v>Tax Parameters</v>
      </c>
      <c r="AC46" s="8"/>
      <c r="AD46" s="7"/>
      <c r="AG46" s="477" t="s">
        <v>547</v>
      </c>
      <c r="AH46" s="22">
        <f>J58+K58</f>
        <v>3.1515366675217624</v>
      </c>
      <c r="AI46" s="9">
        <f>(M58+N58)*1000*G64</f>
        <v>224.34041996162037</v>
      </c>
      <c r="AJ46" s="9">
        <f>(Q58+R58)*1000*G64</f>
        <v>777.17238472423901</v>
      </c>
      <c r="AL46" s="459"/>
    </row>
    <row r="47" spans="1:41" x14ac:dyDescent="0.2">
      <c r="A47" s="238"/>
      <c r="C47" s="403" t="s">
        <v>391</v>
      </c>
      <c r="D47" s="8">
        <f>$E$147*DefaultData!K62+$E$148*DefaultData!K63+$E$149*DefaultData!K64+$E$150*DefaultData!K65+$E$151*DefaultData!K66+$E$152*DefaultData!K67+$E$153*DefaultData!K68+$E$154*DefaultData!K69+$E$155*DefaultData!K70+$E$156*DefaultData!K71+$E$157*DefaultData!K72+$E$158*DefaultData!K73+$E$159*DefaultData!K74+$E$160*DefaultData!K75+$E$161*DefaultData!K76+$E$162*DefaultData!K77+$E$163*DefaultData!K78+$E$164*DefaultData!K79+$E$165*DefaultData!K80+$E$166*DefaultData!K81+$E$167*DefaultData!K82+$E$168*DefaultData!K83</f>
        <v>0</v>
      </c>
      <c r="F47" s="8">
        <f t="shared" si="10"/>
        <v>0</v>
      </c>
      <c r="G47" s="18">
        <f t="shared" si="6"/>
        <v>0</v>
      </c>
      <c r="H47" s="8"/>
      <c r="I47" s="22">
        <f>+G47*Multipliers!D242</f>
        <v>0</v>
      </c>
      <c r="J47" s="21">
        <f>+$G47*Multipliers!E242</f>
        <v>0</v>
      </c>
      <c r="K47" s="21">
        <f>+$G47*Multipliers!F242</f>
        <v>0</v>
      </c>
      <c r="L47" s="12">
        <f t="shared" si="11"/>
        <v>0</v>
      </c>
      <c r="M47" s="18">
        <f>+$G47*Multipliers!H242</f>
        <v>0</v>
      </c>
      <c r="N47" s="18">
        <f>+$G47*Multipliers!I242</f>
        <v>0</v>
      </c>
      <c r="O47" s="18">
        <f>+$G47*Multipliers!J242</f>
        <v>0</v>
      </c>
      <c r="P47" s="18">
        <f t="shared" si="12"/>
        <v>0</v>
      </c>
      <c r="Q47" s="18">
        <f>+$G47*Multipliers!L242</f>
        <v>0</v>
      </c>
      <c r="R47" s="18">
        <f>+$G47*Multipliers!M242</f>
        <v>0</v>
      </c>
      <c r="S47" s="18">
        <f>+$G47*Multipliers!N242</f>
        <v>0</v>
      </c>
      <c r="T47" s="18">
        <f t="shared" si="13"/>
        <v>0</v>
      </c>
      <c r="AB47" s="13" t="str">
        <f>DefaultData!B52</f>
        <v xml:space="preserve">  Local Property Tax (percent of taxable value)</v>
      </c>
      <c r="AC47" s="15">
        <f>IF(ProjectData!$B$26="y",DefaultData!C52,ProjectData!B71)</f>
        <v>0</v>
      </c>
      <c r="AD47" s="7"/>
      <c r="AG47" s="477" t="s">
        <v>553</v>
      </c>
      <c r="AH47" s="22">
        <f>(I61+J61)-(SUM(AH42:AH46)+AH40)</f>
        <v>4.5423972587167505</v>
      </c>
      <c r="AI47" s="9">
        <f>((M61+N61)*1000*G64)-(SUM(AI42:AI46)+AI40)</f>
        <v>164.66737623371455</v>
      </c>
      <c r="AJ47" s="9">
        <f>((Q61+R61)*1000*G64)-(SUM(AJ42:AJ46)+AJ40)</f>
        <v>381.55422092635627</v>
      </c>
    </row>
    <row r="48" spans="1:41" x14ac:dyDescent="0.2">
      <c r="C48" s="403" t="s">
        <v>392</v>
      </c>
      <c r="D48" s="8">
        <f>$E$147*DefaultData!L62+$E$148*DefaultData!L63+$E$149*DefaultData!L64+$E$150*DefaultData!L65+$E$151*DefaultData!L66+$E$152*DefaultData!L67+$E$153*DefaultData!L68+$E$154*DefaultData!L69+$E$155*DefaultData!L70+$E$156*DefaultData!L71+$E$157*DefaultData!L72+$E$158*DefaultData!L73+$E$159*DefaultData!L74+$E$160*DefaultData!L75+$E$161*DefaultData!L76+$E$162*DefaultData!L77+$E$163*DefaultData!L78+$E$164*DefaultData!L79+$E$165*DefaultData!L80+$E$166*DefaultData!L81+$E$167*DefaultData!L82+$E$168*DefaultData!L83</f>
        <v>0</v>
      </c>
      <c r="F48" s="8">
        <f t="shared" si="10"/>
        <v>0</v>
      </c>
      <c r="G48" s="18">
        <f t="shared" si="6"/>
        <v>0</v>
      </c>
      <c r="H48" s="8"/>
      <c r="I48" s="22">
        <f>+G48*Multipliers!D243</f>
        <v>0</v>
      </c>
      <c r="J48" s="21">
        <f>+$G48*Multipliers!E243</f>
        <v>0</v>
      </c>
      <c r="K48" s="21">
        <f>+$G48*Multipliers!F243</f>
        <v>0</v>
      </c>
      <c r="L48" s="12">
        <f t="shared" si="11"/>
        <v>0</v>
      </c>
      <c r="M48" s="18">
        <f>+$G48*Multipliers!H243</f>
        <v>0</v>
      </c>
      <c r="N48" s="18">
        <f>+$G48*Multipliers!I243</f>
        <v>0</v>
      </c>
      <c r="O48" s="18">
        <f>+$G48*Multipliers!J243</f>
        <v>0</v>
      </c>
      <c r="P48" s="18">
        <f t="shared" si="12"/>
        <v>0</v>
      </c>
      <c r="Q48" s="18">
        <f>+$G48*Multipliers!L243</f>
        <v>0</v>
      </c>
      <c r="R48" s="18">
        <f>+$G48*Multipliers!M243</f>
        <v>0</v>
      </c>
      <c r="S48" s="18">
        <f>+$G48*Multipliers!N243</f>
        <v>0</v>
      </c>
      <c r="T48" s="18">
        <f t="shared" si="13"/>
        <v>0</v>
      </c>
      <c r="AB48" s="13" t="str">
        <f>DefaultData!B53</f>
        <v xml:space="preserve">  Assessed Value (percent of construction cost)</v>
      </c>
      <c r="AC48" s="15">
        <f>IF(ProjectData!$B$26="y",DefaultData!C53,ProjectData!B72)</f>
        <v>0</v>
      </c>
      <c r="AD48" s="7"/>
      <c r="AG48" s="459" t="s">
        <v>555</v>
      </c>
      <c r="AH48" s="343">
        <f>SUM(AH42:AH47)</f>
        <v>12.649831657793111</v>
      </c>
      <c r="AI48" s="334">
        <f>SUM(AI42:AI47)</f>
        <v>668.03799684321746</v>
      </c>
      <c r="AJ48" s="334">
        <f>SUM(AJ42:AJ47)</f>
        <v>2036.9067731735931</v>
      </c>
      <c r="AL48" s="470"/>
    </row>
    <row r="49" spans="3:38" x14ac:dyDescent="0.2">
      <c r="C49" s="403" t="s">
        <v>393</v>
      </c>
      <c r="D49" s="8">
        <f>$E$147*DefaultData!M62+$E$148*DefaultData!M63+$E$149*DefaultData!M64+$E$150*DefaultData!M65+$E$151*DefaultData!M66+$E$152*DefaultData!M67+$E$153*DefaultData!M68+$E$154*DefaultData!M69+$E$155*DefaultData!M70+$E$156*DefaultData!M71+$E$157*DefaultData!M72+$E$158*DefaultData!M73+$E$159*DefaultData!M74+$E$160*DefaultData!M75+$E$161*DefaultData!M76+$E$162*DefaultData!M77+$E$163*DefaultData!M78+$E$164*DefaultData!M79+$E$165*DefaultData!M80+$E$166*DefaultData!M81+$E$167*DefaultData!M82+$E$168*DefaultData!M83</f>
        <v>0</v>
      </c>
      <c r="F49" s="8">
        <f t="shared" si="10"/>
        <v>0</v>
      </c>
      <c r="G49" s="18">
        <f t="shared" si="6"/>
        <v>0</v>
      </c>
      <c r="H49" s="8"/>
      <c r="I49" s="22">
        <f>+G49*Multipliers!D244</f>
        <v>0</v>
      </c>
      <c r="J49" s="21">
        <f>+$G49*Multipliers!E244</f>
        <v>0</v>
      </c>
      <c r="K49" s="21">
        <f>+$G49*Multipliers!F244</f>
        <v>0</v>
      </c>
      <c r="L49" s="12">
        <f t="shared" si="11"/>
        <v>0</v>
      </c>
      <c r="M49" s="18">
        <f>+$G49*Multipliers!H244</f>
        <v>0</v>
      </c>
      <c r="N49" s="18">
        <f>+$G49*Multipliers!I244</f>
        <v>0</v>
      </c>
      <c r="O49" s="18">
        <f>+$G49*Multipliers!J244</f>
        <v>0</v>
      </c>
      <c r="P49" s="18">
        <f t="shared" si="12"/>
        <v>0</v>
      </c>
      <c r="Q49" s="18">
        <f>+$G49*Multipliers!L244</f>
        <v>0</v>
      </c>
      <c r="R49" s="18">
        <f>+$G49*Multipliers!M244</f>
        <v>0</v>
      </c>
      <c r="S49" s="18">
        <f>+$G49*Multipliers!N244</f>
        <v>0</v>
      </c>
      <c r="T49" s="18">
        <f t="shared" si="13"/>
        <v>0</v>
      </c>
      <c r="AB49" s="13" t="str">
        <f>DefaultData!B54</f>
        <v xml:space="preserve">  Taxable Value (percent of assessed value)</v>
      </c>
      <c r="AC49" s="15">
        <f>IF(ProjectData!$B$26="y",DefaultData!C54,ProjectData!B73)</f>
        <v>0</v>
      </c>
      <c r="AD49" s="15"/>
      <c r="AG49" s="339" t="s">
        <v>151</v>
      </c>
      <c r="AH49" s="342">
        <f>K61</f>
        <v>8.5651706312456799</v>
      </c>
      <c r="AI49" s="340">
        <f>O64*1000</f>
        <v>380.31031449328412</v>
      </c>
      <c r="AJ49" s="340">
        <f>S64*1000</f>
        <v>1351.1298324093348</v>
      </c>
      <c r="AL49" s="470"/>
    </row>
    <row r="50" spans="3:38" x14ac:dyDescent="0.2">
      <c r="C50" s="403" t="s">
        <v>57</v>
      </c>
      <c r="D50" s="8">
        <f>$E$147*DefaultData!N62+$E$148*DefaultData!N63+$E$149*DefaultData!N64+$E$150*DefaultData!N65+$E$151*DefaultData!N66+$E$152*DefaultData!N67+$E$153*DefaultData!N68+$E$154*DefaultData!N69+$E$155*DefaultData!N70+$E$156*DefaultData!N71+$E$157*DefaultData!N72+$E$158*DefaultData!N73+$E$159*DefaultData!N74+$E$160*DefaultData!N75+$E$161*DefaultData!N76+$E$162*DefaultData!N77+$E$163*DefaultData!N78+$E$164*DefaultData!N79+$E$165*DefaultData!N80+$E$166*DefaultData!N81+$E$167*DefaultData!N82+$E$168*DefaultData!N83</f>
        <v>359954.43935633835</v>
      </c>
      <c r="F50" s="8">
        <f t="shared" si="10"/>
        <v>359954.43935633835</v>
      </c>
      <c r="G50" s="18">
        <f t="shared" si="6"/>
        <v>0.35254638222661061</v>
      </c>
      <c r="H50" s="8"/>
      <c r="I50" s="22">
        <f>+G50*Multipliers!D245</f>
        <v>1.7613265348153544</v>
      </c>
      <c r="J50" s="21">
        <f>+$G50*Multipliers!E245</f>
        <v>0.86237236187571464</v>
      </c>
      <c r="K50" s="21">
        <f>+$G50*Multipliers!F245</f>
        <v>1.2504044961242173</v>
      </c>
      <c r="L50" s="12">
        <f t="shared" si="11"/>
        <v>3.8741033928152859</v>
      </c>
      <c r="M50" s="18">
        <f>+$G50*Multipliers!H245</f>
        <v>0.12072421071143168</v>
      </c>
      <c r="N50" s="18">
        <f>+$G50*Multipliers!I245</f>
        <v>4.4632381538378715E-2</v>
      </c>
      <c r="O50" s="18">
        <f>+$G50*Multipliers!J245</f>
        <v>5.4413400404255866E-2</v>
      </c>
      <c r="P50" s="18">
        <f t="shared" si="12"/>
        <v>0.21976999265406627</v>
      </c>
      <c r="Q50" s="18">
        <f>+$G50*Multipliers!L245</f>
        <v>0.35254638222661061</v>
      </c>
      <c r="R50" s="18">
        <f>+$G50*Multipliers!M245</f>
        <v>0.14682652268435667</v>
      </c>
      <c r="S50" s="18">
        <f>+$G50*Multipliers!N245</f>
        <v>0.19337501127311452</v>
      </c>
      <c r="T50" s="18">
        <f t="shared" si="13"/>
        <v>0.69274791618408182</v>
      </c>
      <c r="AB50" s="13" t="str">
        <f>DefaultData!B55</f>
        <v xml:space="preserve">  Taxable Value</v>
      </c>
      <c r="AC50" s="124">
        <f>IF(ProjectData!$B$26="y",DefaultData!C55,ProjectData!B74)</f>
        <v>0</v>
      </c>
      <c r="AG50" s="337" t="s">
        <v>133</v>
      </c>
      <c r="AH50" s="344">
        <f>AH49+AH48+AH40</f>
        <v>32.194866439197668</v>
      </c>
      <c r="AI50" s="341">
        <f>AI49+AI48+AI40</f>
        <v>1637.31594069107</v>
      </c>
      <c r="AJ50" s="341">
        <f>AJ49+AJ48+AJ40</f>
        <v>4436.0639924450334</v>
      </c>
      <c r="AL50" s="470"/>
    </row>
    <row r="51" spans="3:38" x14ac:dyDescent="0.2">
      <c r="C51" s="403" t="s">
        <v>394</v>
      </c>
      <c r="D51" s="8">
        <f>$E$147*DefaultData!O62+$E$148*DefaultData!O63+$E$149*DefaultData!O64+$E$150*DefaultData!O65+$E$151*DefaultData!O66+$E$152*DefaultData!O67+$E$153*DefaultData!O68+$E$154*DefaultData!O69+$E$155*DefaultData!O70+$E$156*DefaultData!O71+$E$157*DefaultData!O72+$E$158*DefaultData!O73+$E$159*DefaultData!O74+$E$160*DefaultData!O75+$E$161*DefaultData!O76+$E$162*DefaultData!O77+$E$163*DefaultData!O78+$E$164*DefaultData!O79+$E$165*DefaultData!O80+$E$166*DefaultData!O81+$E$167*DefaultData!O82+$E$168*DefaultData!O83</f>
        <v>21058.769756937047</v>
      </c>
      <c r="F51" s="8">
        <f t="shared" si="10"/>
        <v>21058.769756937047</v>
      </c>
      <c r="G51" s="18">
        <f t="shared" si="6"/>
        <v>2.062536888064799E-2</v>
      </c>
      <c r="H51" s="8"/>
      <c r="I51" s="22">
        <f>+G51*Multipliers!D246</f>
        <v>0.24470748700153094</v>
      </c>
      <c r="J51" s="21">
        <f>+$G51*Multipliers!E246</f>
        <v>4.4740745710290131E-2</v>
      </c>
      <c r="K51" s="21">
        <f>+$G51*Multipliers!F246</f>
        <v>7.4216874200523669E-2</v>
      </c>
      <c r="L51" s="12">
        <f t="shared" si="11"/>
        <v>0.36366510691234477</v>
      </c>
      <c r="M51" s="18">
        <f>+$G51*Multipliers!H246</f>
        <v>7.4810668675858788E-3</v>
      </c>
      <c r="N51" s="18">
        <f>+$G51*Multipliers!I246</f>
        <v>2.1012348042797509E-3</v>
      </c>
      <c r="O51" s="18">
        <f>+$G51*Multipliers!J246</f>
        <v>3.229156696823068E-3</v>
      </c>
      <c r="P51" s="18">
        <f t="shared" si="12"/>
        <v>1.2811458368688699E-2</v>
      </c>
      <c r="Q51" s="18">
        <f>+$G51*Multipliers!L246</f>
        <v>2.062536888064799E-2</v>
      </c>
      <c r="R51" s="18">
        <f>+$G51*Multipliers!M246</f>
        <v>7.5385865275334986E-3</v>
      </c>
      <c r="S51" s="18">
        <f>+$G51*Multipliers!N246</f>
        <v>1.1474943497141954E-2</v>
      </c>
      <c r="T51" s="18">
        <f t="shared" si="13"/>
        <v>3.9638898905323447E-2</v>
      </c>
      <c r="AB51" s="13" t="str">
        <f>DefaultData!B56</f>
        <v xml:space="preserve">  Property Tax Exemption (percent of local taxes)</v>
      </c>
      <c r="AC51" s="92">
        <f>IF(ProjectData!$B$26="y",DefaultData!C56,ProjectData!B75)</f>
        <v>1</v>
      </c>
      <c r="AG51" s="336"/>
      <c r="AH51" s="480"/>
      <c r="AI51" s="480"/>
      <c r="AJ51" s="480"/>
      <c r="AL51" s="470"/>
    </row>
    <row r="52" spans="3:38" x14ac:dyDescent="0.2">
      <c r="C52" s="403" t="s">
        <v>128</v>
      </c>
      <c r="D52" s="8">
        <f>$E$147*DefaultData!P62+$E$148*DefaultData!P63+$E$149*DefaultData!P64+$E$150*DefaultData!P65+$E$151*DefaultData!P66+$E$152*DefaultData!P67+$E$153*DefaultData!P68+$E$154*DefaultData!P69+$E$155*DefaultData!P70+$E$156*DefaultData!P71+$E$157*DefaultData!P72+$E$158*DefaultData!P73+$E$159*DefaultData!P74+$E$160*DefaultData!P75+$E$161*DefaultData!P76+$E$162*DefaultData!P77+$E$163*DefaultData!P78+$E$164*DefaultData!P79+$E$165*DefaultData!P80+$E$166*DefaultData!P81+$E$167*DefaultData!P82+$E$168*DefaultData!P83</f>
        <v>102179.67840075985</v>
      </c>
      <c r="F52" s="8">
        <f t="shared" si="10"/>
        <v>102179.67840075985</v>
      </c>
      <c r="G52" s="18">
        <f t="shared" si="6"/>
        <v>0.10007676533086245</v>
      </c>
      <c r="H52" s="8"/>
      <c r="I52" s="22">
        <f>+G52*Multipliers!D247</f>
        <v>0.26988053013170149</v>
      </c>
      <c r="J52" s="21">
        <f>+$G52*Multipliers!E247</f>
        <v>0.20223392188896144</v>
      </c>
      <c r="K52" s="21">
        <f>+$G52*Multipliers!F247</f>
        <v>0.25229995848005438</v>
      </c>
      <c r="L52" s="12">
        <f t="shared" si="11"/>
        <v>0.72441441050071731</v>
      </c>
      <c r="M52" s="18">
        <f>+$G52*Multipliers!H247</f>
        <v>1.8206715940426325E-2</v>
      </c>
      <c r="N52" s="18">
        <f>+$G52*Multipliers!I247</f>
        <v>1.0754740534690763E-2</v>
      </c>
      <c r="O52" s="18">
        <f>+$G52*Multipliers!J247</f>
        <v>1.0970055365886742E-2</v>
      </c>
      <c r="P52" s="18">
        <f t="shared" si="12"/>
        <v>3.9931511841003832E-2</v>
      </c>
      <c r="Q52" s="18">
        <f>+$G52*Multipliers!L247</f>
        <v>0.10007676533086245</v>
      </c>
      <c r="R52" s="18">
        <f>+$G52*Multipliers!M247</f>
        <v>4.0198094700150774E-2</v>
      </c>
      <c r="S52" s="18">
        <f>+$G52*Multipliers!N247</f>
        <v>3.8970056992906739E-2</v>
      </c>
      <c r="T52" s="18">
        <f t="shared" si="13"/>
        <v>0.17924491702391998</v>
      </c>
      <c r="AB52" s="13" t="str">
        <f>DefaultData!B57</f>
        <v xml:space="preserve">  Local Property Taxes</v>
      </c>
      <c r="AC52" s="124">
        <f>IF(ProjectData!$B$26="y",DefaultData!C57,ProjectData!B76)</f>
        <v>0</v>
      </c>
      <c r="AD52" s="15">
        <f>IF(ProjectData!$B$26="y",DefaultData!E57,ProjectData!D76)</f>
        <v>1</v>
      </c>
      <c r="AG52" s="338" t="s">
        <v>212</v>
      </c>
      <c r="AH52" s="339"/>
      <c r="AI52" s="340"/>
      <c r="AJ52" s="340"/>
      <c r="AL52" s="470"/>
    </row>
    <row r="53" spans="3:38" x14ac:dyDescent="0.2">
      <c r="C53" s="403" t="s">
        <v>395</v>
      </c>
      <c r="D53" s="8">
        <f>$E$147*DefaultData!Q62+$E$148*DefaultData!Q63+$E$149*DefaultData!Q64+$E$150*DefaultData!Q65+$E$151*DefaultData!Q66+$E$152*DefaultData!Q67+$E$153*DefaultData!Q68+$E$154*DefaultData!Q69+$E$155*DefaultData!Q70+$E$156*DefaultData!Q71+$E$157*DefaultData!Q72+$E$158*DefaultData!Q73+$E$159*DefaultData!Q74+$E$160*DefaultData!Q75+$E$161*DefaultData!Q76+$E$162*DefaultData!Q77+$E$163*DefaultData!Q78+$E$164*DefaultData!Q79+$E$165*DefaultData!Q80+$E$166*DefaultData!Q81+$E$167*DefaultData!Q82+$E$168*DefaultData!Q83</f>
        <v>0</v>
      </c>
      <c r="F53" s="8">
        <f t="shared" si="10"/>
        <v>0</v>
      </c>
      <c r="G53" s="18">
        <f t="shared" si="6"/>
        <v>0</v>
      </c>
      <c r="I53" s="22">
        <f>+G53*Multipliers!D248</f>
        <v>0</v>
      </c>
      <c r="J53" s="21">
        <f>+$G53*Multipliers!E248</f>
        <v>0</v>
      </c>
      <c r="K53" s="21">
        <f>+$G53*Multipliers!F248</f>
        <v>0</v>
      </c>
      <c r="L53" s="12">
        <f t="shared" si="11"/>
        <v>0</v>
      </c>
      <c r="M53" s="18">
        <f>+$G53*Multipliers!H248</f>
        <v>0</v>
      </c>
      <c r="N53" s="18">
        <f>+$G53*Multipliers!I248</f>
        <v>0</v>
      </c>
      <c r="O53" s="18">
        <f>+$G53*Multipliers!J248</f>
        <v>0</v>
      </c>
      <c r="P53" s="18">
        <f t="shared" si="12"/>
        <v>0</v>
      </c>
      <c r="Q53" s="18">
        <f>+$G53*Multipliers!L248</f>
        <v>0</v>
      </c>
      <c r="R53" s="18">
        <f>+$G53*Multipliers!M248</f>
        <v>0</v>
      </c>
      <c r="S53" s="18">
        <f>+$G53*Multipliers!N248</f>
        <v>0</v>
      </c>
      <c r="T53" s="18">
        <f t="shared" si="13"/>
        <v>0</v>
      </c>
      <c r="AB53" s="13" t="str">
        <f>DefaultData!B58</f>
        <v xml:space="preserve">  Local Sales Tax Rate</v>
      </c>
      <c r="AC53" s="200">
        <f>IF(ProjectData!$B$26="y",DefaultData!C58,ProjectData!B77)</f>
        <v>8.2500000000000004E-2</v>
      </c>
      <c r="AD53" s="15">
        <f>IF(ProjectData!$B$26="y",DefaultData!E58,ProjectData!D77)</f>
        <v>1</v>
      </c>
      <c r="AG53" s="243" t="s">
        <v>372</v>
      </c>
      <c r="AH53" s="325"/>
      <c r="AI53" s="325"/>
      <c r="AJ53" s="325"/>
      <c r="AL53" s="470"/>
    </row>
    <row r="54" spans="3:38" x14ac:dyDescent="0.2">
      <c r="C54" s="403" t="s">
        <v>396</v>
      </c>
      <c r="D54" s="8">
        <f>$E$147*DefaultData!R62+$E$148*DefaultData!R63+$E$149*DefaultData!R64+$E$150*DefaultData!R65+$E$151*DefaultData!R66+$E$152*DefaultData!R67+$E$153*DefaultData!R68+$E$154*DefaultData!R69+$E$155*DefaultData!R70+$E$156*DefaultData!R71+$E$157*DefaultData!R72+$E$158*DefaultData!R73+$E$159*DefaultData!R74+$E$160*DefaultData!R75+$E$161*DefaultData!R76+$E$162*DefaultData!R77+$E$163*DefaultData!R78+$E$164*DefaultData!R79+$E$165*DefaultData!R80+$E$166*DefaultData!R81+$E$167*DefaultData!R82+$E$168*DefaultData!R83</f>
        <v>0</v>
      </c>
      <c r="E54" s="8"/>
      <c r="F54" s="8">
        <f t="shared" si="10"/>
        <v>0</v>
      </c>
      <c r="G54" s="18">
        <f t="shared" si="6"/>
        <v>0</v>
      </c>
      <c r="H54" s="8"/>
      <c r="I54" s="22">
        <f>+G54*Multipliers!D249</f>
        <v>0</v>
      </c>
      <c r="J54" s="21">
        <f>+$G54*Multipliers!E249</f>
        <v>0</v>
      </c>
      <c r="K54" s="21">
        <f>+$G54*Multipliers!F249</f>
        <v>0</v>
      </c>
      <c r="L54" s="12">
        <f t="shared" si="11"/>
        <v>0</v>
      </c>
      <c r="M54" s="18">
        <f>+$G54*Multipliers!H249</f>
        <v>0</v>
      </c>
      <c r="N54" s="18">
        <f>+$G54*Multipliers!I249</f>
        <v>0</v>
      </c>
      <c r="O54" s="18">
        <f>+$G54*Multipliers!J249</f>
        <v>0</v>
      </c>
      <c r="P54" s="18">
        <f t="shared" si="12"/>
        <v>0</v>
      </c>
      <c r="Q54" s="18">
        <f>+$G54*Multipliers!L249</f>
        <v>0</v>
      </c>
      <c r="R54" s="18">
        <f>+$G54*Multipliers!M249</f>
        <v>0</v>
      </c>
      <c r="S54" s="18">
        <f>+$G54*Multipliers!N249</f>
        <v>0</v>
      </c>
      <c r="T54" s="18">
        <f t="shared" si="13"/>
        <v>0</v>
      </c>
      <c r="AB54" s="13" t="s">
        <v>447</v>
      </c>
      <c r="AC54" s="200">
        <f>IF(ProjectData!$B$26="y",DefaultData!C59,ProjectData!B78)</f>
        <v>0</v>
      </c>
      <c r="AD54" s="15"/>
      <c r="AG54" s="392" t="s">
        <v>374</v>
      </c>
      <c r="AH54" s="345">
        <f>L143</f>
        <v>0.13843817369919845</v>
      </c>
      <c r="AI54" s="340">
        <f>P145*1000</f>
        <v>8.3271186378174402</v>
      </c>
      <c r="AJ54" s="340">
        <f>T145*1000</f>
        <v>8.3271186378174402</v>
      </c>
    </row>
    <row r="55" spans="3:38" x14ac:dyDescent="0.2">
      <c r="C55" s="403" t="s">
        <v>397</v>
      </c>
      <c r="D55" s="8">
        <f>$E$147*DefaultData!S62+$E$148*DefaultData!S63+$E$149*DefaultData!S64+$E$150*DefaultData!S65+$E$151*DefaultData!S66+$E$152*DefaultData!S67+$E$153*DefaultData!S68+$E$154*DefaultData!S69+$E$155*DefaultData!S70+$E$156*DefaultData!S71+$E$157*DefaultData!S72+$E$158*DefaultData!S73+$E$159*DefaultData!S74+$E$160*DefaultData!S75+$E$161*DefaultData!S76+$E$162*DefaultData!S77+$E$163*DefaultData!S78+$E$164*DefaultData!S79+$E$165*DefaultData!S80+$E$166*DefaultData!S81+$E$167*DefaultData!S82+$E$168*DefaultData!S83</f>
        <v>0</v>
      </c>
      <c r="E55" s="8"/>
      <c r="F55" s="8">
        <f t="shared" si="10"/>
        <v>0</v>
      </c>
      <c r="G55" s="18">
        <f t="shared" si="6"/>
        <v>0</v>
      </c>
      <c r="H55" s="8"/>
      <c r="I55" s="22">
        <f>+G55*Multipliers!D250</f>
        <v>0</v>
      </c>
      <c r="J55" s="21">
        <f>+$G55*Multipliers!E250</f>
        <v>0</v>
      </c>
      <c r="K55" s="21">
        <f>+$G55*Multipliers!F250</f>
        <v>0</v>
      </c>
      <c r="L55" s="12">
        <f t="shared" si="11"/>
        <v>0</v>
      </c>
      <c r="M55" s="18">
        <f>+$G55*Multipliers!H250</f>
        <v>0</v>
      </c>
      <c r="N55" s="18">
        <f>+$G55*Multipliers!I250</f>
        <v>0</v>
      </c>
      <c r="O55" s="18">
        <f>+$G55*Multipliers!J250</f>
        <v>0</v>
      </c>
      <c r="P55" s="18">
        <f t="shared" si="12"/>
        <v>0</v>
      </c>
      <c r="Q55" s="18">
        <f>+$G55*Multipliers!L250</f>
        <v>0</v>
      </c>
      <c r="R55" s="18">
        <f>+$G55*Multipliers!M250</f>
        <v>0</v>
      </c>
      <c r="S55" s="18">
        <f>+$G55*Multipliers!N250</f>
        <v>0</v>
      </c>
      <c r="T55" s="18">
        <f t="shared" si="13"/>
        <v>0</v>
      </c>
      <c r="AB55" s="13"/>
      <c r="AC55" s="200"/>
      <c r="AG55" s="393" t="s">
        <v>373</v>
      </c>
      <c r="AH55" s="345">
        <f>(L173-AH54)+M173</f>
        <v>5.4731474504841983E-2</v>
      </c>
      <c r="AI55" s="340">
        <f>((P174+Q174)*1000)-AI54</f>
        <v>3.1888785460926012</v>
      </c>
      <c r="AJ55" s="340">
        <f>((T174+U174)*1000)-AJ54</f>
        <v>10.425320428427357</v>
      </c>
    </row>
    <row r="56" spans="3:38" x14ac:dyDescent="0.2">
      <c r="C56" s="403" t="s">
        <v>398</v>
      </c>
      <c r="D56" s="8">
        <f>$E$147*DefaultData!T62+$E$148*DefaultData!T63+$E$149*DefaultData!T64+$E$150*DefaultData!T65+$E$151*DefaultData!T66+$E$152*DefaultData!T67+$E$153*DefaultData!T68+$E$154*DefaultData!T69+$E$155*DefaultData!T70+$E$156*DefaultData!T71+$E$157*DefaultData!T72+$E$158*DefaultData!T73+$E$159*DefaultData!T74+$E$160*DefaultData!T75+$E$161*DefaultData!T76+$E$162*DefaultData!T77+$E$163*DefaultData!T78+$E$164*DefaultData!T79+$E$165*DefaultData!T80+$E$166*DefaultData!T81+$E$167*DefaultData!T82+$E$168*DefaultData!T83</f>
        <v>699424.01139344217</v>
      </c>
      <c r="E56" s="8"/>
      <c r="F56" s="8">
        <f t="shared" si="10"/>
        <v>699424.01139344217</v>
      </c>
      <c r="G56" s="18">
        <f t="shared" si="6"/>
        <v>0.6850294867875748</v>
      </c>
      <c r="H56" s="8"/>
      <c r="I56" s="22">
        <f>+G56*Multipliers!D251</f>
        <v>6.2269893485842598</v>
      </c>
      <c r="J56" s="21">
        <f>+$G56*Multipliers!E251</f>
        <v>1.8227094591851267</v>
      </c>
      <c r="K56" s="21">
        <f>+$G56*Multipliers!F251</f>
        <v>3.1771942059514684</v>
      </c>
      <c r="L56" s="12">
        <f t="shared" si="11"/>
        <v>11.226893013720854</v>
      </c>
      <c r="M56" s="18">
        <f>+$G56*Multipliers!H251</f>
        <v>0.27723693260981425</v>
      </c>
      <c r="N56" s="18">
        <f>+$G56*Multipliers!I251</f>
        <v>8.741744846476393E-2</v>
      </c>
      <c r="O56" s="18">
        <f>+$G56*Multipliers!J251</f>
        <v>0.1381432962497269</v>
      </c>
      <c r="P56" s="18">
        <f t="shared" si="12"/>
        <v>0.50279767732430503</v>
      </c>
      <c r="Q56" s="18">
        <f>+$G56*Multipliers!L251</f>
        <v>0.6850294867875748</v>
      </c>
      <c r="R56" s="18">
        <f>+$G56*Multipliers!M251</f>
        <v>0.29659684077940301</v>
      </c>
      <c r="S56" s="18">
        <f>+$G56*Multipliers!N251</f>
        <v>0.49073689158902473</v>
      </c>
      <c r="T56" s="18">
        <f t="shared" si="13"/>
        <v>1.4723632191560025</v>
      </c>
      <c r="AB56" s="13"/>
      <c r="AC56" s="200"/>
      <c r="AG56" s="339" t="s">
        <v>151</v>
      </c>
      <c r="AH56" s="345">
        <f>N173</f>
        <v>4.5065543040748779E-2</v>
      </c>
      <c r="AI56" s="340">
        <f>R174*1000</f>
        <v>2.0015888118578529</v>
      </c>
      <c r="AJ56" s="340">
        <f>V174*1000</f>
        <v>7.1120536583253431</v>
      </c>
    </row>
    <row r="57" spans="3:38" x14ac:dyDescent="0.2">
      <c r="C57" s="403" t="s">
        <v>399</v>
      </c>
      <c r="D57" s="8">
        <f>$E$147*DefaultData!U62+$E$148*DefaultData!U63+$E$149*DefaultData!U64+$E$150*DefaultData!U65+$E$151*DefaultData!U66+$E$152*DefaultData!U67+$E$153*DefaultData!U68+$E$154*DefaultData!U69+$E$155*DefaultData!U70+$E$156*DefaultData!U71+$E$157*DefaultData!U72+$E$158*DefaultData!U73+$E$159*DefaultData!U74+$E$160*DefaultData!U75+$E$161*DefaultData!U76+$E$162*DefaultData!U77+$E$163*DefaultData!U78+$E$164*DefaultData!U79+$E$165*DefaultData!U80+$E$166*DefaultData!U81+$E$167*DefaultData!U82+$E$168*DefaultData!U83</f>
        <v>73490.620143129709</v>
      </c>
      <c r="E57" s="8"/>
      <c r="F57" s="8">
        <f t="shared" si="10"/>
        <v>73490.620143129709</v>
      </c>
      <c r="G57" s="18">
        <f t="shared" si="6"/>
        <v>7.1978143415538987E-2</v>
      </c>
      <c r="H57" s="8"/>
      <c r="I57" s="22">
        <f>+G57*Multipliers!D252</f>
        <v>0.50472183362904055</v>
      </c>
      <c r="J57" s="21">
        <f>+$G57*Multipliers!E252</f>
        <v>0.2200411429665817</v>
      </c>
      <c r="K57" s="21">
        <f>+$G57*Multipliers!F252</f>
        <v>0.35586349377010967</v>
      </c>
      <c r="L57" s="12">
        <f t="shared" si="11"/>
        <v>1.0806264703657318</v>
      </c>
      <c r="M57" s="18">
        <f>+$G57*Multipliers!H252</f>
        <v>3.0158638287945589E-2</v>
      </c>
      <c r="N57" s="18">
        <f>+$G57*Multipliers!I252</f>
        <v>1.093126575163714E-2</v>
      </c>
      <c r="O57" s="18">
        <f>+$G57*Multipliers!J252</f>
        <v>1.547339086610377E-2</v>
      </c>
      <c r="P57" s="18">
        <f t="shared" si="12"/>
        <v>5.6563294905686498E-2</v>
      </c>
      <c r="Q57" s="18">
        <f>+$G57*Multipliers!L252</f>
        <v>7.1978143415538987E-2</v>
      </c>
      <c r="R57" s="18">
        <f>+$G57*Multipliers!M252</f>
        <v>3.597304340225084E-2</v>
      </c>
      <c r="S57" s="18">
        <f>+$G57*Multipliers!N252</f>
        <v>5.4968275793134007E-2</v>
      </c>
      <c r="T57" s="18">
        <f t="shared" si="13"/>
        <v>0.16291946261092383</v>
      </c>
      <c r="AB57" s="13"/>
      <c r="AC57" s="200"/>
      <c r="AG57" s="337" t="s">
        <v>133</v>
      </c>
      <c r="AH57" s="346">
        <f>SUM(AH54:AH56)</f>
        <v>0.2382351912447892</v>
      </c>
      <c r="AI57" s="341">
        <f>SUM(AI54:AI56)</f>
        <v>13.517585995767895</v>
      </c>
      <c r="AJ57" s="341">
        <f>SUM(AJ54:AJ56)</f>
        <v>25.864492724570141</v>
      </c>
    </row>
    <row r="58" spans="3:38" x14ac:dyDescent="0.2">
      <c r="C58" s="403" t="s">
        <v>400</v>
      </c>
      <c r="D58" s="8">
        <f>$E$147*DefaultData!V62+$E$148*DefaultData!V63+$E$149*DefaultData!V64+$E$150*DefaultData!V65+$E$151*DefaultData!V66+$E$152*DefaultData!V67+$E$153*DefaultData!V68+$E$154*DefaultData!V69+$E$155*DefaultData!V70+$E$156*DefaultData!V71+$E$157*DefaultData!V72+$E$158*DefaultData!V73+$E$159*DefaultData!V74+$E$160*DefaultData!V75+$E$161*DefaultData!V76+$E$162*DefaultData!V77+$E$163*DefaultData!V78+$E$164*DefaultData!V79+$E$165*DefaultData!V80+$E$166*DefaultData!V81+$E$167*DefaultData!V82+$E$168*DefaultData!V83</f>
        <v>527248.20135674125</v>
      </c>
      <c r="E58" s="8"/>
      <c r="F58" s="8">
        <f t="shared" si="10"/>
        <v>527248.20135674125</v>
      </c>
      <c r="G58" s="18">
        <f t="shared" si="6"/>
        <v>0.51639714808405113</v>
      </c>
      <c r="H58" s="8"/>
      <c r="I58" s="22">
        <f>+G58*Multipliers!D253</f>
        <v>3.7869361401476231</v>
      </c>
      <c r="J58" s="21">
        <f>+$G58*Multipliers!E253</f>
        <v>1.4201992704777802</v>
      </c>
      <c r="K58" s="21">
        <f>+$G58*Multipliers!F253</f>
        <v>1.7313373970439825</v>
      </c>
      <c r="L58" s="12">
        <f t="shared" si="11"/>
        <v>6.9384728076693856</v>
      </c>
      <c r="M58" s="18">
        <f>+$G58*Multipliers!H253</f>
        <v>0.15091996363308885</v>
      </c>
      <c r="N58" s="18">
        <f>+$G58*Multipliers!I253</f>
        <v>6.880340909734689E-2</v>
      </c>
      <c r="O58" s="18">
        <f>+$G58*Multipliers!J253</f>
        <v>7.5323666359344774E-2</v>
      </c>
      <c r="P58" s="18">
        <f t="shared" si="12"/>
        <v>0.29504703908978053</v>
      </c>
      <c r="Q58" s="18">
        <f>+$G58*Multipliers!L253</f>
        <v>0.51639714808405113</v>
      </c>
      <c r="R58" s="18">
        <f>+$G58*Multipliers!M253</f>
        <v>0.24478060844229979</v>
      </c>
      <c r="S58" s="18">
        <f>+$G58*Multipliers!N253</f>
        <v>0.2676558118895751</v>
      </c>
      <c r="T58" s="18">
        <f t="shared" si="13"/>
        <v>1.028833568415926</v>
      </c>
      <c r="AB58" s="13"/>
      <c r="AC58" s="200"/>
      <c r="AI58" s="274"/>
    </row>
    <row r="59" spans="3:38" x14ac:dyDescent="0.2">
      <c r="C59" s="403" t="s">
        <v>58</v>
      </c>
      <c r="D59" s="8">
        <f>$E$147*DefaultData!W62+$E$148*DefaultData!W63+$E$149*DefaultData!W64+$E$150*DefaultData!W65+$E$151*DefaultData!W66+$E$152*DefaultData!W67+$E$153*DefaultData!W68+$E$154*DefaultData!W69+$E$155*DefaultData!W70+$E$156*DefaultData!W71+$E$157*DefaultData!W72+$E$158*DefaultData!W73+$E$159*DefaultData!W74+$E$160*DefaultData!W75+$E$161*DefaultData!W76+$E$162*DefaultData!W77+$E$163*DefaultData!W78+$E$164*DefaultData!W79+$E$165*DefaultData!W80+$E$166*DefaultData!W81+$E$167*DefaultData!W82+$E$168*DefaultData!W83</f>
        <v>135308.17185342053</v>
      </c>
      <c r="E59" s="8"/>
      <c r="F59" s="8">
        <f t="shared" si="10"/>
        <v>135308.17185342053</v>
      </c>
      <c r="G59" s="18">
        <f t="shared" si="6"/>
        <v>0.13252345646276836</v>
      </c>
      <c r="H59" s="8"/>
      <c r="I59" s="22">
        <f>+G59*Multipliers!D254</f>
        <v>1.4427770679579996</v>
      </c>
      <c r="J59" s="21">
        <f>+$G59*Multipliers!E254</f>
        <v>6.6747801929004383E-2</v>
      </c>
      <c r="K59" s="21">
        <f>+$G59*Multipliers!F254</f>
        <v>0.71876454487083796</v>
      </c>
      <c r="L59" s="12">
        <f t="shared" si="11"/>
        <v>2.228289414757842</v>
      </c>
      <c r="M59" s="18">
        <f>+$G59*Multipliers!H254</f>
        <v>0.10407282896471882</v>
      </c>
      <c r="N59" s="18">
        <f>+$G59*Multipliers!I254</f>
        <v>3.7313834133518515E-3</v>
      </c>
      <c r="O59" s="18">
        <f>+$G59*Multipliers!J254</f>
        <v>3.1303275275612878E-2</v>
      </c>
      <c r="P59" s="18">
        <f t="shared" si="12"/>
        <v>0.13910748765368355</v>
      </c>
      <c r="Q59" s="18">
        <f>+$G59*Multipliers!L254</f>
        <v>0.13252345646276836</v>
      </c>
      <c r="R59" s="18">
        <f>+$G59*Multipliers!M254</f>
        <v>1.2420487891234256E-2</v>
      </c>
      <c r="S59" s="18">
        <f>+$G59*Multipliers!N254</f>
        <v>0.11128744828084759</v>
      </c>
      <c r="T59" s="18">
        <f t="shared" si="13"/>
        <v>0.25623139263485023</v>
      </c>
      <c r="AB59" s="13"/>
      <c r="AC59" s="200"/>
      <c r="AI59" s="274"/>
    </row>
    <row r="60" spans="3:38" x14ac:dyDescent="0.2">
      <c r="C60" s="403" t="s">
        <v>401</v>
      </c>
      <c r="D60" s="8">
        <f>$E$147*DefaultData!X62+$E$148*DefaultData!X63+$E$149*DefaultData!X64+$E$150*DefaultData!X65+$E$151*DefaultData!X66+$E$152*DefaultData!X67+$E$153*DefaultData!X68+$E$154*DefaultData!X69+$E$155*DefaultData!X70+$E$156*DefaultData!X71+$E$157*DefaultData!X72+$E$158*DefaultData!X73+$E$159*DefaultData!X74+$E$160*DefaultData!X75+$E$161*DefaultData!X76+$E$162*DefaultData!X77+$E$163*DefaultData!X78+$E$164*DefaultData!X79+$E$165*DefaultData!X80+$E$166*DefaultData!X81+$E$167*DefaultData!X82+$E$168*DefaultData!X83</f>
        <v>0</v>
      </c>
      <c r="E60" s="8"/>
      <c r="F60" s="8">
        <f t="shared" si="10"/>
        <v>0</v>
      </c>
      <c r="G60" s="18">
        <f t="shared" si="6"/>
        <v>0</v>
      </c>
      <c r="H60" s="8"/>
      <c r="I60" s="22">
        <f>+G60*Multipliers!D255</f>
        <v>0</v>
      </c>
      <c r="J60" s="21">
        <f>+$G60*Multipliers!E255</f>
        <v>0</v>
      </c>
      <c r="K60" s="21">
        <f>+$G60*Multipliers!F255</f>
        <v>0</v>
      </c>
      <c r="L60" s="12">
        <f t="shared" si="11"/>
        <v>0</v>
      </c>
      <c r="M60" s="18">
        <f>+$G60*Multipliers!H255</f>
        <v>0</v>
      </c>
      <c r="N60" s="18">
        <f>+$G60*Multipliers!I255</f>
        <v>0</v>
      </c>
      <c r="O60" s="18">
        <f>+$G60*Multipliers!J255</f>
        <v>0</v>
      </c>
      <c r="P60" s="18">
        <f t="shared" si="12"/>
        <v>0</v>
      </c>
      <c r="Q60" s="18">
        <f>+$G60*Multipliers!L255</f>
        <v>0</v>
      </c>
      <c r="R60" s="18">
        <f>+$G60*Multipliers!M255</f>
        <v>0</v>
      </c>
      <c r="S60" s="18">
        <f>+$G60*Multipliers!N255</f>
        <v>0</v>
      </c>
      <c r="T60" s="18">
        <f t="shared" si="13"/>
        <v>0</v>
      </c>
      <c r="AB60" s="13"/>
      <c r="AC60" s="200"/>
      <c r="AI60" s="274"/>
    </row>
    <row r="61" spans="3:38" ht="15" x14ac:dyDescent="0.2">
      <c r="C61" s="6" t="s">
        <v>4</v>
      </c>
      <c r="D61" s="8">
        <f>SUM(D39:D60)</f>
        <v>2193776.6475863028</v>
      </c>
      <c r="E61" s="8"/>
      <c r="F61" s="8">
        <f>SUM(F39:F60)</f>
        <v>2193776.6475863028</v>
      </c>
      <c r="G61" s="18">
        <f>SUM(G39:G60)</f>
        <v>2.148627537148208</v>
      </c>
      <c r="H61" s="8"/>
      <c r="I61" s="34">
        <f>SUM(I39:I60)</f>
        <v>18.485491910213085</v>
      </c>
      <c r="J61" s="21">
        <f>SUM(J39:J60)</f>
        <v>5.1442038977388966</v>
      </c>
      <c r="K61" s="21">
        <f>SUM(K39:K60)</f>
        <v>8.5651706312456799</v>
      </c>
      <c r="L61" s="21">
        <f>SUM(L39:L60)</f>
        <v>32.194866439197654</v>
      </c>
      <c r="M61" s="18">
        <f>SUM(M39:M60)</f>
        <v>0.97825114297516458</v>
      </c>
      <c r="N61" s="18">
        <f t="shared" ref="N61:T61" si="14">SUM(N39:N60)</f>
        <v>0.25288462728220323</v>
      </c>
      <c r="O61" s="18">
        <f t="shared" si="14"/>
        <v>0.37248332243887605</v>
      </c>
      <c r="P61" s="18">
        <f t="shared" si="14"/>
        <v>1.6036190926962437</v>
      </c>
      <c r="Q61" s="18">
        <f t="shared" si="14"/>
        <v>2.148627537148208</v>
      </c>
      <c r="R61" s="18">
        <f t="shared" si="14"/>
        <v>0.87281700864670231</v>
      </c>
      <c r="S61" s="18">
        <f t="shared" si="14"/>
        <v>1.3233228493754094</v>
      </c>
      <c r="T61" s="18">
        <f t="shared" si="14"/>
        <v>4.3447673951703196</v>
      </c>
      <c r="AB61" s="13"/>
      <c r="AI61" s="274"/>
    </row>
    <row r="62" spans="3:38" ht="15" x14ac:dyDescent="0.2">
      <c r="C62" s="6"/>
      <c r="I62" s="22"/>
      <c r="J62" s="14"/>
      <c r="K62" s="22"/>
      <c r="L62" s="22"/>
      <c r="M62" s="38"/>
      <c r="N62" s="38"/>
      <c r="O62" s="38"/>
      <c r="P62" s="38"/>
      <c r="Q62" s="38"/>
      <c r="R62" s="38"/>
      <c r="S62" s="38"/>
      <c r="T62" s="38"/>
      <c r="U62" s="38"/>
      <c r="V62" s="38"/>
      <c r="W62" s="38"/>
      <c r="X62" s="38"/>
      <c r="AB62" s="13"/>
      <c r="AI62" s="22"/>
    </row>
    <row r="63" spans="3:38" x14ac:dyDescent="0.2">
      <c r="C63" s="13"/>
      <c r="D63" s="16"/>
      <c r="F63" s="27" t="s">
        <v>140</v>
      </c>
      <c r="G63" s="10">
        <f>D35</f>
        <v>2010</v>
      </c>
      <c r="H63" t="s">
        <v>139</v>
      </c>
      <c r="AB63" s="13"/>
    </row>
    <row r="64" spans="3:38" ht="15" x14ac:dyDescent="0.2">
      <c r="C64" s="6"/>
      <c r="G64" s="28">
        <f>Deflators!E8</f>
        <v>1.0210129999999999</v>
      </c>
      <c r="I64" s="11" t="s">
        <v>252</v>
      </c>
      <c r="M64" s="18">
        <f t="shared" ref="M64:T64" si="15">M61*$G64</f>
        <v>0.99880713424250167</v>
      </c>
      <c r="N64" s="18">
        <f t="shared" si="15"/>
        <v>0.25819849195528416</v>
      </c>
      <c r="O64" s="18">
        <f t="shared" si="15"/>
        <v>0.38031031449328412</v>
      </c>
      <c r="P64" s="18">
        <f t="shared" si="15"/>
        <v>1.6373159406910698</v>
      </c>
      <c r="Q64" s="18">
        <f t="shared" si="15"/>
        <v>2.193776647586303</v>
      </c>
      <c r="R64" s="18">
        <f t="shared" si="15"/>
        <v>0.89115751244939545</v>
      </c>
      <c r="S64" s="18">
        <f t="shared" si="15"/>
        <v>1.3511298324093348</v>
      </c>
      <c r="T64" s="18">
        <f t="shared" si="15"/>
        <v>4.4360639924450336</v>
      </c>
      <c r="AB64" s="13"/>
    </row>
    <row r="65" spans="3:31" ht="15" x14ac:dyDescent="0.2">
      <c r="C65" s="6"/>
      <c r="I65" s="11" t="s">
        <v>253</v>
      </c>
      <c r="N65" s="274"/>
      <c r="R65" s="63"/>
    </row>
    <row r="66" spans="3:31" ht="15" x14ac:dyDescent="0.25">
      <c r="C66" s="29" t="str">
        <f>DefaultData!B33</f>
        <v>PV System Annual Operating and Maintenance Costs</v>
      </c>
      <c r="I66" s="11" t="s">
        <v>259</v>
      </c>
      <c r="J66" s="11" t="s">
        <v>260</v>
      </c>
    </row>
    <row r="67" spans="3:31" ht="15" x14ac:dyDescent="0.25">
      <c r="C67" s="29" t="str">
        <f>DefaultData!B34</f>
        <v>Labor</v>
      </c>
      <c r="D67" s="30" t="s">
        <v>111</v>
      </c>
      <c r="E67" s="30" t="s">
        <v>5</v>
      </c>
      <c r="F67" s="11" t="s">
        <v>252</v>
      </c>
      <c r="G67" s="17" t="s">
        <v>131</v>
      </c>
      <c r="H67" s="1" t="s">
        <v>258</v>
      </c>
      <c r="I67" s="11" t="s">
        <v>240</v>
      </c>
      <c r="J67" s="11" t="s">
        <v>255</v>
      </c>
    </row>
    <row r="68" spans="3:31" x14ac:dyDescent="0.2">
      <c r="C68" s="33" t="str">
        <f>DefaultData!B35</f>
        <v xml:space="preserve">  Technicians</v>
      </c>
      <c r="D68" s="8">
        <f>IF(ProjectData!$B$26="y",DefaultData!C35,ProjectData!B54)</f>
        <v>8965.3333333333321</v>
      </c>
      <c r="E68" s="7">
        <f>IF(ProjectData!$B$26="y",ProjectData!T54,ProjectData!E54)</f>
        <v>1</v>
      </c>
      <c r="F68" s="11" t="s">
        <v>253</v>
      </c>
      <c r="G68" s="8">
        <f>D68*E68</f>
        <v>8965.3333333333321</v>
      </c>
      <c r="I68" s="11"/>
      <c r="J68" s="11"/>
      <c r="L68" s="22"/>
    </row>
    <row r="69" spans="3:31" x14ac:dyDescent="0.2">
      <c r="C69" s="33" t="str">
        <f>DefaultData!B36</f>
        <v xml:space="preserve">  Subtotal</v>
      </c>
      <c r="D69" s="8">
        <f>D68</f>
        <v>8965.3333333333321</v>
      </c>
      <c r="E69" s="7"/>
      <c r="F69" s="8"/>
      <c r="G69" s="8">
        <f>G68</f>
        <v>8965.3333333333321</v>
      </c>
    </row>
    <row r="70" spans="3:31" ht="15" x14ac:dyDescent="0.25">
      <c r="C70" s="29" t="str">
        <f>DefaultData!B37</f>
        <v>Materials and Services</v>
      </c>
      <c r="D70" s="8"/>
      <c r="E70" s="7"/>
    </row>
    <row r="71" spans="3:31" x14ac:dyDescent="0.2">
      <c r="C71" s="33" t="str">
        <f>DefaultData!B38</f>
        <v xml:space="preserve">  Materials &amp; Equipment</v>
      </c>
      <c r="D71" s="8">
        <f>IF(ProjectData!$B$26="y",DefaultData!C38,ProjectData!B58)</f>
        <v>7434.666666666667</v>
      </c>
      <c r="E71" s="7">
        <f>IF(ProjectData!$B$26="y",ProjectData!T58,ProjectData!E58)</f>
        <v>1</v>
      </c>
      <c r="F71" s="10" t="str">
        <f>IF(ProjectData!$B$26="y",DefaultData!AG38,ProjectData!F58)</f>
        <v>N</v>
      </c>
      <c r="G71" s="8">
        <f>IF(F71="y",J71,I71)</f>
        <v>5947.7333333333336</v>
      </c>
      <c r="H71" s="88">
        <v>0.2</v>
      </c>
      <c r="I71" s="8">
        <f>IF(F71="N",D71*E71*(1-H71),)</f>
        <v>5947.7333333333336</v>
      </c>
      <c r="J71" s="8">
        <f>IF(F71="Y",D71*E71,)</f>
        <v>0</v>
      </c>
    </row>
    <row r="72" spans="3:31" x14ac:dyDescent="0.2">
      <c r="C72" s="33" t="str">
        <f>DefaultData!B39</f>
        <v xml:space="preserve">  Services</v>
      </c>
      <c r="D72" s="8">
        <f>IF(ProjectData!$B$26="y",DefaultData!C39,ProjectData!B59)</f>
        <v>0</v>
      </c>
      <c r="E72" s="7">
        <f>IF(ProjectData!$B$26="y",ProjectData!T59,ProjectData!E59)</f>
        <v>1</v>
      </c>
      <c r="G72" s="8">
        <f>D72*E72</f>
        <v>0</v>
      </c>
    </row>
    <row r="73" spans="3:31" x14ac:dyDescent="0.2">
      <c r="C73" s="33" t="str">
        <f>DefaultData!B40</f>
        <v xml:space="preserve">  Subtotal</v>
      </c>
      <c r="D73" s="8">
        <f>SUM(D71:D72)</f>
        <v>7434.666666666667</v>
      </c>
      <c r="E73" s="7"/>
      <c r="G73" s="8">
        <f>SUM(G71:G72)</f>
        <v>5947.7333333333336</v>
      </c>
    </row>
    <row r="74" spans="3:31" x14ac:dyDescent="0.2">
      <c r="C74" s="33" t="str">
        <f>DefaultData!B41</f>
        <v>Sales Tax (Materials &amp; Equipment Purchases)</v>
      </c>
      <c r="D74" s="8">
        <f>IF(ProjectData!$B$26="y",DefaultData!C41,ProjectData!B61)</f>
        <v>613.36</v>
      </c>
      <c r="E74" s="7">
        <f>IF(ProjectData!$B$26="y",ProjectData!T61,ProjectData!D77)</f>
        <v>1</v>
      </c>
      <c r="G74" s="8">
        <f>D74*E74</f>
        <v>613.36</v>
      </c>
    </row>
    <row r="75" spans="3:31" x14ac:dyDescent="0.2">
      <c r="C75" s="362" t="s">
        <v>331</v>
      </c>
      <c r="D75" s="8">
        <f>IF(ProjectData!$B$26="y",F211,Calculations!F247)</f>
        <v>380561.25721973006</v>
      </c>
      <c r="E75" s="7">
        <f>IF(ProjectData!$B$26="y",DefaultData!E47,ProjectData!D67)</f>
        <v>0</v>
      </c>
      <c r="G75" s="8">
        <f>D75*E75</f>
        <v>0</v>
      </c>
      <c r="H75" s="8">
        <f>IF(ProjectData!$B$26="y",Calculations!D211,D247)*E75</f>
        <v>0</v>
      </c>
      <c r="I75" s="24" t="s">
        <v>172</v>
      </c>
      <c r="AB75" s="1"/>
      <c r="AC75" s="15"/>
      <c r="AD75" s="15"/>
      <c r="AE75" s="15"/>
    </row>
    <row r="76" spans="3:31" x14ac:dyDescent="0.2">
      <c r="C76" s="1" t="s">
        <v>141</v>
      </c>
      <c r="D76" s="8">
        <f>IF(ProjectData!$B$26="y",DefaultData!C57,ProjectData!B76)</f>
        <v>0</v>
      </c>
      <c r="E76" s="7">
        <f>IF(ProjectData!$B$26="y",DefaultData!E57,ProjectData!D76)</f>
        <v>1</v>
      </c>
      <c r="G76" s="8">
        <f>D76*E76</f>
        <v>0</v>
      </c>
      <c r="I76" s="31"/>
      <c r="AB76" s="13"/>
      <c r="AC76" s="71"/>
      <c r="AD76" s="71"/>
      <c r="AE76" s="15"/>
    </row>
    <row r="77" spans="3:31" x14ac:dyDescent="0.2">
      <c r="C77" s="17" t="s">
        <v>4</v>
      </c>
      <c r="D77" s="8">
        <f>D69+SUM(D73:D76)</f>
        <v>397574.61721973005</v>
      </c>
      <c r="E77" s="7"/>
      <c r="G77" s="8">
        <f>G69+SUM(G73:G76)</f>
        <v>15526.426666666666</v>
      </c>
      <c r="I77" s="24"/>
      <c r="AB77" s="13"/>
      <c r="AC77" s="127"/>
      <c r="AD77" s="127"/>
    </row>
    <row r="78" spans="3:31" x14ac:dyDescent="0.2">
      <c r="C78" s="17" t="s">
        <v>175</v>
      </c>
      <c r="D78" s="106">
        <f>D73+D69</f>
        <v>16400</v>
      </c>
      <c r="E78" s="87">
        <f>D77-D78</f>
        <v>381174.61721973005</v>
      </c>
      <c r="G78" s="106">
        <f>G73+G69</f>
        <v>14913.066666666666</v>
      </c>
      <c r="H78" s="87">
        <f>G77-G78</f>
        <v>613.36000000000058</v>
      </c>
      <c r="AB78" s="13"/>
      <c r="AC78" s="126"/>
      <c r="AD78" s="126"/>
      <c r="AE78" s="15"/>
    </row>
    <row r="79" spans="3:31" x14ac:dyDescent="0.2">
      <c r="C79" s="30" t="s">
        <v>177</v>
      </c>
      <c r="D79" s="111">
        <f>D78/(ProjectData!B18*1000)</f>
        <v>3.28</v>
      </c>
      <c r="AB79" s="147"/>
      <c r="AC79" s="148"/>
      <c r="AD79" s="148"/>
      <c r="AE79" s="76"/>
    </row>
    <row r="80" spans="3:31" x14ac:dyDescent="0.2">
      <c r="AB80" s="112"/>
      <c r="AC80" s="149"/>
      <c r="AD80" s="149"/>
      <c r="AE80" s="150"/>
    </row>
    <row r="81" spans="3:31" x14ac:dyDescent="0.2">
      <c r="AB81" s="112"/>
      <c r="AC81" s="149"/>
      <c r="AD81" s="149"/>
      <c r="AE81" s="150"/>
    </row>
    <row r="82" spans="3:31" x14ac:dyDescent="0.2">
      <c r="AB82" s="112"/>
      <c r="AC82" s="149"/>
      <c r="AD82" s="149"/>
      <c r="AE82" s="150"/>
    </row>
    <row r="84" spans="3:31" x14ac:dyDescent="0.2">
      <c r="C84" s="31"/>
      <c r="D84" s="111" t="s">
        <v>5</v>
      </c>
      <c r="E84" s="160">
        <v>1</v>
      </c>
      <c r="F84" s="160">
        <v>0.5</v>
      </c>
      <c r="L84" s="1" t="s">
        <v>155</v>
      </c>
    </row>
    <row r="85" spans="3:31" x14ac:dyDescent="0.2">
      <c r="C85" s="17" t="s">
        <v>205</v>
      </c>
      <c r="F85" s="25"/>
      <c r="G85" s="26"/>
      <c r="O85">
        <f>M36</f>
        <v>2008</v>
      </c>
      <c r="P85" t="str">
        <f>N36</f>
        <v>Dollars</v>
      </c>
    </row>
    <row r="86" spans="3:31" x14ac:dyDescent="0.2">
      <c r="D86" s="19" t="s">
        <v>116</v>
      </c>
      <c r="E86" s="24"/>
      <c r="F86" s="10"/>
      <c r="G86" s="10" t="s">
        <v>4</v>
      </c>
      <c r="H86" s="31" t="s">
        <v>228</v>
      </c>
      <c r="I86" s="19"/>
      <c r="J86" s="10"/>
      <c r="L86" s="11" t="s">
        <v>55</v>
      </c>
      <c r="M86" s="11"/>
      <c r="N86" s="11"/>
      <c r="O86" s="11"/>
      <c r="P86" s="11" t="s">
        <v>146</v>
      </c>
      <c r="Q86" s="11"/>
      <c r="R86" s="11"/>
      <c r="S86" s="11"/>
      <c r="T86" s="11" t="s">
        <v>147</v>
      </c>
    </row>
    <row r="87" spans="3:31" x14ac:dyDescent="0.2">
      <c r="E87" s="24"/>
      <c r="F87" s="10"/>
      <c r="G87" s="19"/>
      <c r="H87" s="19">
        <f>M36</f>
        <v>2008</v>
      </c>
      <c r="I87" s="31" t="s">
        <v>139</v>
      </c>
      <c r="J87" s="19"/>
      <c r="L87" s="11" t="s">
        <v>121</v>
      </c>
      <c r="M87" s="11" t="s">
        <v>122</v>
      </c>
      <c r="N87" s="11" t="s">
        <v>123</v>
      </c>
      <c r="O87" s="11" t="s">
        <v>4</v>
      </c>
      <c r="P87" s="11" t="s">
        <v>121</v>
      </c>
      <c r="Q87" s="11" t="s">
        <v>122</v>
      </c>
      <c r="R87" s="11" t="s">
        <v>123</v>
      </c>
      <c r="S87" s="11" t="s">
        <v>4</v>
      </c>
      <c r="T87" s="11" t="s">
        <v>121</v>
      </c>
      <c r="U87" s="11" t="s">
        <v>122</v>
      </c>
      <c r="V87" s="11" t="s">
        <v>123</v>
      </c>
      <c r="W87" s="11" t="s">
        <v>4</v>
      </c>
    </row>
    <row r="88" spans="3:31" x14ac:dyDescent="0.2">
      <c r="C88" s="403" t="s">
        <v>388</v>
      </c>
      <c r="D88" s="8">
        <f>$D$147*DefaultData!C62+$D$148*DefaultData!C63+$D$149*DefaultData!C64+$D$150*DefaultData!C65+$D$151*DefaultData!C66+$D$152*DefaultData!C67+$D$153*DefaultData!C68+$D$154*DefaultData!C69+$D$155*DefaultData!C70+$D$156*DefaultData!C71+$D$157*DefaultData!C72+$D$158*DefaultData!C73+$D$159*DefaultData!C74+$D$160*DefaultData!C75+$D$161*DefaultData!C76+$D$162*DefaultData!C77+$D$163*DefaultData!C78+$D$164*DefaultData!C79+$D$165*DefaultData!C80+$D$166*DefaultData!C81+$D$167*DefaultData!C82+$D$168*DefaultData!C83</f>
        <v>0</v>
      </c>
      <c r="G88" s="8">
        <f>D88</f>
        <v>0</v>
      </c>
      <c r="H88" s="18">
        <f t="shared" ref="H88:H109" si="16">G88*G$35/10^6</f>
        <v>0</v>
      </c>
      <c r="I88" s="8"/>
      <c r="J88" s="18"/>
      <c r="L88" s="80">
        <f>$H88*Multipliers!D234</f>
        <v>0</v>
      </c>
      <c r="M88" s="80">
        <f>$H88*Multipliers!E234</f>
        <v>0</v>
      </c>
      <c r="N88" s="80">
        <f>$H88*Multipliers!F234</f>
        <v>0</v>
      </c>
      <c r="O88" s="80">
        <f>+N88+M88+L88</f>
        <v>0</v>
      </c>
      <c r="P88" s="36">
        <f>$H88*Multipliers!H234</f>
        <v>0</v>
      </c>
      <c r="Q88" s="36">
        <f>$H88*Multipliers!I234</f>
        <v>0</v>
      </c>
      <c r="R88" s="36">
        <f>$H88*Multipliers!J234</f>
        <v>0</v>
      </c>
      <c r="S88" s="36">
        <f>+R88+Q88+P88</f>
        <v>0</v>
      </c>
      <c r="T88" s="36">
        <f>$H88*Multipliers!L234</f>
        <v>0</v>
      </c>
      <c r="U88" s="36">
        <f>$H88*Multipliers!M234</f>
        <v>0</v>
      </c>
      <c r="V88" s="36">
        <f>$H88*Multipliers!N234</f>
        <v>0</v>
      </c>
      <c r="W88" s="36">
        <f>+V88+U88+T88</f>
        <v>0</v>
      </c>
    </row>
    <row r="89" spans="3:31" x14ac:dyDescent="0.2">
      <c r="C89" s="403" t="s">
        <v>124</v>
      </c>
      <c r="D89" s="8">
        <f>$D$147*DefaultData!D62+$D$148*DefaultData!D63+$D$149*DefaultData!D64+$D$150*DefaultData!D65+$D$151*DefaultData!D66+$D$152*DefaultData!D67+$D$153*DefaultData!D68+$D$154*DefaultData!D69+$D$155*DefaultData!D70+$D$156*DefaultData!D71+$D$157*DefaultData!D72+$D$158*DefaultData!D73+$D$159*DefaultData!D74+$D$160*DefaultData!D75+$D$161*DefaultData!D76+$D$162*DefaultData!D77+$D$163*DefaultData!D78+$D$164*DefaultData!D79+$D$165*DefaultData!D80+$D$166*DefaultData!D81+$D$167*DefaultData!D82+$D$168*DefaultData!D83</f>
        <v>0</v>
      </c>
      <c r="E89" s="8"/>
      <c r="F89" s="8"/>
      <c r="G89" s="8">
        <f t="shared" ref="G89:G109" si="17">D89</f>
        <v>0</v>
      </c>
      <c r="H89" s="18">
        <f t="shared" si="16"/>
        <v>0</v>
      </c>
      <c r="I89" s="8"/>
      <c r="J89" s="18"/>
      <c r="L89" s="80">
        <f>$H89*Multipliers!D235</f>
        <v>0</v>
      </c>
      <c r="M89" s="80">
        <f>$H89*Multipliers!E235</f>
        <v>0</v>
      </c>
      <c r="N89" s="80">
        <f>$H89*Multipliers!F235</f>
        <v>0</v>
      </c>
      <c r="O89" s="80">
        <f t="shared" ref="O89:O101" si="18">+N89+M89+L89</f>
        <v>0</v>
      </c>
      <c r="P89" s="36">
        <f>$H89*Multipliers!H235</f>
        <v>0</v>
      </c>
      <c r="Q89" s="36">
        <f>$H89*Multipliers!I235</f>
        <v>0</v>
      </c>
      <c r="R89" s="36">
        <f>$H89*Multipliers!J235</f>
        <v>0</v>
      </c>
      <c r="S89" s="36">
        <f t="shared" ref="S89:S101" si="19">+R89+Q89+P89</f>
        <v>0</v>
      </c>
      <c r="T89" s="36">
        <f>$H89*Multipliers!L235</f>
        <v>0</v>
      </c>
      <c r="U89" s="36">
        <f>$H89*Multipliers!M235</f>
        <v>0</v>
      </c>
      <c r="V89" s="36">
        <f>$H89*Multipliers!N235</f>
        <v>0</v>
      </c>
      <c r="W89" s="36">
        <f t="shared" ref="W89:W101" si="20">+V89+U89+T89</f>
        <v>0</v>
      </c>
    </row>
    <row r="90" spans="3:31" x14ac:dyDescent="0.2">
      <c r="C90" s="403" t="s">
        <v>56</v>
      </c>
      <c r="D90" s="8">
        <f>$D$147*DefaultData!E62+$D$148*DefaultData!E63+$D$149*DefaultData!E64+$D$150*DefaultData!E65+$D$151*DefaultData!E66+$D$152*DefaultData!E67+$D$153*DefaultData!E68+$D$154*DefaultData!E69+$D$155*DefaultData!E70+$D$156*DefaultData!E71+$D$157*DefaultData!E72+$D$158*DefaultData!E73+$D$159*DefaultData!E74+$D$160*DefaultData!E75+$D$161*DefaultData!E76+$D$162*DefaultData!E77+$D$163*DefaultData!E78+$D$164*DefaultData!E79+$D$165*DefaultData!E80+$D$166*DefaultData!E81+$D$167*DefaultData!E82+$D$168*DefaultData!E83</f>
        <v>0</v>
      </c>
      <c r="G90" s="8">
        <f t="shared" si="17"/>
        <v>0</v>
      </c>
      <c r="H90" s="18">
        <f t="shared" si="16"/>
        <v>0</v>
      </c>
      <c r="I90" s="8"/>
      <c r="J90" s="309"/>
      <c r="L90" s="80">
        <f>$H90*Multipliers!D236</f>
        <v>0</v>
      </c>
      <c r="M90" s="80">
        <f>$H90*Multipliers!E236</f>
        <v>0</v>
      </c>
      <c r="N90" s="80">
        <f>$H90*Multipliers!F236</f>
        <v>0</v>
      </c>
      <c r="O90" s="80">
        <f t="shared" si="18"/>
        <v>0</v>
      </c>
      <c r="P90" s="36">
        <f>$H90*Multipliers!H236</f>
        <v>0</v>
      </c>
      <c r="Q90" s="36">
        <f>$H90*Multipliers!I236</f>
        <v>0</v>
      </c>
      <c r="R90" s="36">
        <f>$H90*Multipliers!J236</f>
        <v>0</v>
      </c>
      <c r="S90" s="36">
        <f t="shared" si="19"/>
        <v>0</v>
      </c>
      <c r="T90" s="36">
        <f>$H90*Multipliers!L236</f>
        <v>0</v>
      </c>
      <c r="U90" s="36">
        <f>$H90*Multipliers!M236</f>
        <v>0</v>
      </c>
      <c r="V90" s="36">
        <f>$H90*Multipliers!N236</f>
        <v>0</v>
      </c>
      <c r="W90" s="36">
        <f t="shared" si="20"/>
        <v>0</v>
      </c>
    </row>
    <row r="91" spans="3:31" x14ac:dyDescent="0.2">
      <c r="C91" s="403" t="s">
        <v>389</v>
      </c>
      <c r="D91" s="8">
        <f>$D$147*DefaultData!F62+$D$148*DefaultData!F63+$D$149*DefaultData!F64+$D$150*DefaultData!F65+$D$151*DefaultData!F66+$D$152*DefaultData!F67+$D$153*DefaultData!F68+$D$154*DefaultData!F69+$D$155*DefaultData!F70+$D$156*DefaultData!F71+$D$157*DefaultData!F72+$D$158*DefaultData!F73+$D$159*DefaultData!F74+$D$160*DefaultData!F75+$D$161*DefaultData!F76+$D$162*DefaultData!F77+$D$163*DefaultData!F78+$D$164*DefaultData!F79+$D$165*DefaultData!F80+$D$166*DefaultData!F81+$D$167*DefaultData!F82+$D$168*DefaultData!F83</f>
        <v>0</v>
      </c>
      <c r="E91" s="8"/>
      <c r="F91" s="8"/>
      <c r="G91" s="8">
        <f t="shared" si="17"/>
        <v>0</v>
      </c>
      <c r="H91" s="18">
        <f t="shared" si="16"/>
        <v>0</v>
      </c>
      <c r="I91" s="8"/>
      <c r="J91" s="8"/>
      <c r="L91" s="80">
        <f>$H91*Multipliers!D237</f>
        <v>0</v>
      </c>
      <c r="M91" s="80">
        <f>$H91*Multipliers!E237</f>
        <v>0</v>
      </c>
      <c r="N91" s="80">
        <f>$H91*Multipliers!F237</f>
        <v>0</v>
      </c>
      <c r="O91" s="80">
        <f t="shared" si="18"/>
        <v>0</v>
      </c>
      <c r="P91" s="36">
        <f>$H91*Multipliers!H237</f>
        <v>0</v>
      </c>
      <c r="Q91" s="36">
        <f>$H91*Multipliers!I237</f>
        <v>0</v>
      </c>
      <c r="R91" s="36">
        <f>$H91*Multipliers!J237</f>
        <v>0</v>
      </c>
      <c r="S91" s="36">
        <f t="shared" si="19"/>
        <v>0</v>
      </c>
      <c r="T91" s="36">
        <f>$H91*Multipliers!L237</f>
        <v>0</v>
      </c>
      <c r="U91" s="36">
        <f>$H91*Multipliers!M237</f>
        <v>0</v>
      </c>
      <c r="V91" s="36">
        <f>$H91*Multipliers!N237</f>
        <v>0</v>
      </c>
      <c r="W91" s="36">
        <f t="shared" si="20"/>
        <v>0</v>
      </c>
    </row>
    <row r="92" spans="3:31" x14ac:dyDescent="0.2">
      <c r="C92" s="403" t="s">
        <v>390</v>
      </c>
      <c r="D92" s="8">
        <f>$D$147*DefaultData!G62+$D$148*DefaultData!G63+$D$149*DefaultData!G64+$D$150*DefaultData!G65+$D$151*DefaultData!G66+$D$152*DefaultData!G67+$D$153*DefaultData!G68+$D$154*DefaultData!G69+$D$155*DefaultData!G70+$D$156*DefaultData!G71+$D$157*DefaultData!G72+$D$158*DefaultData!G73+$D$159*DefaultData!G74+$D$160*DefaultData!G75+$D$161*DefaultData!G76+$D$162*DefaultData!G77+$D$163*DefaultData!G78+$D$164*DefaultData!G79+$D$165*DefaultData!G80+$D$166*DefaultData!G81+$D$167*DefaultData!G82+$D$168*DefaultData!G83</f>
        <v>0</v>
      </c>
      <c r="G92" s="8">
        <f t="shared" si="17"/>
        <v>0</v>
      </c>
      <c r="H92" s="18">
        <f t="shared" si="16"/>
        <v>0</v>
      </c>
      <c r="I92" s="8"/>
      <c r="J92" s="18"/>
      <c r="L92" s="80">
        <f>$H92*Multipliers!D238</f>
        <v>0</v>
      </c>
      <c r="M92" s="80">
        <f>$H92*Multipliers!E238</f>
        <v>0</v>
      </c>
      <c r="N92" s="80">
        <f>$H92*Multipliers!F238</f>
        <v>0</v>
      </c>
      <c r="O92" s="80">
        <f t="shared" si="18"/>
        <v>0</v>
      </c>
      <c r="P92" s="36">
        <f>$H92*Multipliers!H238</f>
        <v>0</v>
      </c>
      <c r="Q92" s="36">
        <f>$H92*Multipliers!I238</f>
        <v>0</v>
      </c>
      <c r="R92" s="36">
        <f>$H92*Multipliers!J238</f>
        <v>0</v>
      </c>
      <c r="S92" s="36">
        <f t="shared" si="19"/>
        <v>0</v>
      </c>
      <c r="T92" s="36">
        <f>$H92*Multipliers!L238</f>
        <v>0</v>
      </c>
      <c r="U92" s="36">
        <f>$H92*Multipliers!M238</f>
        <v>0</v>
      </c>
      <c r="V92" s="36">
        <f>$H92*Multipliers!N238</f>
        <v>0</v>
      </c>
      <c r="W92" s="36">
        <f t="shared" si="20"/>
        <v>0</v>
      </c>
    </row>
    <row r="93" spans="3:31" x14ac:dyDescent="0.2">
      <c r="C93" s="403" t="s">
        <v>125</v>
      </c>
      <c r="D93" s="8">
        <f>$D$147*DefaultData!H62+$D$148*DefaultData!H63+$D$149*DefaultData!H64+$D$150*DefaultData!H65+$D$151*DefaultData!H66+$D$152*DefaultData!H67+$D$153*DefaultData!H68+$D$154*DefaultData!H69+$D$155*DefaultData!H70+$D$156*DefaultData!H71+$D$157*DefaultData!H72+$D$158*DefaultData!H73+$D$159*DefaultData!H74+$D$160*DefaultData!H75+$D$161*DefaultData!H76+$D$162*DefaultData!H77+$D$163*DefaultData!H78+$D$164*DefaultData!H79+$D$165*DefaultData!H80+$D$166*DefaultData!H81+$D$167*DefaultData!H82+$D$168*DefaultData!H83</f>
        <v>0</v>
      </c>
      <c r="E93" s="8"/>
      <c r="F93" s="8"/>
      <c r="G93" s="8">
        <f t="shared" si="17"/>
        <v>0</v>
      </c>
      <c r="H93" s="18">
        <f t="shared" si="16"/>
        <v>0</v>
      </c>
      <c r="I93" s="8"/>
      <c r="J93" s="18"/>
      <c r="L93" s="80">
        <f>$H93*Multipliers!D239</f>
        <v>0</v>
      </c>
      <c r="M93" s="80">
        <f>$H93*Multipliers!E239</f>
        <v>0</v>
      </c>
      <c r="N93" s="80">
        <f>$H93*Multipliers!F239</f>
        <v>0</v>
      </c>
      <c r="O93" s="80">
        <f t="shared" si="18"/>
        <v>0</v>
      </c>
      <c r="P93" s="36">
        <f>$H93*Multipliers!H239</f>
        <v>0</v>
      </c>
      <c r="Q93" s="36">
        <f>$H93*Multipliers!I239</f>
        <v>0</v>
      </c>
      <c r="R93" s="36">
        <f>$H93*Multipliers!J239</f>
        <v>0</v>
      </c>
      <c r="S93" s="36">
        <f t="shared" si="19"/>
        <v>0</v>
      </c>
      <c r="T93" s="36">
        <f>$H93*Multipliers!L239</f>
        <v>0</v>
      </c>
      <c r="U93" s="36">
        <f>$H93*Multipliers!M239</f>
        <v>0</v>
      </c>
      <c r="V93" s="36">
        <f>$H93*Multipliers!N239</f>
        <v>0</v>
      </c>
      <c r="W93" s="36">
        <f t="shared" si="20"/>
        <v>0</v>
      </c>
    </row>
    <row r="94" spans="3:31" x14ac:dyDescent="0.2">
      <c r="C94" s="403" t="s">
        <v>126</v>
      </c>
      <c r="D94" s="8">
        <f>$D$147*DefaultData!I62+$D$148*DefaultData!I63+$D$149*DefaultData!I64+$D$150*DefaultData!I65+$D$151*DefaultData!I66+$D$152*DefaultData!I67+$D$153*DefaultData!I68+$D$154*DefaultData!I69+$D$155*DefaultData!I70+$D$156*DefaultData!I71+$D$157*DefaultData!I72+$D$158*DefaultData!I73+$D$159*DefaultData!I74+$D$160*DefaultData!I75+$D$161*DefaultData!I76+$D$162*DefaultData!I77+$D$163*DefaultData!I78+$D$164*DefaultData!I79+$D$165*DefaultData!I80+$D$166*DefaultData!I81+$D$167*DefaultData!I82+$D$168*DefaultData!I83</f>
        <v>0</v>
      </c>
      <c r="G94" s="8">
        <f t="shared" si="17"/>
        <v>0</v>
      </c>
      <c r="H94" s="18">
        <f t="shared" si="16"/>
        <v>0</v>
      </c>
      <c r="I94" s="8"/>
      <c r="J94" s="18"/>
      <c r="L94" s="80">
        <f>$H94*Multipliers!D240</f>
        <v>0</v>
      </c>
      <c r="M94" s="80">
        <f>$H94*Multipliers!E240</f>
        <v>0</v>
      </c>
      <c r="N94" s="80">
        <f>$H94*Multipliers!F240</f>
        <v>0</v>
      </c>
      <c r="O94" s="80">
        <f t="shared" si="18"/>
        <v>0</v>
      </c>
      <c r="P94" s="36">
        <f>$H94*Multipliers!H240</f>
        <v>0</v>
      </c>
      <c r="Q94" s="36">
        <f>$H94*Multipliers!I240</f>
        <v>0</v>
      </c>
      <c r="R94" s="36">
        <f>$H94*Multipliers!J240</f>
        <v>0</v>
      </c>
      <c r="S94" s="36">
        <f t="shared" si="19"/>
        <v>0</v>
      </c>
      <c r="T94" s="36">
        <f>$H94*Multipliers!L240</f>
        <v>0</v>
      </c>
      <c r="U94" s="36">
        <f>$H94*Multipliers!M240</f>
        <v>0</v>
      </c>
      <c r="V94" s="36">
        <f>$H94*Multipliers!N240</f>
        <v>0</v>
      </c>
      <c r="W94" s="36">
        <f t="shared" si="20"/>
        <v>0</v>
      </c>
    </row>
    <row r="95" spans="3:31" x14ac:dyDescent="0.2">
      <c r="C95" s="403" t="s">
        <v>127</v>
      </c>
      <c r="D95" s="8">
        <f>$D$147*DefaultData!J62+$D$148*DefaultData!J63+$D$149*DefaultData!J64+$D$150*DefaultData!J65+$D$151*DefaultData!J66+$D$152*DefaultData!J67+$D$153*DefaultData!J68+$D$154*DefaultData!J69+$D$155*DefaultData!J70+$D$156*DefaultData!J71+$D$157*DefaultData!J72+$D$158*DefaultData!J73+$D$159*DefaultData!J74+$D$160*DefaultData!J75+$D$161*DefaultData!J76+$D$162*DefaultData!J77+$D$163*DefaultData!J78+$D$164*DefaultData!J79+$D$165*DefaultData!J80+$D$166*DefaultData!J81+$D$167*DefaultData!J82+$D$168*DefaultData!J83</f>
        <v>0</v>
      </c>
      <c r="E95" s="8"/>
      <c r="F95" s="8"/>
      <c r="G95" s="8">
        <f t="shared" si="17"/>
        <v>0</v>
      </c>
      <c r="H95" s="18">
        <f t="shared" si="16"/>
        <v>0</v>
      </c>
      <c r="I95" s="8"/>
      <c r="J95" s="18"/>
      <c r="L95" s="80">
        <f>$H95*Multipliers!D241</f>
        <v>0</v>
      </c>
      <c r="M95" s="80">
        <f>$H95*Multipliers!E241</f>
        <v>0</v>
      </c>
      <c r="N95" s="80">
        <f>$H95*Multipliers!F241</f>
        <v>0</v>
      </c>
      <c r="O95" s="80">
        <f t="shared" si="18"/>
        <v>0</v>
      </c>
      <c r="P95" s="36">
        <f>$H95*Multipliers!H241</f>
        <v>0</v>
      </c>
      <c r="Q95" s="36">
        <f>$H95*Multipliers!I241</f>
        <v>0</v>
      </c>
      <c r="R95" s="36">
        <f>$H95*Multipliers!J241</f>
        <v>0</v>
      </c>
      <c r="S95" s="36">
        <f t="shared" si="19"/>
        <v>0</v>
      </c>
      <c r="T95" s="36">
        <f>$H95*Multipliers!L241</f>
        <v>0</v>
      </c>
      <c r="U95" s="36">
        <f>$H95*Multipliers!M241</f>
        <v>0</v>
      </c>
      <c r="V95" s="36">
        <f>$H95*Multipliers!N241</f>
        <v>0</v>
      </c>
      <c r="W95" s="36">
        <f t="shared" si="20"/>
        <v>0</v>
      </c>
    </row>
    <row r="96" spans="3:31" x14ac:dyDescent="0.2">
      <c r="C96" s="403" t="s">
        <v>391</v>
      </c>
      <c r="D96" s="8">
        <f>$D$147*DefaultData!K62+$D$148*DefaultData!K63+$D$149*DefaultData!K64+$D$150*DefaultData!K65+$D$151*DefaultData!K66+$D$152*DefaultData!K67+$D$153*DefaultData!K68+$D$154*DefaultData!K69+$D$155*DefaultData!K70+$D$156*DefaultData!K71+$D$157*DefaultData!K72+$D$158*DefaultData!K73+$D$159*DefaultData!K74+$D$160*DefaultData!K75+$D$161*DefaultData!K76+$D$162*DefaultData!K77+$D$163*DefaultData!K78+$D$164*DefaultData!K79+$D$165*DefaultData!K80+$D$166*DefaultData!K81+$D$167*DefaultData!K82+$D$168*DefaultData!K83</f>
        <v>0</v>
      </c>
      <c r="G96" s="8">
        <f t="shared" si="17"/>
        <v>0</v>
      </c>
      <c r="H96" s="18">
        <f t="shared" si="16"/>
        <v>0</v>
      </c>
      <c r="I96" s="8"/>
      <c r="J96" s="18"/>
      <c r="L96" s="80">
        <f>$H96*Multipliers!D242</f>
        <v>0</v>
      </c>
      <c r="M96" s="80">
        <f>$H96*Multipliers!E242</f>
        <v>0</v>
      </c>
      <c r="N96" s="80">
        <f>$H96*Multipliers!F242</f>
        <v>0</v>
      </c>
      <c r="O96" s="80">
        <f t="shared" si="18"/>
        <v>0</v>
      </c>
      <c r="P96" s="36">
        <f>$H96*Multipliers!H242</f>
        <v>0</v>
      </c>
      <c r="Q96" s="36">
        <f>$H96*Multipliers!I242</f>
        <v>0</v>
      </c>
      <c r="R96" s="36">
        <f>$H96*Multipliers!J242</f>
        <v>0</v>
      </c>
      <c r="S96" s="36">
        <f t="shared" si="19"/>
        <v>0</v>
      </c>
      <c r="T96" s="36">
        <f>$H96*Multipliers!L242</f>
        <v>0</v>
      </c>
      <c r="U96" s="36">
        <f>$H96*Multipliers!M242</f>
        <v>0</v>
      </c>
      <c r="V96" s="36">
        <f>$H96*Multipliers!N242</f>
        <v>0</v>
      </c>
      <c r="W96" s="36">
        <f t="shared" si="20"/>
        <v>0</v>
      </c>
    </row>
    <row r="97" spans="3:23" x14ac:dyDescent="0.2">
      <c r="C97" s="403" t="s">
        <v>392</v>
      </c>
      <c r="D97" s="8">
        <f>$D$147*DefaultData!L62+$D$148*DefaultData!L63+$D$149*DefaultData!L64+$D$150*DefaultData!L65+$D$151*DefaultData!L66+$D$152*DefaultData!L67+$D$153*DefaultData!L68+$D$154*DefaultData!L69+$D$155*DefaultData!L70+$D$156*DefaultData!L71+$D$157*DefaultData!L72+$D$158*DefaultData!L73+$D$159*DefaultData!L74+$D$160*DefaultData!L75+$D$161*DefaultData!L76+$D$162*DefaultData!L77+$D$163*DefaultData!L78+$D$164*DefaultData!L79+$D$165*DefaultData!L80+$D$166*DefaultData!L81+$D$167*DefaultData!L82+$D$168*DefaultData!L83</f>
        <v>0</v>
      </c>
      <c r="E97" s="8"/>
      <c r="F97" s="8"/>
      <c r="G97" s="8">
        <f t="shared" si="17"/>
        <v>0</v>
      </c>
      <c r="H97" s="18">
        <f t="shared" si="16"/>
        <v>0</v>
      </c>
      <c r="I97" s="8"/>
      <c r="J97" s="18"/>
      <c r="L97" s="80">
        <f>$H97*Multipliers!D243</f>
        <v>0</v>
      </c>
      <c r="M97" s="80">
        <f>$H97*Multipliers!E243</f>
        <v>0</v>
      </c>
      <c r="N97" s="80">
        <f>$H97*Multipliers!F243</f>
        <v>0</v>
      </c>
      <c r="O97" s="80">
        <f t="shared" si="18"/>
        <v>0</v>
      </c>
      <c r="P97" s="36">
        <f>$H97*Multipliers!H243</f>
        <v>0</v>
      </c>
      <c r="Q97" s="36">
        <f>$H97*Multipliers!I243</f>
        <v>0</v>
      </c>
      <c r="R97" s="36">
        <f>$H97*Multipliers!J243</f>
        <v>0</v>
      </c>
      <c r="S97" s="36">
        <f t="shared" si="19"/>
        <v>0</v>
      </c>
      <c r="T97" s="36">
        <f>$H97*Multipliers!L243</f>
        <v>0</v>
      </c>
      <c r="U97" s="36">
        <f>$H97*Multipliers!M243</f>
        <v>0</v>
      </c>
      <c r="V97" s="36">
        <f>$H97*Multipliers!N243</f>
        <v>0</v>
      </c>
      <c r="W97" s="36">
        <f t="shared" si="20"/>
        <v>0</v>
      </c>
    </row>
    <row r="98" spans="3:23" x14ac:dyDescent="0.2">
      <c r="C98" s="403" t="s">
        <v>393</v>
      </c>
      <c r="D98" s="8">
        <f>$D$147*DefaultData!M62+$D$148*DefaultData!M63+$D$149*DefaultData!M64+$D$150*DefaultData!M65+$D$151*DefaultData!M66+$D$152*DefaultData!M67+$D$153*DefaultData!M68+$D$154*DefaultData!M69+$D$155*DefaultData!M70+$D$156*DefaultData!M71+$D$157*DefaultData!M72+$D$158*DefaultData!M73+$D$159*DefaultData!M74+$D$160*DefaultData!M75+$D$161*DefaultData!M76+$D$162*DefaultData!M77+$D$163*DefaultData!M78+$D$164*DefaultData!M79+$D$165*DefaultData!M80+$D$166*DefaultData!M81+$D$167*DefaultData!M82+$D$168*DefaultData!M83</f>
        <v>0</v>
      </c>
      <c r="G98" s="8">
        <f t="shared" si="17"/>
        <v>0</v>
      </c>
      <c r="H98" s="18">
        <f t="shared" si="16"/>
        <v>0</v>
      </c>
      <c r="I98" s="8"/>
      <c r="J98" s="18"/>
      <c r="L98" s="80">
        <f>$H98*Multipliers!D244</f>
        <v>0</v>
      </c>
      <c r="M98" s="80">
        <f>$H98*Multipliers!E244</f>
        <v>0</v>
      </c>
      <c r="N98" s="80">
        <f>$H98*Multipliers!F244</f>
        <v>0</v>
      </c>
      <c r="O98" s="80">
        <f t="shared" si="18"/>
        <v>0</v>
      </c>
      <c r="P98" s="36">
        <f>$H98*Multipliers!H244</f>
        <v>0</v>
      </c>
      <c r="Q98" s="36">
        <f>$H98*Multipliers!I244</f>
        <v>0</v>
      </c>
      <c r="R98" s="36">
        <f>$H98*Multipliers!J244</f>
        <v>0</v>
      </c>
      <c r="S98" s="36">
        <f t="shared" si="19"/>
        <v>0</v>
      </c>
      <c r="T98" s="36">
        <f>$H98*Multipliers!L244</f>
        <v>0</v>
      </c>
      <c r="U98" s="36">
        <f>$H98*Multipliers!M244</f>
        <v>0</v>
      </c>
      <c r="V98" s="36">
        <f>$H98*Multipliers!N244</f>
        <v>0</v>
      </c>
      <c r="W98" s="36">
        <f t="shared" si="20"/>
        <v>0</v>
      </c>
    </row>
    <row r="99" spans="3:23" x14ac:dyDescent="0.2">
      <c r="C99" s="403" t="s">
        <v>57</v>
      </c>
      <c r="D99" s="8">
        <f>$D$147*DefaultData!N62+$D$148*DefaultData!N63+$D$149*DefaultData!N64+$D$150*DefaultData!N65+$D$151*DefaultData!N66+$D$152*DefaultData!N67+$D$153*DefaultData!N68+$D$154*DefaultData!N69+$D$155*DefaultData!N70+$D$156*DefaultData!N71+$D$157*DefaultData!N72+$D$158*DefaultData!N73+$D$159*DefaultData!N74+$D$160*DefaultData!N75+$D$161*DefaultData!N76+$D$162*DefaultData!N77+$D$163*DefaultData!N78+$D$164*DefaultData!N79+$D$165*DefaultData!N80+$D$166*DefaultData!N81+$D$167*DefaultData!N82+$D$168*DefaultData!N83</f>
        <v>4296.2321664000001</v>
      </c>
      <c r="E99" s="8"/>
      <c r="F99" s="8"/>
      <c r="G99" s="8">
        <f t="shared" si="17"/>
        <v>4296.2321664000001</v>
      </c>
      <c r="H99" s="18">
        <f t="shared" si="16"/>
        <v>4.2078133837669066E-3</v>
      </c>
      <c r="I99" s="8"/>
      <c r="J99" s="18"/>
      <c r="L99" s="80">
        <f>$H99*Multipliers!D245</f>
        <v>2.1022293065585798E-2</v>
      </c>
      <c r="M99" s="80">
        <f>$H99*Multipliers!E245</f>
        <v>1.0292835635337321E-2</v>
      </c>
      <c r="N99" s="80">
        <f>$H99*Multipliers!F245</f>
        <v>1.4924188813634789E-2</v>
      </c>
      <c r="O99" s="80">
        <f t="shared" si="18"/>
        <v>4.6239317514557912E-2</v>
      </c>
      <c r="P99" s="36">
        <f>$H99*Multipliers!H245</f>
        <v>1.4409024604590454E-3</v>
      </c>
      <c r="Q99" s="36">
        <f>$H99*Multipliers!I245</f>
        <v>5.3270928835078327E-4</v>
      </c>
      <c r="R99" s="36">
        <f>$H99*Multipliers!J245</f>
        <v>6.4945052912250014E-4</v>
      </c>
      <c r="S99" s="36">
        <f t="shared" si="19"/>
        <v>2.6230622779323289E-3</v>
      </c>
      <c r="T99" s="36">
        <f>$H99*Multipliers!L245</f>
        <v>4.2078133837669066E-3</v>
      </c>
      <c r="U99" s="36">
        <f>$H99*Multipliers!M245</f>
        <v>1.7524463117198248E-3</v>
      </c>
      <c r="V99" s="36">
        <f>$H99*Multipliers!N245</f>
        <v>2.308025274240553E-3</v>
      </c>
      <c r="W99" s="36">
        <f t="shared" si="20"/>
        <v>8.2682849697272853E-3</v>
      </c>
    </row>
    <row r="100" spans="3:23" x14ac:dyDescent="0.2">
      <c r="C100" s="403" t="s">
        <v>394</v>
      </c>
      <c r="D100" s="8">
        <f>$D$147*DefaultData!O62+$D$148*DefaultData!O63+$D$149*DefaultData!O64+$D$150*DefaultData!O65+$D$151*DefaultData!O66+$D$152*DefaultData!O67+$D$153*DefaultData!O68+$D$154*DefaultData!O69+$D$155*DefaultData!O70+$D$156*DefaultData!O71+$D$157*DefaultData!O72+$D$158*DefaultData!O73+$D$159*DefaultData!O74+$D$160*DefaultData!O75+$D$161*DefaultData!O76+$D$162*DefaultData!O77+$D$163*DefaultData!O78+$D$164*DefaultData!O79+$D$165*DefaultData!O80+$D$166*DefaultData!O81+$D$167*DefaultData!O82+$D$168*DefaultData!O83</f>
        <v>34.408882640000002</v>
      </c>
      <c r="G100" s="8">
        <f t="shared" si="17"/>
        <v>34.408882640000002</v>
      </c>
      <c r="H100" s="18">
        <f t="shared" si="16"/>
        <v>3.3700729216963946E-5</v>
      </c>
      <c r="I100" s="8"/>
      <c r="J100" s="18"/>
      <c r="L100" s="80">
        <f>$H100*Multipliers!D246</f>
        <v>3.9983870371113707E-4</v>
      </c>
      <c r="M100" s="80">
        <f>$H100*Multipliers!E246</f>
        <v>7.3103941309977591E-5</v>
      </c>
      <c r="N100" s="80">
        <f>$H100*Multipliers!F246</f>
        <v>1.212663295980162E-4</v>
      </c>
      <c r="O100" s="80">
        <f t="shared" si="18"/>
        <v>5.9420897461913088E-4</v>
      </c>
      <c r="P100" s="36">
        <f>$H100*Multipliers!H246</f>
        <v>1.222365574247085E-5</v>
      </c>
      <c r="Q100" s="36">
        <f>$H100*Multipliers!I246</f>
        <v>3.4333032087844711E-6</v>
      </c>
      <c r="R100" s="36">
        <f>$H100*Multipliers!J246</f>
        <v>5.2762661394573316E-6</v>
      </c>
      <c r="S100" s="36">
        <f t="shared" si="19"/>
        <v>2.0933225090712654E-5</v>
      </c>
      <c r="T100" s="36">
        <f>$H100*Multipliers!L246</f>
        <v>3.3700729216963946E-5</v>
      </c>
      <c r="U100" s="36">
        <f>$H100*Multipliers!M246</f>
        <v>1.2317639733533689E-5</v>
      </c>
      <c r="V100" s="36">
        <f>$H100*Multipliers!N246</f>
        <v>1.8749432595117439E-5</v>
      </c>
      <c r="W100" s="36">
        <f t="shared" si="20"/>
        <v>6.4767801545615077E-5</v>
      </c>
    </row>
    <row r="101" spans="3:23" x14ac:dyDescent="0.2">
      <c r="C101" s="403" t="s">
        <v>128</v>
      </c>
      <c r="D101" s="8">
        <f>$D$147*DefaultData!P62+$D$148*DefaultData!P63+$D$149*DefaultData!P64+$D$150*DefaultData!P65+$D$151*DefaultData!P66+$D$152*DefaultData!P67+$D$153*DefaultData!P68+$D$154*DefaultData!P69+$D$155*DefaultData!P70+$D$156*DefaultData!P71+$D$157*DefaultData!P72+$D$158*DefaultData!P73+$D$159*DefaultData!P74+$D$160*DefaultData!P75+$D$161*DefaultData!P76+$D$162*DefaultData!P77+$D$163*DefaultData!P78+$D$164*DefaultData!P79+$D$165*DefaultData!P80+$D$166*DefaultData!P81+$D$167*DefaultData!P82+$D$168*DefaultData!P83</f>
        <v>1651.5011669333335</v>
      </c>
      <c r="E101" s="8"/>
      <c r="F101" s="8"/>
      <c r="G101" s="8">
        <f t="shared" si="17"/>
        <v>1651.5011669333335</v>
      </c>
      <c r="H101" s="18">
        <f t="shared" si="16"/>
        <v>1.6175123793069565E-3</v>
      </c>
      <c r="I101" s="8"/>
      <c r="J101" s="18"/>
      <c r="L101" s="80">
        <v>0</v>
      </c>
      <c r="M101" s="80">
        <f>$H101*Multipliers!E247</f>
        <v>3.2686495320838746E-3</v>
      </c>
      <c r="N101" s="80">
        <f>$H101*Multipliers!F247</f>
        <v>4.0778526842960077E-3</v>
      </c>
      <c r="O101" s="80">
        <f t="shared" si="18"/>
        <v>7.3465022163798823E-3</v>
      </c>
      <c r="P101" s="36">
        <v>0</v>
      </c>
      <c r="Q101" s="36">
        <f>$H101*Multipliers!I247</f>
        <v>1.738258215439337E-4</v>
      </c>
      <c r="R101" s="36">
        <f>$H101*Multipliers!J247</f>
        <v>1.773058941037977E-4</v>
      </c>
      <c r="S101" s="36">
        <f t="shared" si="19"/>
        <v>3.5113171564773137E-4</v>
      </c>
      <c r="T101" s="36">
        <v>0</v>
      </c>
      <c r="U101" s="36">
        <f>$H101*Multipliers!M247</f>
        <v>6.4971040567790605E-4</v>
      </c>
      <c r="V101" s="36">
        <f>$H101*Multipliers!N247</f>
        <v>6.298619804499736E-4</v>
      </c>
      <c r="W101" s="36">
        <f t="shared" si="20"/>
        <v>1.2795723861278798E-3</v>
      </c>
    </row>
    <row r="102" spans="3:23" x14ac:dyDescent="0.2">
      <c r="C102" s="403" t="s">
        <v>395</v>
      </c>
      <c r="D102" s="8">
        <f>$D$147*DefaultData!Q62+$D$148*DefaultData!Q63+$D$149*DefaultData!Q64+$D$150*DefaultData!Q65+$D$151*DefaultData!Q66+$D$152*DefaultData!Q67+$D$153*DefaultData!Q68+$D$154*DefaultData!Q69+$D$155*DefaultData!Q70+$D$156*DefaultData!Q71+$D$157*DefaultData!Q72+$D$158*DefaultData!Q73+$D$159*DefaultData!Q74+$D$160*DefaultData!Q75+$D$161*DefaultData!Q76+$D$162*DefaultData!Q77+$D$163*DefaultData!Q78+$D$164*DefaultData!Q79+$D$165*DefaultData!Q80+$D$166*DefaultData!Q81+$D$167*DefaultData!Q82+$D$168*DefaultData!Q83</f>
        <v>0</v>
      </c>
      <c r="G102" s="8">
        <f t="shared" si="17"/>
        <v>0</v>
      </c>
      <c r="H102" s="18">
        <f t="shared" si="16"/>
        <v>0</v>
      </c>
      <c r="L102" s="80">
        <v>0</v>
      </c>
      <c r="M102" s="80">
        <f>$H102*Multipliers!E248</f>
        <v>0</v>
      </c>
      <c r="N102" s="80">
        <f>$H102*Multipliers!F248</f>
        <v>0</v>
      </c>
      <c r="O102" s="80">
        <f t="shared" ref="O102:O109" si="21">+N102+M102+L102</f>
        <v>0</v>
      </c>
      <c r="P102" s="36">
        <v>0</v>
      </c>
      <c r="Q102" s="36">
        <f>$H102*Multipliers!I248</f>
        <v>0</v>
      </c>
      <c r="R102" s="36">
        <f>$H102*Multipliers!J248</f>
        <v>0</v>
      </c>
      <c r="S102" s="36">
        <f t="shared" ref="S102:S109" si="22">+R102+Q102+P102</f>
        <v>0</v>
      </c>
      <c r="T102" s="36">
        <v>0</v>
      </c>
      <c r="U102" s="36">
        <f>$H102*Multipliers!M248</f>
        <v>0</v>
      </c>
      <c r="V102" s="36">
        <f>$H102*Multipliers!N248</f>
        <v>0</v>
      </c>
      <c r="W102" s="36">
        <f t="shared" ref="W102:W109" si="23">+V102+U102+T102</f>
        <v>0</v>
      </c>
    </row>
    <row r="103" spans="3:23" x14ac:dyDescent="0.2">
      <c r="C103" s="403" t="s">
        <v>396</v>
      </c>
      <c r="D103" s="8">
        <f>$D$147*DefaultData!R62+$D$148*DefaultData!R63+$D$149*DefaultData!R64+$D$150*DefaultData!R65+$D$151*DefaultData!R66+$D$152*DefaultData!R67+$D$153*DefaultData!R68+$D$154*DefaultData!R69+$D$155*DefaultData!R70+$D$156*DefaultData!R71+$D$157*DefaultData!R72+$D$158*DefaultData!R73+$D$159*DefaultData!R74+$D$160*DefaultData!R75+$D$161*DefaultData!R76+$D$162*DefaultData!R77+$D$163*DefaultData!R78+$D$164*DefaultData!R79+$D$165*DefaultData!R80+$D$166*DefaultData!R81+$D$167*DefaultData!R82+$D$168*DefaultData!R83</f>
        <v>0</v>
      </c>
      <c r="E103" s="8"/>
      <c r="F103" s="8"/>
      <c r="G103" s="8">
        <f t="shared" si="17"/>
        <v>0</v>
      </c>
      <c r="H103" s="18">
        <f t="shared" si="16"/>
        <v>0</v>
      </c>
      <c r="I103" s="8"/>
      <c r="J103" s="18"/>
      <c r="L103" s="80">
        <v>0</v>
      </c>
      <c r="M103" s="80">
        <f>$H103*Multipliers!E249</f>
        <v>0</v>
      </c>
      <c r="N103" s="80">
        <f>$H103*Multipliers!F249</f>
        <v>0</v>
      </c>
      <c r="O103" s="80">
        <f t="shared" si="21"/>
        <v>0</v>
      </c>
      <c r="P103" s="36">
        <v>0</v>
      </c>
      <c r="Q103" s="36">
        <f>$H103*Multipliers!I249</f>
        <v>0</v>
      </c>
      <c r="R103" s="36">
        <f>$H103*Multipliers!J249</f>
        <v>0</v>
      </c>
      <c r="S103" s="36">
        <f t="shared" si="22"/>
        <v>0</v>
      </c>
      <c r="T103" s="36">
        <v>0</v>
      </c>
      <c r="U103" s="36">
        <f>$H103*Multipliers!M249</f>
        <v>0</v>
      </c>
      <c r="V103" s="36">
        <f>$H103*Multipliers!N249</f>
        <v>0</v>
      </c>
      <c r="W103" s="36">
        <f t="shared" si="23"/>
        <v>0</v>
      </c>
    </row>
    <row r="104" spans="3:23" x14ac:dyDescent="0.2">
      <c r="C104" s="403" t="s">
        <v>397</v>
      </c>
      <c r="D104" s="8">
        <f>$D$147*DefaultData!S62+$D$148*DefaultData!S63+$D$149*DefaultData!S64+$D$150*DefaultData!S65+$D$151*DefaultData!S66+$D$152*DefaultData!S67+$D$153*DefaultData!S68+$D$154*DefaultData!S69+$D$155*DefaultData!S70+$D$156*DefaultData!S71+$D$157*DefaultData!S72+$D$158*DefaultData!S73+$D$159*DefaultData!S74+$D$160*DefaultData!S75+$D$161*DefaultData!S76+$D$162*DefaultData!S77+$D$163*DefaultData!S78+$D$164*DefaultData!S79+$D$165*DefaultData!S80+$D$166*DefaultData!S81+$D$167*DefaultData!S82+$D$168*DefaultData!S83</f>
        <v>0</v>
      </c>
      <c r="E104" s="8"/>
      <c r="F104" s="8"/>
      <c r="G104" s="8">
        <f t="shared" si="17"/>
        <v>0</v>
      </c>
      <c r="H104" s="18">
        <f t="shared" si="16"/>
        <v>0</v>
      </c>
      <c r="I104" s="8"/>
      <c r="J104" s="18"/>
      <c r="L104" s="80">
        <v>0</v>
      </c>
      <c r="M104" s="80">
        <f>$H104*Multipliers!E250</f>
        <v>0</v>
      </c>
      <c r="N104" s="80">
        <f>$H104*Multipliers!F250</f>
        <v>0</v>
      </c>
      <c r="O104" s="80">
        <f t="shared" si="21"/>
        <v>0</v>
      </c>
      <c r="P104" s="36">
        <v>0</v>
      </c>
      <c r="Q104" s="36">
        <f>$H104*Multipliers!I250</f>
        <v>0</v>
      </c>
      <c r="R104" s="36">
        <f>$H104*Multipliers!J250</f>
        <v>0</v>
      </c>
      <c r="S104" s="36">
        <f t="shared" si="22"/>
        <v>0</v>
      </c>
      <c r="T104" s="36">
        <v>0</v>
      </c>
      <c r="U104" s="36">
        <f>$H104*Multipliers!M250</f>
        <v>0</v>
      </c>
      <c r="V104" s="36">
        <f>$H104*Multipliers!N250</f>
        <v>0</v>
      </c>
      <c r="W104" s="36">
        <f t="shared" si="23"/>
        <v>0</v>
      </c>
    </row>
    <row r="105" spans="3:23" x14ac:dyDescent="0.2">
      <c r="C105" s="403" t="s">
        <v>398</v>
      </c>
      <c r="D105" s="8">
        <f>$D$147*DefaultData!T62+$D$148*DefaultData!T63+$D$149*DefaultData!T64+$D$150*DefaultData!T65+$D$151*DefaultData!T66+$D$152*DefaultData!T67+$D$153*DefaultData!T68+$D$154*DefaultData!T69+$D$155*DefaultData!T70+$D$156*DefaultData!T71+$D$157*DefaultData!T72+$D$158*DefaultData!T73+$D$159*DefaultData!T74+$D$160*DefaultData!T75+$D$161*DefaultData!T76+$D$162*DefaultData!T77+$D$163*DefaultData!T78+$D$164*DefaultData!T79+$D$165*DefaultData!T80+$D$166*DefaultData!T81+$D$167*DefaultData!T82+$D$168*DefaultData!T83</f>
        <v>0</v>
      </c>
      <c r="E105" s="8"/>
      <c r="F105" s="8"/>
      <c r="G105" s="8">
        <f t="shared" si="17"/>
        <v>0</v>
      </c>
      <c r="H105" s="18">
        <f t="shared" si="16"/>
        <v>0</v>
      </c>
      <c r="I105" s="8"/>
      <c r="J105" s="18"/>
      <c r="L105" s="80">
        <v>0</v>
      </c>
      <c r="M105" s="80">
        <f>$H105*Multipliers!E251</f>
        <v>0</v>
      </c>
      <c r="N105" s="80">
        <f>$H105*Multipliers!F251</f>
        <v>0</v>
      </c>
      <c r="O105" s="80">
        <f t="shared" si="21"/>
        <v>0</v>
      </c>
      <c r="P105" s="36">
        <v>0</v>
      </c>
      <c r="Q105" s="36">
        <f>$H105*Multipliers!I251</f>
        <v>0</v>
      </c>
      <c r="R105" s="36">
        <f>$H105*Multipliers!J251</f>
        <v>0</v>
      </c>
      <c r="S105" s="36">
        <f t="shared" si="22"/>
        <v>0</v>
      </c>
      <c r="T105" s="36">
        <v>0</v>
      </c>
      <c r="U105" s="36">
        <f>$H105*Multipliers!M251</f>
        <v>0</v>
      </c>
      <c r="V105" s="36">
        <f>$H105*Multipliers!N251</f>
        <v>0</v>
      </c>
      <c r="W105" s="36">
        <f t="shared" si="23"/>
        <v>0</v>
      </c>
    </row>
    <row r="106" spans="3:23" x14ac:dyDescent="0.2">
      <c r="C106" s="403" t="s">
        <v>399</v>
      </c>
      <c r="D106" s="8">
        <f>$D$147*DefaultData!U62+$D$148*DefaultData!U63+$D$149*DefaultData!U64+$D$150*DefaultData!U65+$D$151*DefaultData!U66+$D$152*DefaultData!U67+$D$153*DefaultData!U68+$D$154*DefaultData!U69+$D$155*DefaultData!U70+$D$156*DefaultData!U71+$D$157*DefaultData!U72+$D$158*DefaultData!U73+$D$159*DefaultData!U74+$D$160*DefaultData!U75+$D$161*DefaultData!U76+$D$162*DefaultData!U77+$D$163*DefaultData!U78+$D$164*DefaultData!U79+$D$165*DefaultData!U80+$D$166*DefaultData!U81+$D$167*DefaultData!U82+$D$168*DefaultData!U83</f>
        <v>0</v>
      </c>
      <c r="E106" s="8"/>
      <c r="F106" s="8"/>
      <c r="G106" s="8">
        <f t="shared" si="17"/>
        <v>0</v>
      </c>
      <c r="H106" s="18">
        <f t="shared" si="16"/>
        <v>0</v>
      </c>
      <c r="I106" s="8"/>
      <c r="J106" s="18"/>
      <c r="L106" s="80">
        <v>0</v>
      </c>
      <c r="M106" s="80">
        <f>$H106*Multipliers!E252</f>
        <v>0</v>
      </c>
      <c r="N106" s="80">
        <f>$H106*Multipliers!F252</f>
        <v>0</v>
      </c>
      <c r="O106" s="80">
        <f t="shared" si="21"/>
        <v>0</v>
      </c>
      <c r="P106" s="36">
        <v>0</v>
      </c>
      <c r="Q106" s="36">
        <f>$H106*Multipliers!I252</f>
        <v>0</v>
      </c>
      <c r="R106" s="36">
        <f>$H106*Multipliers!J252</f>
        <v>0</v>
      </c>
      <c r="S106" s="36">
        <f t="shared" si="22"/>
        <v>0</v>
      </c>
      <c r="T106" s="36">
        <v>0</v>
      </c>
      <c r="U106" s="36">
        <f>$H106*Multipliers!M252</f>
        <v>0</v>
      </c>
      <c r="V106" s="36">
        <f>$H106*Multipliers!N252</f>
        <v>0</v>
      </c>
      <c r="W106" s="36">
        <f t="shared" si="23"/>
        <v>0</v>
      </c>
    </row>
    <row r="107" spans="3:23" x14ac:dyDescent="0.2">
      <c r="C107" s="403" t="s">
        <v>400</v>
      </c>
      <c r="D107" s="8">
        <f>$D$147*DefaultData!V62+$D$148*DefaultData!V63+$D$149*DefaultData!V64+$D$150*DefaultData!V65+$D$151*DefaultData!V66+$D$152*DefaultData!V67+$D$153*DefaultData!V68+$D$154*DefaultData!V69+$D$155*DefaultData!V70+$D$156*DefaultData!V71+$D$157*DefaultData!V72+$D$158*DefaultData!V73+$D$159*DefaultData!V74+$D$160*DefaultData!V75+$D$161*DefaultData!V76+$D$162*DefaultData!V77+$D$163*DefaultData!V78+$D$164*DefaultData!V79+$D$165*DefaultData!V80+$D$166*DefaultData!V81+$D$167*DefaultData!V82+$D$168*DefaultData!V83</f>
        <v>0</v>
      </c>
      <c r="E107" s="8"/>
      <c r="F107" s="8"/>
      <c r="G107" s="8">
        <f t="shared" si="17"/>
        <v>0</v>
      </c>
      <c r="H107" s="18">
        <f t="shared" si="16"/>
        <v>0</v>
      </c>
      <c r="I107" s="8"/>
      <c r="J107" s="18"/>
      <c r="L107" s="80">
        <v>0</v>
      </c>
      <c r="M107" s="80">
        <f>$H107*Multipliers!E253</f>
        <v>0</v>
      </c>
      <c r="N107" s="80">
        <f>$H107*Multipliers!F253</f>
        <v>0</v>
      </c>
      <c r="O107" s="80">
        <f t="shared" si="21"/>
        <v>0</v>
      </c>
      <c r="P107" s="36">
        <v>0</v>
      </c>
      <c r="Q107" s="36">
        <f>$H107*Multipliers!I253</f>
        <v>0</v>
      </c>
      <c r="R107" s="36">
        <f>$H107*Multipliers!J253</f>
        <v>0</v>
      </c>
      <c r="S107" s="36">
        <f t="shared" si="22"/>
        <v>0</v>
      </c>
      <c r="T107" s="36">
        <v>0</v>
      </c>
      <c r="U107" s="36">
        <f>$H107*Multipliers!M253</f>
        <v>0</v>
      </c>
      <c r="V107" s="36">
        <f>$H107*Multipliers!N253</f>
        <v>0</v>
      </c>
      <c r="W107" s="36">
        <f t="shared" si="23"/>
        <v>0</v>
      </c>
    </row>
    <row r="108" spans="3:23" x14ac:dyDescent="0.2">
      <c r="C108" s="403" t="s">
        <v>58</v>
      </c>
      <c r="D108" s="8">
        <f>$D$147*DefaultData!W62+$D$148*DefaultData!W63+$D$149*DefaultData!W64+$D$150*DefaultData!W65+$D$151*DefaultData!W66+$D$152*DefaultData!W67+$D$153*DefaultData!W68+$D$154*DefaultData!W69+$D$155*DefaultData!W70+$D$156*DefaultData!W71+$D$157*DefaultData!W72+$D$158*DefaultData!W73+$D$159*DefaultData!W74+$D$160*DefaultData!W75+$D$161*DefaultData!W76+$D$162*DefaultData!W77+$D$163*DefaultData!W78+$D$164*DefaultData!W79+$D$165*DefaultData!W80+$D$166*DefaultData!W81+$D$167*DefaultData!W82+$D$168*DefaultData!W83</f>
        <v>578.95111736000001</v>
      </c>
      <c r="F108" s="8"/>
      <c r="G108" s="8">
        <f t="shared" si="17"/>
        <v>578.95111736000001</v>
      </c>
      <c r="H108" s="18">
        <f t="shared" si="16"/>
        <v>5.6703599010002814E-4</v>
      </c>
      <c r="I108" s="8"/>
      <c r="J108" s="18"/>
      <c r="L108" s="80">
        <v>0</v>
      </c>
      <c r="M108" s="80">
        <f>$H108*Multipliers!E254</f>
        <v>2.8559778747128323E-4</v>
      </c>
      <c r="N108" s="80">
        <f>$H108*Multipliers!F254</f>
        <v>3.0754205800852669E-3</v>
      </c>
      <c r="O108" s="80">
        <f t="shared" si="21"/>
        <v>3.3610183675565502E-3</v>
      </c>
      <c r="P108" s="36">
        <v>0</v>
      </c>
      <c r="Q108" s="36">
        <f>$H108*Multipliers!I254</f>
        <v>1.5965691996776576E-5</v>
      </c>
      <c r="R108" s="36">
        <f>$H108*Multipliers!J254</f>
        <v>1.3393918452668532E-4</v>
      </c>
      <c r="S108" s="36">
        <f t="shared" si="22"/>
        <v>1.4990487652346191E-4</v>
      </c>
      <c r="T108" s="36">
        <v>0</v>
      </c>
      <c r="U108" s="36">
        <f>$H108*Multipliers!M254</f>
        <v>5.3144279789518429E-5</v>
      </c>
      <c r="V108" s="36">
        <f>$H108*Multipliers!N254</f>
        <v>4.7617221966561639E-4</v>
      </c>
      <c r="W108" s="36">
        <f t="shared" si="23"/>
        <v>5.2931649945513486E-4</v>
      </c>
    </row>
    <row r="109" spans="3:23" x14ac:dyDescent="0.2">
      <c r="C109" s="403" t="s">
        <v>401</v>
      </c>
      <c r="D109" s="8">
        <f>$D$147*DefaultData!X62+$D$148*DefaultData!X63+$D$149*DefaultData!X64+$D$150*DefaultData!X65+$D$151*DefaultData!X66+$D$152*DefaultData!X67+$D$153*DefaultData!X68+$D$154*DefaultData!X69+$D$155*DefaultData!X70+$D$156*DefaultData!X71+$D$157*DefaultData!X72+$D$158*DefaultData!X73+$D$159*DefaultData!X74+$D$160*DefaultData!X75+$D$161*DefaultData!X76+$D$162*DefaultData!X77+$D$163*DefaultData!X78+$D$164*DefaultData!X79+$D$165*DefaultData!X80+$D$166*DefaultData!X81+$D$167*DefaultData!X82+$D$168*DefaultData!X83</f>
        <v>0</v>
      </c>
      <c r="E109" s="8"/>
      <c r="F109" s="8"/>
      <c r="G109" s="8">
        <f t="shared" si="17"/>
        <v>0</v>
      </c>
      <c r="H109" s="18">
        <f t="shared" si="16"/>
        <v>0</v>
      </c>
      <c r="I109" s="8"/>
      <c r="J109" s="18"/>
      <c r="L109" s="80">
        <v>0</v>
      </c>
      <c r="M109" s="80">
        <f>$H109*Multipliers!E255</f>
        <v>0</v>
      </c>
      <c r="N109" s="80">
        <f>$H109*Multipliers!F255</f>
        <v>0</v>
      </c>
      <c r="O109" s="80">
        <f t="shared" si="21"/>
        <v>0</v>
      </c>
      <c r="P109" s="36">
        <v>0</v>
      </c>
      <c r="Q109" s="36">
        <f>$H109*Multipliers!I255</f>
        <v>0</v>
      </c>
      <c r="R109" s="36">
        <f>$H109*Multipliers!J255</f>
        <v>0</v>
      </c>
      <c r="S109" s="36">
        <f t="shared" si="22"/>
        <v>0</v>
      </c>
      <c r="T109" s="36">
        <v>0</v>
      </c>
      <c r="U109" s="36">
        <f>$H109*Multipliers!M255</f>
        <v>0</v>
      </c>
      <c r="V109" s="36">
        <f>$H109*Multipliers!N255</f>
        <v>0</v>
      </c>
      <c r="W109" s="36">
        <f t="shared" si="23"/>
        <v>0</v>
      </c>
    </row>
    <row r="110" spans="3:23" ht="15" x14ac:dyDescent="0.2">
      <c r="C110" s="6" t="s">
        <v>4</v>
      </c>
      <c r="D110" s="8">
        <f>SUM(D88:D109)</f>
        <v>6561.0933333333342</v>
      </c>
      <c r="E110" s="8"/>
      <c r="F110" s="8"/>
      <c r="G110" s="8">
        <f>SUM(G88:G109)</f>
        <v>6561.0933333333342</v>
      </c>
      <c r="H110" s="20">
        <f>SUM(H88:H109)</f>
        <v>6.4260624823908553E-3</v>
      </c>
      <c r="I110" s="8"/>
      <c r="J110" s="18"/>
      <c r="K110" s="25" t="s">
        <v>4</v>
      </c>
      <c r="L110" s="80">
        <f>SUM(L88:L109)</f>
        <v>2.1422131769296936E-2</v>
      </c>
      <c r="M110" s="80">
        <f>SUM(M88:M109)</f>
        <v>1.3920186896202455E-2</v>
      </c>
      <c r="N110" s="80">
        <f>SUM(N88:N109)</f>
        <v>2.2198728407614079E-2</v>
      </c>
      <c r="O110" s="80">
        <f>SUM(O88:O109)</f>
        <v>5.7541047073113478E-2</v>
      </c>
      <c r="P110" s="36">
        <f>SUM(P88:P109)</f>
        <v>1.4531261162015162E-3</v>
      </c>
      <c r="Q110" s="36">
        <f t="shared" ref="Q110:W110" si="24">SUM(Q88:Q109)</f>
        <v>7.2593410510027789E-4</v>
      </c>
      <c r="R110" s="36">
        <f t="shared" si="24"/>
        <v>9.6597187389244044E-4</v>
      </c>
      <c r="S110" s="36">
        <f t="shared" si="24"/>
        <v>3.1450320951942347E-3</v>
      </c>
      <c r="T110" s="36">
        <f t="shared" si="24"/>
        <v>4.2415141129838706E-3</v>
      </c>
      <c r="U110" s="36">
        <f t="shared" si="24"/>
        <v>2.467618636920783E-3</v>
      </c>
      <c r="V110" s="36">
        <f t="shared" si="24"/>
        <v>3.4328089069512605E-3</v>
      </c>
      <c r="W110" s="36">
        <f t="shared" si="24"/>
        <v>1.0141941656855915E-2</v>
      </c>
    </row>
    <row r="111" spans="3:23" ht="15" x14ac:dyDescent="0.2">
      <c r="C111" s="37"/>
      <c r="E111" s="8"/>
      <c r="L111" s="80"/>
      <c r="M111" s="80"/>
      <c r="N111" s="80"/>
      <c r="O111" s="80"/>
      <c r="P111" s="36"/>
      <c r="Q111" s="36"/>
      <c r="R111" s="36"/>
      <c r="S111" s="36"/>
      <c r="T111" s="36"/>
      <c r="U111" s="36"/>
      <c r="V111" s="36"/>
      <c r="W111" s="36"/>
    </row>
    <row r="112" spans="3:23" ht="15" x14ac:dyDescent="0.2">
      <c r="C112" s="6" t="s">
        <v>135</v>
      </c>
      <c r="E112" s="24" t="s">
        <v>214</v>
      </c>
      <c r="G112" s="8">
        <f>G68</f>
        <v>8965.3333333333321</v>
      </c>
      <c r="H112" s="18">
        <f>G112*G35/10^6</f>
        <v>8.7808219222804528E-3</v>
      </c>
      <c r="L112" s="32"/>
      <c r="M112" s="32"/>
      <c r="N112" s="32"/>
      <c r="O112" s="79"/>
      <c r="P112" s="36"/>
      <c r="Q112" s="36"/>
      <c r="R112" s="36"/>
      <c r="S112" s="36"/>
      <c r="T112" s="36"/>
      <c r="U112" s="36"/>
      <c r="V112" s="36"/>
      <c r="W112" s="36"/>
    </row>
    <row r="113" spans="3:24" ht="15" x14ac:dyDescent="0.2">
      <c r="C113" s="6" t="s">
        <v>135</v>
      </c>
      <c r="E113" s="24" t="s">
        <v>213</v>
      </c>
      <c r="F113" s="88">
        <f>IF(ProjectData!B$26="y",Calculations!K22,Calculations!L22)</f>
        <v>7.1186945514116112E-2</v>
      </c>
      <c r="G113" s="106">
        <f>G$112*F113</f>
        <v>638.21469551588893</v>
      </c>
      <c r="H113" s="92">
        <v>0</v>
      </c>
      <c r="O113" t="s">
        <v>142</v>
      </c>
      <c r="P113" s="1">
        <f>D35</f>
        <v>2010</v>
      </c>
      <c r="Q113" s="1" t="s">
        <v>139</v>
      </c>
      <c r="T113" s="1">
        <f>P113</f>
        <v>2010</v>
      </c>
      <c r="U113" s="1" t="s">
        <v>139</v>
      </c>
    </row>
    <row r="114" spans="3:24" x14ac:dyDescent="0.2">
      <c r="C114" s="33" t="s">
        <v>248</v>
      </c>
      <c r="D114" s="22">
        <f>IF(ProjectData!B26="y",Calculations!H29,I29)</f>
        <v>0.13843817369919845</v>
      </c>
      <c r="E114" s="282" t="s">
        <v>323</v>
      </c>
      <c r="F114" s="88">
        <f>IF(ProjectData!B$26="y",Calculations!K23,Calculations!L23)</f>
        <v>0.38451305448588391</v>
      </c>
      <c r="G114" s="106">
        <f>G$112*F114</f>
        <v>3447.2877044841107</v>
      </c>
      <c r="H114" s="92">
        <f>IF(ProjectData!B12="MyCounty",0,IF(ProjectData!B12="MyRegion",0,1))</f>
        <v>1</v>
      </c>
      <c r="J114" s="31" t="s">
        <v>155</v>
      </c>
      <c r="L114" s="14">
        <f>L110</f>
        <v>2.1422131769296936E-2</v>
      </c>
      <c r="M114" s="14">
        <f>M110</f>
        <v>1.3920186896202455E-2</v>
      </c>
      <c r="N114" s="14">
        <f>N110</f>
        <v>2.2198728407614079E-2</v>
      </c>
      <c r="O114" s="14">
        <f>O110</f>
        <v>5.7541047073113478E-2</v>
      </c>
      <c r="P114" s="18">
        <f>P110*$G64</f>
        <v>1.4836606552812587E-3</v>
      </c>
      <c r="Q114" s="18">
        <f>Q110*$G64</f>
        <v>7.4118815845074996E-4</v>
      </c>
      <c r="R114" s="18">
        <f>R110*$G64</f>
        <v>9.8626984087854227E-4</v>
      </c>
      <c r="S114" s="36">
        <f>+R114+Q114+P114</f>
        <v>3.2111186546105509E-3</v>
      </c>
      <c r="T114" s="18">
        <f>T110*$G64</f>
        <v>4.33064104904E-3</v>
      </c>
      <c r="U114" s="18">
        <f>U110*$G64</f>
        <v>2.5194707073383994E-3</v>
      </c>
      <c r="V114" s="18">
        <f>V110*$G64</f>
        <v>3.5049425205130273E-3</v>
      </c>
      <c r="W114" s="36">
        <f>+V114+U114+T114</f>
        <v>1.0355054276891425E-2</v>
      </c>
    </row>
    <row r="115" spans="3:24" x14ac:dyDescent="0.2">
      <c r="C115" s="33"/>
      <c r="D115" s="34"/>
      <c r="E115" s="288" t="s">
        <v>324</v>
      </c>
      <c r="G115" s="347">
        <f>G112-G113-G114</f>
        <v>4879.8309333333318</v>
      </c>
      <c r="J115" s="31" t="s">
        <v>150</v>
      </c>
      <c r="L115" s="14">
        <f>L114+L143</f>
        <v>0.15986030546849539</v>
      </c>
      <c r="M115" s="14">
        <f>M114+M143</f>
        <v>3.330934273554504E-2</v>
      </c>
      <c r="N115" s="14">
        <f>N114+N143</f>
        <v>4.5065543040748779E-2</v>
      </c>
      <c r="O115" s="14">
        <f>O114+O143</f>
        <v>9.9797017545590755E-2</v>
      </c>
      <c r="P115" s="18">
        <f>(P110+P143)*$G64</f>
        <v>9.8107792930986985E-3</v>
      </c>
      <c r="Q115" s="18">
        <f>(Q110+Q143)*$G64</f>
        <v>1.7052178908113429E-3</v>
      </c>
      <c r="R115" s="18">
        <f>(R110+R143)*$G64</f>
        <v>2.001588811857853E-3</v>
      </c>
      <c r="S115" s="36">
        <f>+R115+Q115+P115</f>
        <v>1.3517585995767894E-2</v>
      </c>
      <c r="T115" s="18">
        <f>(T110+T143)*$G64</f>
        <v>1.2657759686857442E-2</v>
      </c>
      <c r="U115" s="18">
        <f>(U110+U143)*$G64</f>
        <v>6.0946793793873527E-3</v>
      </c>
      <c r="V115" s="18">
        <f>(V110+V143)*$G64</f>
        <v>7.1120536583253414E-3</v>
      </c>
      <c r="W115" s="36">
        <f>+V115+U115+T115</f>
        <v>2.5864492724570136E-2</v>
      </c>
    </row>
    <row r="116" spans="3:24" x14ac:dyDescent="0.2">
      <c r="C116" s="33"/>
      <c r="D116" s="34"/>
    </row>
    <row r="117" spans="3:24" x14ac:dyDescent="0.2">
      <c r="C117" s="35" t="s">
        <v>137</v>
      </c>
      <c r="D117" s="22">
        <f>SUM(D114:D116)</f>
        <v>0.13843817369919845</v>
      </c>
    </row>
    <row r="118" spans="3:24" x14ac:dyDescent="0.2">
      <c r="C118" s="35"/>
      <c r="D118" s="22"/>
      <c r="L118" s="1" t="s">
        <v>156</v>
      </c>
    </row>
    <row r="119" spans="3:24" x14ac:dyDescent="0.2">
      <c r="C119" s="24" t="s">
        <v>154</v>
      </c>
      <c r="F119" s="10" t="s">
        <v>152</v>
      </c>
      <c r="H119" s="31" t="s">
        <v>228</v>
      </c>
      <c r="I119" s="19"/>
      <c r="L119" s="11" t="s">
        <v>55</v>
      </c>
      <c r="M119" s="11"/>
      <c r="N119" s="11"/>
      <c r="O119" s="11"/>
      <c r="P119" s="11" t="s">
        <v>146</v>
      </c>
      <c r="Q119" s="11"/>
      <c r="R119" s="11"/>
      <c r="S119" s="11"/>
      <c r="T119" s="11" t="s">
        <v>147</v>
      </c>
    </row>
    <row r="120" spans="3:24" x14ac:dyDescent="0.2">
      <c r="F120" s="10" t="s">
        <v>153</v>
      </c>
      <c r="H120" s="19">
        <f>H87</f>
        <v>2008</v>
      </c>
      <c r="I120" s="31" t="s">
        <v>139</v>
      </c>
      <c r="L120" s="11" t="s">
        <v>121</v>
      </c>
      <c r="M120" s="11" t="s">
        <v>122</v>
      </c>
      <c r="N120" s="11" t="s">
        <v>123</v>
      </c>
      <c r="O120" s="11" t="s">
        <v>4</v>
      </c>
      <c r="P120" s="11" t="s">
        <v>121</v>
      </c>
      <c r="Q120" s="11" t="s">
        <v>122</v>
      </c>
      <c r="R120" s="11" t="s">
        <v>123</v>
      </c>
      <c r="S120" s="11" t="s">
        <v>4</v>
      </c>
      <c r="T120" s="11" t="s">
        <v>121</v>
      </c>
      <c r="U120" s="11" t="s">
        <v>122</v>
      </c>
      <c r="V120" s="11" t="s">
        <v>123</v>
      </c>
      <c r="W120" s="11" t="s">
        <v>4</v>
      </c>
    </row>
    <row r="121" spans="3:24" x14ac:dyDescent="0.2">
      <c r="C121" s="403" t="s">
        <v>388</v>
      </c>
      <c r="F121" s="8">
        <f>G$115*Multipliers!Q234</f>
        <v>19.441254604952555</v>
      </c>
      <c r="H121" s="18">
        <f t="shared" ref="H121:H134" si="25">F121*G$35/10^6</f>
        <v>1.9041143065712735E-5</v>
      </c>
      <c r="L121" s="11"/>
      <c r="M121" s="80">
        <f>$H121*Multipliers!E234</f>
        <v>4.7120190139289238E-5</v>
      </c>
      <c r="N121" s="80">
        <f>$H121*Multipliers!F234</f>
        <v>5.7190699394517256E-5</v>
      </c>
      <c r="O121" s="80">
        <f>N121+M121</f>
        <v>1.0431088953380649E-4</v>
      </c>
      <c r="P121" s="11"/>
      <c r="Q121" s="36">
        <f>$H121*Multipliers!I234</f>
        <v>2.0221866001856641E-6</v>
      </c>
      <c r="R121" s="36">
        <f>$H121*Multipliers!J234</f>
        <v>2.4864890843682891E-6</v>
      </c>
      <c r="S121" s="36">
        <f>R121+Q121</f>
        <v>4.5086756845539536E-6</v>
      </c>
      <c r="T121" s="36">
        <f>$H121*Multipliers!L234</f>
        <v>1.9041143065712735E-5</v>
      </c>
      <c r="U121" s="36">
        <f>$H121*Multipliers!M234</f>
        <v>8.5445748511702086E-6</v>
      </c>
      <c r="V121" s="36">
        <f>$H121*Multipliers!N234</f>
        <v>8.8326619229176102E-6</v>
      </c>
      <c r="W121" s="36">
        <f>V121+U121</f>
        <v>1.7377236774087817E-5</v>
      </c>
    </row>
    <row r="122" spans="3:24" x14ac:dyDescent="0.2">
      <c r="C122" s="403" t="s">
        <v>124</v>
      </c>
      <c r="D122" s="8"/>
      <c r="F122" s="8">
        <f>G$115*Multipliers!Q235</f>
        <v>2.5242035145126393E-2</v>
      </c>
      <c r="H122" s="18">
        <f t="shared" si="25"/>
        <v>2.4722540403625021E-8</v>
      </c>
      <c r="J122" s="69"/>
      <c r="K122" s="69"/>
      <c r="L122" s="69"/>
      <c r="M122" s="80">
        <f>$H122*Multipliers!E235</f>
        <v>5.1249471466229294E-8</v>
      </c>
      <c r="N122" s="80">
        <f>$H122*Multipliers!F235</f>
        <v>5.9937529615174237E-8</v>
      </c>
      <c r="O122" s="80">
        <f t="shared" ref="O122:O134" si="26">N122+M122</f>
        <v>1.1118700108140352E-7</v>
      </c>
      <c r="P122" s="36"/>
      <c r="Q122" s="36">
        <f>$H122*Multipliers!I235</f>
        <v>2.8402734270187562E-9</v>
      </c>
      <c r="R122" s="36">
        <f>$H122*Multipliers!J235</f>
        <v>2.605716058281317E-9</v>
      </c>
      <c r="S122" s="36">
        <f t="shared" ref="S122:S134" si="27">R122+Q122</f>
        <v>5.4459894853000736E-9</v>
      </c>
      <c r="T122" s="36">
        <f>$H122*Multipliers!L235</f>
        <v>2.4722540403625021E-8</v>
      </c>
      <c r="U122" s="36">
        <f>$H122*Multipliers!M235</f>
        <v>9.4499246227628551E-9</v>
      </c>
      <c r="V122" s="36">
        <f>$H122*Multipliers!N235</f>
        <v>9.2559044703857442E-9</v>
      </c>
      <c r="W122" s="36">
        <f t="shared" ref="W122:W134" si="28">V122+U122</f>
        <v>1.8705829093148601E-8</v>
      </c>
    </row>
    <row r="123" spans="3:24" x14ac:dyDescent="0.2">
      <c r="C123" s="403" t="s">
        <v>56</v>
      </c>
      <c r="D123" s="8"/>
      <c r="F123" s="8">
        <f>G$115*Multipliers!Q236</f>
        <v>0</v>
      </c>
      <c r="H123" s="18">
        <f t="shared" si="25"/>
        <v>0</v>
      </c>
      <c r="J123" s="69"/>
      <c r="K123" s="69"/>
      <c r="L123" s="69"/>
      <c r="M123" s="80">
        <f>$H123*Multipliers!E236</f>
        <v>0</v>
      </c>
      <c r="N123" s="80">
        <f>$H123*Multipliers!F236</f>
        <v>0</v>
      </c>
      <c r="O123" s="80">
        <f t="shared" si="26"/>
        <v>0</v>
      </c>
      <c r="P123" s="36"/>
      <c r="Q123" s="36">
        <f>$H123*Multipliers!I236</f>
        <v>0</v>
      </c>
      <c r="R123" s="36">
        <f>$H123*Multipliers!J236</f>
        <v>0</v>
      </c>
      <c r="S123" s="36">
        <f t="shared" si="27"/>
        <v>0</v>
      </c>
      <c r="T123" s="36">
        <f>$H123*Multipliers!L236</f>
        <v>0</v>
      </c>
      <c r="U123" s="36">
        <f>$H123*Multipliers!M236</f>
        <v>0</v>
      </c>
      <c r="V123" s="36">
        <f>$H123*Multipliers!N236</f>
        <v>0</v>
      </c>
      <c r="W123" s="36">
        <f t="shared" si="28"/>
        <v>0</v>
      </c>
    </row>
    <row r="124" spans="3:24" x14ac:dyDescent="0.2">
      <c r="C124" s="403" t="s">
        <v>389</v>
      </c>
      <c r="D124" s="8"/>
      <c r="F124" s="8">
        <f>G$115*Multipliers!Q237</f>
        <v>0</v>
      </c>
      <c r="H124" s="18">
        <f t="shared" si="25"/>
        <v>0</v>
      </c>
      <c r="J124" s="69"/>
      <c r="K124" s="69"/>
      <c r="L124" s="69"/>
      <c r="M124" s="80">
        <f>$H124*Multipliers!E237</f>
        <v>0</v>
      </c>
      <c r="N124" s="80">
        <f>$H124*Multipliers!F237</f>
        <v>0</v>
      </c>
      <c r="O124" s="80">
        <f t="shared" si="26"/>
        <v>0</v>
      </c>
      <c r="P124" s="36"/>
      <c r="Q124" s="36">
        <f>$H124*Multipliers!I237</f>
        <v>0</v>
      </c>
      <c r="R124" s="36">
        <f>$H124*Multipliers!J237</f>
        <v>0</v>
      </c>
      <c r="S124" s="36">
        <f t="shared" si="27"/>
        <v>0</v>
      </c>
      <c r="T124" s="36">
        <f>$H124*Multipliers!L237</f>
        <v>0</v>
      </c>
      <c r="U124" s="36">
        <f>$H124*Multipliers!M237</f>
        <v>0</v>
      </c>
      <c r="V124" s="36">
        <f>$H124*Multipliers!N237</f>
        <v>0</v>
      </c>
      <c r="W124" s="36">
        <f t="shared" si="28"/>
        <v>0</v>
      </c>
      <c r="X124" s="23"/>
    </row>
    <row r="125" spans="3:24" x14ac:dyDescent="0.2">
      <c r="C125" s="403" t="s">
        <v>390</v>
      </c>
      <c r="D125" s="8"/>
      <c r="F125" s="8">
        <f>G$115*Multipliers!Q238</f>
        <v>0</v>
      </c>
      <c r="H125" s="18">
        <f t="shared" si="25"/>
        <v>0</v>
      </c>
      <c r="J125" s="69"/>
      <c r="K125" s="69"/>
      <c r="L125" s="69"/>
      <c r="M125" s="80">
        <f>$H125*Multipliers!E238</f>
        <v>0</v>
      </c>
      <c r="N125" s="80">
        <f>$H125*Multipliers!F238</f>
        <v>0</v>
      </c>
      <c r="O125" s="80">
        <f t="shared" si="26"/>
        <v>0</v>
      </c>
      <c r="P125" s="36"/>
      <c r="Q125" s="36">
        <f>$H125*Multipliers!I238</f>
        <v>0</v>
      </c>
      <c r="R125" s="36">
        <f>$H125*Multipliers!J238</f>
        <v>0</v>
      </c>
      <c r="S125" s="36">
        <f t="shared" si="27"/>
        <v>0</v>
      </c>
      <c r="T125" s="36">
        <f>$H125*Multipliers!L238</f>
        <v>0</v>
      </c>
      <c r="U125" s="36">
        <f>$H125*Multipliers!M238</f>
        <v>0</v>
      </c>
      <c r="V125" s="36">
        <f>$H125*Multipliers!N238</f>
        <v>0</v>
      </c>
      <c r="W125" s="36">
        <f t="shared" si="28"/>
        <v>0</v>
      </c>
      <c r="X125" s="23"/>
    </row>
    <row r="126" spans="3:24" x14ac:dyDescent="0.2">
      <c r="C126" s="403" t="s">
        <v>125</v>
      </c>
      <c r="D126" s="8"/>
      <c r="F126" s="8">
        <f>G$115*Multipliers!Q239</f>
        <v>513.35287897063881</v>
      </c>
      <c r="G126" s="18"/>
      <c r="H126" s="18">
        <f t="shared" si="25"/>
        <v>5.0278779895127567E-4</v>
      </c>
      <c r="I126" s="69"/>
      <c r="J126" s="69"/>
      <c r="K126" s="69"/>
      <c r="L126" s="69"/>
      <c r="M126" s="80">
        <f>$H126*Multipliers!E239</f>
        <v>1.4232744678082465E-3</v>
      </c>
      <c r="N126" s="80">
        <f>$H126*Multipliers!F239</f>
        <v>1.2093121690284398E-3</v>
      </c>
      <c r="O126" s="80">
        <f t="shared" si="26"/>
        <v>2.6325866368366864E-3</v>
      </c>
      <c r="P126" s="36"/>
      <c r="Q126" s="36">
        <f>$H126*Multipliers!I239</f>
        <v>8.2656349401518951E-5</v>
      </c>
      <c r="R126" s="36">
        <f>$H126*Multipliers!J239</f>
        <v>5.2628939453856083E-5</v>
      </c>
      <c r="S126" s="36">
        <f t="shared" si="27"/>
        <v>1.3528528885537502E-4</v>
      </c>
      <c r="T126" s="36">
        <f>$H126*Multipliers!L239</f>
        <v>5.0278779895127567E-4</v>
      </c>
      <c r="U126" s="36">
        <f>$H126*Multipliers!M239</f>
        <v>3.222101562269987E-4</v>
      </c>
      <c r="V126" s="36">
        <f>$H126*Multipliers!N239</f>
        <v>1.8703967290368019E-4</v>
      </c>
      <c r="W126" s="36">
        <f t="shared" si="28"/>
        <v>5.0924982913067886E-4</v>
      </c>
    </row>
    <row r="127" spans="3:24" x14ac:dyDescent="0.2">
      <c r="C127" s="403" t="s">
        <v>126</v>
      </c>
      <c r="D127" s="8"/>
      <c r="F127" s="8">
        <f>G$115*Multipliers!Q240</f>
        <v>2.0465730862316411E-2</v>
      </c>
      <c r="G127" s="18"/>
      <c r="H127" s="18">
        <f t="shared" si="25"/>
        <v>2.0044535047366105E-8</v>
      </c>
      <c r="I127" s="69"/>
      <c r="J127" s="69"/>
      <c r="K127" s="69"/>
      <c r="L127" s="69"/>
      <c r="M127" s="80">
        <f>$H127*Multipliers!E240</f>
        <v>5.7752659972057394E-8</v>
      </c>
      <c r="N127" s="80">
        <f>$H127*Multipliers!F240</f>
        <v>5.3521815731399528E-8</v>
      </c>
      <c r="O127" s="80">
        <f t="shared" si="26"/>
        <v>1.1127447570345692E-7</v>
      </c>
      <c r="P127" s="36"/>
      <c r="Q127" s="36">
        <f>$H127*Multipliers!I240</f>
        <v>3.3433371925286244E-9</v>
      </c>
      <c r="R127" s="36">
        <f>$H127*Multipliers!J240</f>
        <v>2.3295799928253515E-9</v>
      </c>
      <c r="S127" s="36">
        <f t="shared" si="27"/>
        <v>5.6729171853539755E-9</v>
      </c>
      <c r="T127" s="36">
        <f>$H127*Multipliers!L240</f>
        <v>2.0044535047366105E-8</v>
      </c>
      <c r="U127" s="36">
        <f>$H127*Multipliers!M240</f>
        <v>1.272441814034958E-8</v>
      </c>
      <c r="V127" s="36">
        <f>$H127*Multipliers!N240</f>
        <v>8.279729051011785E-9</v>
      </c>
      <c r="W127" s="36">
        <f t="shared" si="28"/>
        <v>2.1004147191361364E-8</v>
      </c>
    </row>
    <row r="128" spans="3:24" x14ac:dyDescent="0.2">
      <c r="C128" s="403" t="s">
        <v>127</v>
      </c>
      <c r="D128" s="8"/>
      <c r="F128" s="8">
        <f>G$115*Multipliers!Q241</f>
        <v>8.6764700996387306E-2</v>
      </c>
      <c r="G128" s="18"/>
      <c r="H128" s="18">
        <f t="shared" si="25"/>
        <v>8.4979036502363165E-8</v>
      </c>
      <c r="I128" s="69"/>
      <c r="J128" s="69"/>
      <c r="K128" s="69"/>
      <c r="L128" s="69"/>
      <c r="M128" s="80">
        <f>$H128*Multipliers!E241</f>
        <v>2.3178659959865481E-7</v>
      </c>
      <c r="N128" s="80">
        <f>$H128*Multipliers!F241</f>
        <v>2.3091306464296266E-7</v>
      </c>
      <c r="O128" s="80">
        <f t="shared" si="26"/>
        <v>4.626996642416175E-7</v>
      </c>
      <c r="P128" s="36"/>
      <c r="Q128" s="36">
        <f>$H128*Multipliers!I241</f>
        <v>1.3812690444557503E-8</v>
      </c>
      <c r="R128" s="36">
        <f>$H128*Multipliers!J241</f>
        <v>1.0051456013812065E-8</v>
      </c>
      <c r="S128" s="36">
        <f t="shared" si="27"/>
        <v>2.3864146458369568E-8</v>
      </c>
      <c r="T128" s="36">
        <f>$H128*Multipliers!L241</f>
        <v>8.4979036502363165E-8</v>
      </c>
      <c r="U128" s="36">
        <f>$H128*Multipliers!M241</f>
        <v>5.1040050786977585E-8</v>
      </c>
      <c r="V128" s="36">
        <f>$H128*Multipliers!N241</f>
        <v>3.5725880331565938E-8</v>
      </c>
      <c r="W128" s="36">
        <f t="shared" si="28"/>
        <v>8.6765931118543517E-8</v>
      </c>
    </row>
    <row r="129" spans="3:23" x14ac:dyDescent="0.2">
      <c r="C129" s="403" t="s">
        <v>391</v>
      </c>
      <c r="D129" s="8"/>
      <c r="F129" s="8">
        <f>G$115*Multipliers!Q242</f>
        <v>0.2288091212826836</v>
      </c>
      <c r="G129" s="18"/>
      <c r="H129" s="18">
        <f t="shared" si="25"/>
        <v>2.2410010576034157E-7</v>
      </c>
      <c r="I129" s="69"/>
      <c r="J129" s="69"/>
      <c r="K129" s="69"/>
      <c r="L129" s="69"/>
      <c r="M129" s="80">
        <f>$H129*Multipliers!E242</f>
        <v>5.3990789497165982E-7</v>
      </c>
      <c r="N129" s="80">
        <f>$H129*Multipliers!F242</f>
        <v>5.742142047448721E-7</v>
      </c>
      <c r="O129" s="80">
        <f t="shared" si="26"/>
        <v>1.1141220997165319E-6</v>
      </c>
      <c r="P129" s="36"/>
      <c r="Q129" s="36">
        <f>$H129*Multipliers!I242</f>
        <v>3.3269334180212022E-8</v>
      </c>
      <c r="R129" s="36">
        <f>$H129*Multipliers!J242</f>
        <v>2.499664943839414E-8</v>
      </c>
      <c r="S129" s="36">
        <f t="shared" si="27"/>
        <v>5.8265983618606166E-8</v>
      </c>
      <c r="T129" s="36">
        <f>$H129*Multipliers!L242</f>
        <v>2.2410010576034157E-7</v>
      </c>
      <c r="U129" s="36">
        <f>$H129*Multipliers!M242</f>
        <v>1.2382572934738829E-7</v>
      </c>
      <c r="V129" s="36">
        <f>$H129*Multipliers!N242</f>
        <v>8.884805625229515E-8</v>
      </c>
      <c r="W129" s="36">
        <f t="shared" si="28"/>
        <v>2.1267378559968342E-7</v>
      </c>
    </row>
    <row r="130" spans="3:23" x14ac:dyDescent="0.2">
      <c r="C130" s="403" t="s">
        <v>392</v>
      </c>
      <c r="D130" s="8"/>
      <c r="F130" s="8">
        <f>G$115*Multipliers!Q243</f>
        <v>0.42479339586943843</v>
      </c>
      <c r="G130" s="18"/>
      <c r="H130" s="18">
        <f t="shared" si="25"/>
        <v>4.1605091793095529E-7</v>
      </c>
      <c r="I130" s="69"/>
      <c r="J130" s="69"/>
      <c r="K130" s="69"/>
      <c r="L130" s="69"/>
      <c r="M130" s="80">
        <f>$H130*Multipliers!E243</f>
        <v>1.2956860521820638E-6</v>
      </c>
      <c r="N130" s="80">
        <f>$H130*Multipliers!F243</f>
        <v>1.1294001527603138E-6</v>
      </c>
      <c r="O130" s="80">
        <f t="shared" si="26"/>
        <v>2.4250862049423777E-6</v>
      </c>
      <c r="P130" s="36"/>
      <c r="Q130" s="36">
        <f>$H130*Multipliers!I243</f>
        <v>7.4218255367851912E-8</v>
      </c>
      <c r="R130" s="36">
        <f>$H130*Multipliers!J243</f>
        <v>4.9158980859425513E-8</v>
      </c>
      <c r="S130" s="36">
        <f t="shared" si="27"/>
        <v>1.2337723622727743E-7</v>
      </c>
      <c r="T130" s="36">
        <f>$H130*Multipliers!L243</f>
        <v>4.1605091793095529E-7</v>
      </c>
      <c r="U130" s="36">
        <f>$H130*Multipliers!M243</f>
        <v>2.7884952204524855E-7</v>
      </c>
      <c r="V130" s="36">
        <f>$H130*Multipliers!N243</f>
        <v>1.7472098325381767E-7</v>
      </c>
      <c r="W130" s="36">
        <f t="shared" si="28"/>
        <v>4.5357050529906619E-7</v>
      </c>
    </row>
    <row r="131" spans="3:23" x14ac:dyDescent="0.2">
      <c r="C131" s="403" t="s">
        <v>393</v>
      </c>
      <c r="D131" s="8"/>
      <c r="F131" s="8">
        <f>(G$115*Multipliers!Q244)</f>
        <v>0</v>
      </c>
      <c r="G131" s="18"/>
      <c r="H131" s="18">
        <f t="shared" si="25"/>
        <v>0</v>
      </c>
      <c r="I131" s="69"/>
      <c r="J131" s="69"/>
      <c r="K131" s="69"/>
      <c r="L131" s="69"/>
      <c r="M131" s="80">
        <f>$H131*Multipliers!E244</f>
        <v>0</v>
      </c>
      <c r="N131" s="80">
        <f>$H131*Multipliers!F244</f>
        <v>0</v>
      </c>
      <c r="O131" s="80">
        <f t="shared" si="26"/>
        <v>0</v>
      </c>
      <c r="P131" s="36"/>
      <c r="Q131" s="36">
        <f>$H131*Multipliers!I244</f>
        <v>0</v>
      </c>
      <c r="R131" s="36">
        <f>$H131*Multipliers!J244</f>
        <v>0</v>
      </c>
      <c r="S131" s="36">
        <f t="shared" si="27"/>
        <v>0</v>
      </c>
      <c r="T131" s="36">
        <f>$H131*Multipliers!L244</f>
        <v>0</v>
      </c>
      <c r="U131" s="36">
        <f>$H131*Multipliers!M244</f>
        <v>0</v>
      </c>
      <c r="V131" s="36">
        <f>$H131*Multipliers!N244</f>
        <v>0</v>
      </c>
      <c r="W131" s="36">
        <f t="shared" si="28"/>
        <v>0</v>
      </c>
    </row>
    <row r="132" spans="3:23" x14ac:dyDescent="0.2">
      <c r="C132" s="403" t="s">
        <v>57</v>
      </c>
      <c r="D132" s="8"/>
      <c r="F132" s="8">
        <f>G$115*Multipliers!Q245</f>
        <v>266.75592880745995</v>
      </c>
      <c r="G132" s="18"/>
      <c r="H132" s="18">
        <f t="shared" si="25"/>
        <v>2.6126594745361713E-4</v>
      </c>
      <c r="I132" s="69"/>
      <c r="J132" s="69"/>
      <c r="K132" s="69"/>
      <c r="L132" s="69"/>
      <c r="M132" s="80">
        <f>$H132*Multipliers!E245</f>
        <v>6.3908904910687126E-4</v>
      </c>
      <c r="N132" s="80">
        <f>$H132*Multipliers!F245</f>
        <v>9.2665286569347635E-4</v>
      </c>
      <c r="O132" s="80">
        <f t="shared" si="26"/>
        <v>1.5657419148003477E-3</v>
      </c>
      <c r="P132" s="36"/>
      <c r="Q132" s="36">
        <f>$H132*Multipliers!I245</f>
        <v>3.3076276023846445E-5</v>
      </c>
      <c r="R132" s="36">
        <f>$H132*Multipliers!J245</f>
        <v>4.0324817747393335E-5</v>
      </c>
      <c r="S132" s="36">
        <f t="shared" si="27"/>
        <v>7.340109377123978E-5</v>
      </c>
      <c r="T132" s="36">
        <f>$H132*Multipliers!L245</f>
        <v>2.6126594745361713E-4</v>
      </c>
      <c r="U132" s="36">
        <f>$H132*Multipliers!M245</f>
        <v>1.0881056364319979E-4</v>
      </c>
      <c r="V132" s="36">
        <f>$H132*Multipliers!N245</f>
        <v>1.4330683303296333E-4</v>
      </c>
      <c r="W132" s="36">
        <f t="shared" si="28"/>
        <v>2.5211739667616311E-4</v>
      </c>
    </row>
    <row r="133" spans="3:23" x14ac:dyDescent="0.2">
      <c r="C133" s="403" t="s">
        <v>394</v>
      </c>
      <c r="D133" s="8"/>
      <c r="F133" s="8">
        <f>G$115*Multipliers!Q246</f>
        <v>593.01703337549395</v>
      </c>
      <c r="G133" s="18"/>
      <c r="H133" s="18">
        <f t="shared" si="25"/>
        <v>5.8081242195299565E-4</v>
      </c>
      <c r="I133" s="69"/>
      <c r="J133" s="69"/>
      <c r="K133" s="69"/>
      <c r="L133" s="69"/>
      <c r="M133" s="80">
        <f>$H133*Multipliers!E246</f>
        <v>1.2599038119681042E-3</v>
      </c>
      <c r="N133" s="80">
        <f>$H133*Multipliers!F246</f>
        <v>2.0899544974747951E-3</v>
      </c>
      <c r="O133" s="80">
        <f t="shared" si="26"/>
        <v>3.3498583094428991E-3</v>
      </c>
      <c r="P133" s="36"/>
      <c r="Q133" s="36">
        <f>$H133*Multipliers!I246</f>
        <v>5.9170979332676482E-5</v>
      </c>
      <c r="R133" s="36">
        <f>$H133*Multipliers!J246</f>
        <v>9.0933371073294344E-5</v>
      </c>
      <c r="S133" s="36">
        <f t="shared" si="27"/>
        <v>1.5010435040597081E-4</v>
      </c>
      <c r="T133" s="36">
        <f>$H133*Multipliers!L246</f>
        <v>5.8081242195299565E-4</v>
      </c>
      <c r="U133" s="36">
        <f>$H133*Multipliers!M246</f>
        <v>2.122873401438721E-4</v>
      </c>
      <c r="V133" s="36">
        <f>$H133*Multipliers!N246</f>
        <v>3.2313554064975386E-4</v>
      </c>
      <c r="W133" s="36">
        <f t="shared" si="28"/>
        <v>5.3542288079362599E-4</v>
      </c>
    </row>
    <row r="134" spans="3:23" x14ac:dyDescent="0.2">
      <c r="C134" s="403" t="s">
        <v>128</v>
      </c>
      <c r="D134" s="8"/>
      <c r="F134" s="8">
        <f>(G$115*Multipliers!Q247)</f>
        <v>173.33754268564974</v>
      </c>
      <c r="G134" s="18"/>
      <c r="H134" s="18">
        <f t="shared" si="25"/>
        <v>1.6977016226595523E-4</v>
      </c>
      <c r="I134" s="69"/>
      <c r="J134" s="69"/>
      <c r="K134" s="69"/>
      <c r="L134" s="69"/>
      <c r="M134" s="80">
        <f>$H134*Multipliers!E247</f>
        <v>3.4306949891176725E-4</v>
      </c>
      <c r="N134" s="80">
        <f>$H134*Multipliers!F247</f>
        <v>4.2800149214698312E-4</v>
      </c>
      <c r="O134" s="80">
        <f t="shared" si="26"/>
        <v>7.7107099105875037E-4</v>
      </c>
      <c r="P134" s="36"/>
      <c r="Q134" s="36">
        <f>$H134*Multipliers!I247</f>
        <v>1.8244335132798622E-5</v>
      </c>
      <c r="R134" s="36">
        <f>$H134*Multipliers!J247</f>
        <v>1.8609595078097185E-5</v>
      </c>
      <c r="S134" s="36">
        <f t="shared" si="27"/>
        <v>3.6853930210895807E-5</v>
      </c>
      <c r="T134" s="36">
        <f>$H134*Multipliers!L247</f>
        <v>1.6977016226595523E-4</v>
      </c>
      <c r="U134" s="36">
        <f>$H134*Multipliers!M247</f>
        <v>6.8192022768368395E-5</v>
      </c>
      <c r="V134" s="36">
        <f>$H134*Multipliers!N247</f>
        <v>6.6108780368014374E-5</v>
      </c>
      <c r="W134" s="36">
        <f t="shared" si="28"/>
        <v>1.3430080313638277E-4</v>
      </c>
    </row>
    <row r="135" spans="3:23" x14ac:dyDescent="0.2">
      <c r="C135" s="403" t="s">
        <v>395</v>
      </c>
      <c r="D135" s="8"/>
      <c r="F135" s="8">
        <f>G$115*Multipliers!Q248+(G114*H114)</f>
        <v>3887.5295224284491</v>
      </c>
      <c r="G135" s="18"/>
      <c r="H135" s="18">
        <f t="shared" ref="H135:H142" si="29">F135*G$35/10^6</f>
        <v>3.8075220613532339E-3</v>
      </c>
      <c r="I135" s="69"/>
      <c r="J135" s="69"/>
      <c r="K135" s="69"/>
      <c r="L135" s="69"/>
      <c r="M135" s="80">
        <f>$H135*Multipliers!E248</f>
        <v>8.0035720434701845E-3</v>
      </c>
      <c r="N135" s="80">
        <f>$H135*Multipliers!F248</f>
        <v>8.5060068849565004E-3</v>
      </c>
      <c r="O135" s="80">
        <f t="shared" ref="O135:O142" si="30">N135+M135</f>
        <v>1.6509578928426687E-2</v>
      </c>
      <c r="P135" s="36"/>
      <c r="Q135" s="36">
        <f>$H135*Multipliers!I248</f>
        <v>3.7372077226103829E-4</v>
      </c>
      <c r="R135" s="36">
        <f>$H135*Multipliers!J248</f>
        <v>3.6961313476684853E-4</v>
      </c>
      <c r="S135" s="36">
        <f t="shared" ref="S135:S142" si="31">R135+Q135</f>
        <v>7.4333390702788682E-4</v>
      </c>
      <c r="T135" s="36">
        <f>$H135*Multipliers!L248</f>
        <v>3.8075220613532339E-3</v>
      </c>
      <c r="U135" s="36">
        <f>$H135*Multipliers!M248</f>
        <v>1.4579074581116971E-3</v>
      </c>
      <c r="V135" s="36">
        <f>$H135*Multipliers!N248</f>
        <v>1.3126243451131963E-3</v>
      </c>
      <c r="W135" s="36">
        <f t="shared" ref="W135:W142" si="32">V135+U135</f>
        <v>2.7705318032248934E-3</v>
      </c>
    </row>
    <row r="136" spans="3:23" x14ac:dyDescent="0.2">
      <c r="C136" s="403" t="s">
        <v>396</v>
      </c>
      <c r="D136" s="8"/>
      <c r="F136" s="8">
        <f>G$115*Multipliers!Q249</f>
        <v>194.99378588608499</v>
      </c>
      <c r="G136" s="18"/>
      <c r="H136" s="18">
        <f t="shared" si="29"/>
        <v>1.9098070826334729E-4</v>
      </c>
      <c r="I136" s="69"/>
      <c r="J136" s="69"/>
      <c r="K136" s="69"/>
      <c r="L136" s="69"/>
      <c r="M136" s="80">
        <f>$H136*Multipliers!E249</f>
        <v>5.1630929331338438E-4</v>
      </c>
      <c r="N136" s="80">
        <f>$H136*Multipliers!F249</f>
        <v>7.1322395316478725E-4</v>
      </c>
      <c r="O136" s="80">
        <f t="shared" si="30"/>
        <v>1.2295332464781717E-3</v>
      </c>
      <c r="P136" s="36"/>
      <c r="Q136" s="36">
        <f>$H136*Multipliers!I249</f>
        <v>2.8454267952728865E-5</v>
      </c>
      <c r="R136" s="36">
        <f>$H136*Multipliers!J249</f>
        <v>3.10324344787921E-5</v>
      </c>
      <c r="S136" s="36">
        <f t="shared" si="31"/>
        <v>5.9486702431520969E-5</v>
      </c>
      <c r="T136" s="36">
        <f>$H136*Multipliers!L249</f>
        <v>1.9098070826334729E-4</v>
      </c>
      <c r="U136" s="36">
        <f>$H136*Multipliers!M249</f>
        <v>9.1584844945997564E-5</v>
      </c>
      <c r="V136" s="36">
        <f>$H136*Multipliers!N249</f>
        <v>1.1027554483460716E-4</v>
      </c>
      <c r="W136" s="36">
        <f t="shared" si="32"/>
        <v>2.0186038978060471E-4</v>
      </c>
    </row>
    <row r="137" spans="3:23" x14ac:dyDescent="0.2">
      <c r="C137" s="403" t="s">
        <v>397</v>
      </c>
      <c r="D137" s="8"/>
      <c r="F137" s="8">
        <f>G$115*Multipliers!Q250</f>
        <v>56.32741241342621</v>
      </c>
      <c r="G137" s="18"/>
      <c r="H137" s="18">
        <f t="shared" si="29"/>
        <v>5.5168163787754129E-5</v>
      </c>
      <c r="I137" s="69"/>
      <c r="J137" s="69"/>
      <c r="K137" s="69"/>
      <c r="L137" s="69"/>
      <c r="M137" s="80">
        <f>$H137*Multipliers!E250</f>
        <v>1.5938055875331974E-4</v>
      </c>
      <c r="N137" s="80">
        <f>$H137*Multipliers!F250</f>
        <v>2.5516001803796537E-4</v>
      </c>
      <c r="O137" s="80">
        <f t="shared" si="30"/>
        <v>4.1454057679128512E-4</v>
      </c>
      <c r="P137" s="36"/>
      <c r="Q137" s="36">
        <f>$H137*Multipliers!I250</f>
        <v>7.7184502413683798E-6</v>
      </c>
      <c r="R137" s="36">
        <f>$H137*Multipliers!J250</f>
        <v>1.1098373377156751E-5</v>
      </c>
      <c r="S137" s="36">
        <f t="shared" si="31"/>
        <v>1.8816823618525131E-5</v>
      </c>
      <c r="T137" s="36">
        <f>$H137*Multipliers!L250</f>
        <v>5.5168163787754129E-5</v>
      </c>
      <c r="U137" s="36">
        <f>$H137*Multipliers!M250</f>
        <v>2.5931504767722378E-5</v>
      </c>
      <c r="V137" s="36">
        <f>$H137*Multipliers!N250</f>
        <v>3.9432552770048794E-5</v>
      </c>
      <c r="W137" s="36">
        <f t="shared" si="32"/>
        <v>6.5364057537771171E-5</v>
      </c>
    </row>
    <row r="138" spans="3:23" x14ac:dyDescent="0.2">
      <c r="C138" s="403" t="s">
        <v>398</v>
      </c>
      <c r="D138" s="8"/>
      <c r="F138" s="8">
        <f>G$115*Multipliers!Q251</f>
        <v>7.0586175497292984</v>
      </c>
      <c r="G138" s="18"/>
      <c r="H138" s="18">
        <f t="shared" si="29"/>
        <v>6.9133473812079756E-6</v>
      </c>
      <c r="I138" s="69"/>
      <c r="J138" s="69"/>
      <c r="K138" s="69"/>
      <c r="L138" s="69"/>
      <c r="M138" s="80">
        <f>$H138*Multipliers!E251</f>
        <v>1.8394863154654295E-5</v>
      </c>
      <c r="N138" s="80">
        <f>$H138*Multipliers!F251</f>
        <v>3.2064382142596765E-5</v>
      </c>
      <c r="O138" s="80">
        <f t="shared" si="30"/>
        <v>5.0459245297251057E-5</v>
      </c>
      <c r="P138" s="36"/>
      <c r="Q138" s="36">
        <f>$H138*Multipliers!I251</f>
        <v>8.8222069279065188E-7</v>
      </c>
      <c r="R138" s="36">
        <f>$H138*Multipliers!J251</f>
        <v>1.3941481553415807E-6</v>
      </c>
      <c r="S138" s="36">
        <f t="shared" si="31"/>
        <v>2.2763688481322324E-6</v>
      </c>
      <c r="T138" s="36">
        <f>$H138*Multipliers!L251</f>
        <v>6.9133473812079756E-6</v>
      </c>
      <c r="U138" s="36">
        <f>$H138*Multipliers!M251</f>
        <v>2.9932682198725416E-6</v>
      </c>
      <c r="V138" s="36">
        <f>$H138*Multipliers!N251</f>
        <v>4.9525380582356897E-6</v>
      </c>
      <c r="W138" s="36">
        <f t="shared" si="32"/>
        <v>7.9458062781082308E-6</v>
      </c>
    </row>
    <row r="139" spans="3:23" x14ac:dyDescent="0.2">
      <c r="C139" s="403" t="s">
        <v>399</v>
      </c>
      <c r="D139" s="8"/>
      <c r="F139" s="8">
        <f>G$115*Multipliers!Q252</f>
        <v>0.73697057011967237</v>
      </c>
      <c r="G139" s="18"/>
      <c r="H139" s="18">
        <f t="shared" si="29"/>
        <v>7.2180331701914907E-7</v>
      </c>
      <c r="I139" s="69"/>
      <c r="J139" s="69"/>
      <c r="K139" s="69"/>
      <c r="L139" s="69"/>
      <c r="M139" s="80">
        <f>$H139*Multipliers!E252</f>
        <v>2.2065924367767905E-6</v>
      </c>
      <c r="N139" s="80">
        <f>$H139*Multipliers!F252</f>
        <v>3.56863122637636E-6</v>
      </c>
      <c r="O139" s="80">
        <f t="shared" si="30"/>
        <v>5.7752236631531505E-6</v>
      </c>
      <c r="P139" s="36"/>
      <c r="Q139" s="36">
        <f>$H139*Multipliers!I252</f>
        <v>1.0961971932504902E-7</v>
      </c>
      <c r="R139" s="36">
        <f>$H139*Multipliers!J252</f>
        <v>1.5516855982529196E-7</v>
      </c>
      <c r="S139" s="36">
        <f t="shared" si="31"/>
        <v>2.6478827915034097E-7</v>
      </c>
      <c r="T139" s="36">
        <f>$H139*Multipliers!L252</f>
        <v>7.2180331701914907E-7</v>
      </c>
      <c r="U139" s="36">
        <f>$H139*Multipliers!M252</f>
        <v>3.6074092521554152E-7</v>
      </c>
      <c r="V139" s="36">
        <f>$H139*Multipliers!N252</f>
        <v>5.5122682963981558E-7</v>
      </c>
      <c r="W139" s="36">
        <f t="shared" si="32"/>
        <v>9.119677548553571E-7</v>
      </c>
    </row>
    <row r="140" spans="3:23" x14ac:dyDescent="0.2">
      <c r="C140" s="403" t="s">
        <v>400</v>
      </c>
      <c r="D140" s="8"/>
      <c r="F140" s="8">
        <f>G$115*Multipliers!Q253</f>
        <v>2583.8582590101441</v>
      </c>
      <c r="G140" s="18"/>
      <c r="H140" s="18">
        <f t="shared" si="29"/>
        <v>2.5306810579396582E-3</v>
      </c>
      <c r="I140" s="69"/>
      <c r="J140" s="69"/>
      <c r="K140" s="69"/>
      <c r="L140" s="69"/>
      <c r="M140" s="80">
        <f>$H140*Multipliers!E253</f>
        <v>6.9598978337363938E-3</v>
      </c>
      <c r="N140" s="80">
        <f>$H140*Multipliers!F253</f>
        <v>8.4846765166267206E-3</v>
      </c>
      <c r="O140" s="80">
        <f t="shared" si="30"/>
        <v>1.5444574350363114E-2</v>
      </c>
      <c r="P140" s="36"/>
      <c r="Q140" s="36">
        <f>$H140*Multipliers!I253</f>
        <v>3.371813434104955E-4</v>
      </c>
      <c r="R140" s="36">
        <f>$H140*Multipliers!J253</f>
        <v>3.6913483425964679E-4</v>
      </c>
      <c r="S140" s="36">
        <f t="shared" si="31"/>
        <v>7.0631617767014229E-4</v>
      </c>
      <c r="T140" s="36">
        <f>$H140*Multipliers!L253</f>
        <v>2.5306810579396582E-3</v>
      </c>
      <c r="U140" s="36">
        <f>$H140*Multipliers!M253</f>
        <v>1.1995837921146809E-3</v>
      </c>
      <c r="V140" s="36">
        <f>$H140*Multipliers!N253</f>
        <v>1.3116871301662558E-3</v>
      </c>
      <c r="W140" s="36">
        <f t="shared" si="32"/>
        <v>2.5112709222809369E-3</v>
      </c>
    </row>
    <row r="141" spans="3:23" x14ac:dyDescent="0.2">
      <c r="C141" s="403" t="s">
        <v>58</v>
      </c>
      <c r="D141" s="8"/>
      <c r="F141" s="8">
        <f>G$115*Multipliers!Q254+(G113*H113)</f>
        <v>29.923356531138062</v>
      </c>
      <c r="G141" s="18"/>
      <c r="H141" s="18">
        <f t="shared" si="29"/>
        <v>2.9307517662496032E-5</v>
      </c>
      <c r="I141" s="69"/>
      <c r="J141" s="69"/>
      <c r="K141" s="69"/>
      <c r="L141" s="69"/>
      <c r="M141" s="80">
        <f>$H141*Multipliers!E254</f>
        <v>1.4761253865399054E-5</v>
      </c>
      <c r="N141" s="80">
        <f>$H141*Multipliers!F254</f>
        <v>1.5895453647404785E-4</v>
      </c>
      <c r="O141" s="80">
        <f t="shared" si="30"/>
        <v>1.737157903394469E-4</v>
      </c>
      <c r="P141" s="36"/>
      <c r="Q141" s="36">
        <f>$H141*Multipliers!I254</f>
        <v>8.2519418230747288E-7</v>
      </c>
      <c r="R141" s="36">
        <f>$H141*Multipliers!J254</f>
        <v>6.9227087605562383E-6</v>
      </c>
      <c r="S141" s="36">
        <f t="shared" si="31"/>
        <v>7.7479029428637117E-6</v>
      </c>
      <c r="T141" s="36">
        <f>$H141*Multipliers!L254</f>
        <v>2.9307517662496032E-5</v>
      </c>
      <c r="U141" s="36">
        <f>$H141*Multipliers!M254</f>
        <v>2.7467867045215001E-6</v>
      </c>
      <c r="V141" s="36">
        <f>$H141*Multipliers!N254</f>
        <v>2.4611181621431441E-5</v>
      </c>
      <c r="W141" s="36">
        <f t="shared" si="32"/>
        <v>2.7357968325952942E-5</v>
      </c>
    </row>
    <row r="142" spans="3:23" x14ac:dyDescent="0.2">
      <c r="C142" s="403" t="s">
        <v>401</v>
      </c>
      <c r="D142" s="8"/>
      <c r="F142" s="8">
        <f>G$115*Multipliers!Q255</f>
        <v>0</v>
      </c>
      <c r="G142" s="18"/>
      <c r="H142" s="18">
        <f t="shared" si="29"/>
        <v>0</v>
      </c>
      <c r="I142" s="69"/>
      <c r="J142" s="69"/>
      <c r="K142" s="69"/>
      <c r="L142" s="69"/>
      <c r="M142" s="80">
        <f>$H142*Multipliers!E255</f>
        <v>0</v>
      </c>
      <c r="N142" s="80">
        <f>$H142*Multipliers!F255</f>
        <v>0</v>
      </c>
      <c r="O142" s="80">
        <f t="shared" si="30"/>
        <v>0</v>
      </c>
      <c r="P142" s="36"/>
      <c r="Q142" s="36">
        <f>$H142*Multipliers!I255</f>
        <v>0</v>
      </c>
      <c r="R142" s="36">
        <f>$H142*Multipliers!J255</f>
        <v>0</v>
      </c>
      <c r="S142" s="36">
        <f t="shared" si="31"/>
        <v>0</v>
      </c>
      <c r="T142" s="36">
        <f>$H142*Multipliers!L255</f>
        <v>0</v>
      </c>
      <c r="U142" s="36">
        <f>$H142*Multipliers!M255</f>
        <v>0</v>
      </c>
      <c r="V142" s="36">
        <f>$H142*Multipliers!N255</f>
        <v>0</v>
      </c>
      <c r="W142" s="36">
        <f t="shared" si="32"/>
        <v>0</v>
      </c>
    </row>
    <row r="143" spans="3:23" ht="15" x14ac:dyDescent="0.2">
      <c r="C143" s="6" t="s">
        <v>4</v>
      </c>
      <c r="D143" s="8"/>
      <c r="F143" s="8">
        <f>SUM(F121:F142)</f>
        <v>8327.1186378174407</v>
      </c>
      <c r="G143" s="18"/>
      <c r="H143" s="18">
        <f>SUM(H121:H142)</f>
        <v>8.1557420305299159E-3</v>
      </c>
      <c r="I143" s="69"/>
      <c r="J143" s="69"/>
      <c r="K143" s="69"/>
      <c r="L143" s="69">
        <f>IF(L145=0,0,D117)</f>
        <v>0.13843817369919845</v>
      </c>
      <c r="M143" s="80">
        <f>SUM(M121:M142)</f>
        <v>1.9389155839342583E-2</v>
      </c>
      <c r="N143" s="80">
        <f>SUM(N121:N142)</f>
        <v>2.28668146331347E-2</v>
      </c>
      <c r="O143" s="80">
        <f>SUM(O121:O142)</f>
        <v>4.2255970472477283E-2</v>
      </c>
      <c r="P143" s="36">
        <f>H143</f>
        <v>8.1557420305299159E-3</v>
      </c>
      <c r="Q143" s="36">
        <f>SUM(Q121:Q142)</f>
        <v>9.4418947884169243E-4</v>
      </c>
      <c r="R143" s="36">
        <f t="shared" ref="R143:W143" si="33">SUM(R121:R142)</f>
        <v>9.9442315717753935E-4</v>
      </c>
      <c r="S143" s="36">
        <f t="shared" si="33"/>
        <v>1.9386126360192318E-3</v>
      </c>
      <c r="T143" s="36">
        <f t="shared" si="33"/>
        <v>8.1557420305299159E-3</v>
      </c>
      <c r="U143" s="36">
        <f t="shared" si="33"/>
        <v>3.5016289430682599E-3</v>
      </c>
      <c r="V143" s="36">
        <f t="shared" si="33"/>
        <v>3.5328748388241031E-3</v>
      </c>
      <c r="W143" s="36">
        <f t="shared" si="33"/>
        <v>7.0345037818923635E-3</v>
      </c>
    </row>
    <row r="144" spans="3:23" ht="15" x14ac:dyDescent="0.2">
      <c r="C144" s="6"/>
      <c r="D144" s="8"/>
      <c r="F144" s="88"/>
      <c r="G144" s="20"/>
      <c r="I144" s="16"/>
      <c r="J144" s="16"/>
      <c r="K144" s="16"/>
      <c r="L144" s="16"/>
      <c r="M144" s="70"/>
      <c r="N144" s="70"/>
      <c r="O144" t="s">
        <v>142</v>
      </c>
      <c r="P144" s="1">
        <f>P113</f>
        <v>2010</v>
      </c>
      <c r="Q144" s="1" t="s">
        <v>139</v>
      </c>
      <c r="R144" s="70"/>
      <c r="S144" s="70"/>
      <c r="T144" s="70"/>
      <c r="W144" s="23"/>
    </row>
    <row r="145" spans="3:23" x14ac:dyDescent="0.2">
      <c r="C145" s="17" t="s">
        <v>204</v>
      </c>
      <c r="E145" s="17" t="s">
        <v>200</v>
      </c>
      <c r="F145" s="10"/>
      <c r="L145" s="417">
        <f>SUM(M150:M171)</f>
        <v>3.330934273554504E-2</v>
      </c>
      <c r="P145" s="18">
        <f t="shared" ref="P145:W145" si="34">P143*$G64</f>
        <v>8.3271186378174409E-3</v>
      </c>
      <c r="Q145" s="18">
        <f t="shared" si="34"/>
        <v>9.6402973236059289E-4</v>
      </c>
      <c r="R145" s="18">
        <f t="shared" si="34"/>
        <v>1.0153189709793109E-3</v>
      </c>
      <c r="S145" s="18">
        <f t="shared" si="34"/>
        <v>1.9793487033399038E-3</v>
      </c>
      <c r="T145" s="18">
        <f t="shared" si="34"/>
        <v>8.3271186378174409E-3</v>
      </c>
      <c r="U145" s="18">
        <f t="shared" si="34"/>
        <v>3.5752086720489532E-3</v>
      </c>
      <c r="V145" s="18">
        <f t="shared" si="34"/>
        <v>3.6071111378123137E-3</v>
      </c>
      <c r="W145" s="81">
        <f t="shared" si="34"/>
        <v>7.182319809861267E-3</v>
      </c>
    </row>
    <row r="146" spans="3:23" x14ac:dyDescent="0.2">
      <c r="D146" s="10" t="s">
        <v>116</v>
      </c>
      <c r="E146" s="10" t="s">
        <v>116</v>
      </c>
      <c r="F146" s="32"/>
    </row>
    <row r="147" spans="3:23" x14ac:dyDescent="0.2">
      <c r="C147" s="403" t="s">
        <v>388</v>
      </c>
      <c r="D147" s="8">
        <v>0</v>
      </c>
      <c r="E147" s="8">
        <v>0</v>
      </c>
      <c r="L147" s="1" t="s">
        <v>150</v>
      </c>
    </row>
    <row r="148" spans="3:23" x14ac:dyDescent="0.2">
      <c r="C148" s="403" t="s">
        <v>124</v>
      </c>
      <c r="D148" s="8">
        <v>0</v>
      </c>
      <c r="E148" s="8">
        <v>0</v>
      </c>
      <c r="L148" s="11" t="s">
        <v>55</v>
      </c>
      <c r="M148" s="11"/>
      <c r="N148" s="11"/>
      <c r="O148" s="11"/>
      <c r="P148" s="11" t="s">
        <v>146</v>
      </c>
      <c r="Q148" s="11"/>
      <c r="R148" s="11"/>
      <c r="S148" s="11"/>
      <c r="T148" s="11" t="s">
        <v>147</v>
      </c>
    </row>
    <row r="149" spans="3:23" x14ac:dyDescent="0.2">
      <c r="C149" s="403" t="s">
        <v>56</v>
      </c>
      <c r="D149" s="8">
        <v>0</v>
      </c>
      <c r="E149" s="8">
        <v>0</v>
      </c>
      <c r="L149" s="11" t="s">
        <v>121</v>
      </c>
      <c r="M149" s="11" t="s">
        <v>122</v>
      </c>
      <c r="N149" s="11" t="s">
        <v>123</v>
      </c>
      <c r="O149" s="11" t="s">
        <v>4</v>
      </c>
      <c r="P149" s="11" t="s">
        <v>121</v>
      </c>
      <c r="Q149" s="11" t="s">
        <v>122</v>
      </c>
      <c r="R149" s="11" t="s">
        <v>123</v>
      </c>
      <c r="S149" s="11" t="s">
        <v>4</v>
      </c>
      <c r="T149" s="11" t="s">
        <v>121</v>
      </c>
      <c r="U149" s="11" t="s">
        <v>122</v>
      </c>
      <c r="V149" s="11" t="s">
        <v>123</v>
      </c>
      <c r="W149" s="11" t="s">
        <v>4</v>
      </c>
    </row>
    <row r="150" spans="3:23" x14ac:dyDescent="0.2">
      <c r="C150" s="403" t="s">
        <v>389</v>
      </c>
      <c r="D150" s="8">
        <v>0</v>
      </c>
      <c r="E150" s="8">
        <f>IF(DefaultData!E$2=2,Calculations!G$13,0)</f>
        <v>0</v>
      </c>
      <c r="F150" s="406"/>
      <c r="J150" s="403" t="s">
        <v>388</v>
      </c>
      <c r="L150" s="14">
        <f>L88+L121</f>
        <v>0</v>
      </c>
      <c r="M150" s="14">
        <f t="shared" ref="M150:V150" si="35">M88+M121</f>
        <v>4.7120190139289238E-5</v>
      </c>
      <c r="N150" s="14">
        <f t="shared" si="35"/>
        <v>5.7190699394517256E-5</v>
      </c>
      <c r="O150" s="14">
        <f>N150+M150+L150</f>
        <v>1.0431088953380649E-4</v>
      </c>
      <c r="P150" s="18">
        <f t="shared" si="35"/>
        <v>0</v>
      </c>
      <c r="Q150" s="18">
        <f t="shared" si="35"/>
        <v>2.0221866001856641E-6</v>
      </c>
      <c r="R150" s="18">
        <f t="shared" si="35"/>
        <v>2.4864890843682891E-6</v>
      </c>
      <c r="S150" s="18">
        <f>R150+Q150+P150</f>
        <v>4.5086756845539536E-6</v>
      </c>
      <c r="T150" s="18">
        <f t="shared" si="35"/>
        <v>1.9041143065712735E-5</v>
      </c>
      <c r="U150" s="18">
        <f t="shared" si="35"/>
        <v>8.5445748511702086E-6</v>
      </c>
      <c r="V150" s="18">
        <f t="shared" si="35"/>
        <v>8.8326619229176102E-6</v>
      </c>
      <c r="W150" s="18">
        <f>V150+U150+T150</f>
        <v>3.6418379839800552E-5</v>
      </c>
    </row>
    <row r="151" spans="3:23" x14ac:dyDescent="0.2">
      <c r="C151" s="403" t="s">
        <v>390</v>
      </c>
      <c r="D151" s="8">
        <v>0</v>
      </c>
      <c r="E151" s="8">
        <f>IF(DefaultData!E$2=1,Calculations!G$13,0)</f>
        <v>275112.75532553397</v>
      </c>
      <c r="J151" s="403" t="s">
        <v>124</v>
      </c>
      <c r="L151" s="14">
        <f t="shared" ref="L151:V151" si="36">L89+L122</f>
        <v>0</v>
      </c>
      <c r="M151" s="14">
        <f t="shared" si="36"/>
        <v>5.1249471466229294E-8</v>
      </c>
      <c r="N151" s="14">
        <f t="shared" si="36"/>
        <v>5.9937529615174237E-8</v>
      </c>
      <c r="O151" s="14">
        <f t="shared" ref="O151:O173" si="37">N151+M151+L151</f>
        <v>1.1118700108140352E-7</v>
      </c>
      <c r="P151" s="18">
        <f t="shared" si="36"/>
        <v>0</v>
      </c>
      <c r="Q151" s="18">
        <f t="shared" si="36"/>
        <v>2.8402734270187562E-9</v>
      </c>
      <c r="R151" s="18">
        <f t="shared" si="36"/>
        <v>2.605716058281317E-9</v>
      </c>
      <c r="S151" s="18">
        <f t="shared" ref="S151:S172" si="38">R151+Q151+P151</f>
        <v>5.4459894853000736E-9</v>
      </c>
      <c r="T151" s="18">
        <f t="shared" si="36"/>
        <v>2.4722540403625021E-8</v>
      </c>
      <c r="U151" s="18">
        <f t="shared" si="36"/>
        <v>9.4499246227628551E-9</v>
      </c>
      <c r="V151" s="18">
        <f t="shared" si="36"/>
        <v>9.2559044703857442E-9</v>
      </c>
      <c r="W151" s="18">
        <f t="shared" ref="W151:W172" si="39">V151+U151+T151</f>
        <v>4.3428369496773626E-8</v>
      </c>
    </row>
    <row r="152" spans="3:23" ht="12" customHeight="1" x14ac:dyDescent="0.2">
      <c r="C152" s="403" t="s">
        <v>125</v>
      </c>
      <c r="D152" s="8">
        <v>0</v>
      </c>
      <c r="E152" s="8">
        <v>0</v>
      </c>
      <c r="J152" s="403" t="s">
        <v>56</v>
      </c>
      <c r="L152" s="14">
        <f t="shared" ref="L152:V152" si="40">L90+L123</f>
        <v>0</v>
      </c>
      <c r="M152" s="14">
        <f t="shared" si="40"/>
        <v>0</v>
      </c>
      <c r="N152" s="14">
        <f t="shared" si="40"/>
        <v>0</v>
      </c>
      <c r="O152" s="14">
        <f t="shared" si="37"/>
        <v>0</v>
      </c>
      <c r="P152" s="18">
        <f t="shared" si="40"/>
        <v>0</v>
      </c>
      <c r="Q152" s="18">
        <f t="shared" si="40"/>
        <v>0</v>
      </c>
      <c r="R152" s="18">
        <f t="shared" si="40"/>
        <v>0</v>
      </c>
      <c r="S152" s="18">
        <f t="shared" si="38"/>
        <v>0</v>
      </c>
      <c r="T152" s="18">
        <f t="shared" si="40"/>
        <v>0</v>
      </c>
      <c r="U152" s="18">
        <f t="shared" si="40"/>
        <v>0</v>
      </c>
      <c r="V152" s="18">
        <f t="shared" si="40"/>
        <v>0</v>
      </c>
      <c r="W152" s="18">
        <f t="shared" si="39"/>
        <v>0</v>
      </c>
    </row>
    <row r="153" spans="3:23" x14ac:dyDescent="0.2">
      <c r="C153" s="403" t="s">
        <v>126</v>
      </c>
      <c r="D153" s="8">
        <v>0</v>
      </c>
      <c r="E153" s="8">
        <f>J7</f>
        <v>0</v>
      </c>
      <c r="J153" s="403" t="s">
        <v>389</v>
      </c>
      <c r="L153" s="14">
        <f t="shared" ref="L153:V153" si="41">L91+L124</f>
        <v>0</v>
      </c>
      <c r="M153" s="14">
        <f t="shared" si="41"/>
        <v>0</v>
      </c>
      <c r="N153" s="14">
        <f t="shared" si="41"/>
        <v>0</v>
      </c>
      <c r="O153" s="14">
        <f t="shared" si="37"/>
        <v>0</v>
      </c>
      <c r="P153" s="18">
        <f t="shared" si="41"/>
        <v>0</v>
      </c>
      <c r="Q153" s="18">
        <f t="shared" si="41"/>
        <v>0</v>
      </c>
      <c r="R153" s="18">
        <f t="shared" si="41"/>
        <v>0</v>
      </c>
      <c r="S153" s="18">
        <f t="shared" si="38"/>
        <v>0</v>
      </c>
      <c r="T153" s="18">
        <f t="shared" si="41"/>
        <v>0</v>
      </c>
      <c r="U153" s="18">
        <f t="shared" si="41"/>
        <v>0</v>
      </c>
      <c r="V153" s="18">
        <f t="shared" si="41"/>
        <v>0</v>
      </c>
      <c r="W153" s="18">
        <f t="shared" si="39"/>
        <v>0</v>
      </c>
    </row>
    <row r="154" spans="3:23" ht="14.25" customHeight="1" x14ac:dyDescent="0.2">
      <c r="C154" s="403" t="s">
        <v>127</v>
      </c>
      <c r="D154" s="8">
        <v>0</v>
      </c>
      <c r="E154" s="8">
        <v>0</v>
      </c>
      <c r="J154" s="403" t="s">
        <v>390</v>
      </c>
      <c r="L154" s="14">
        <f t="shared" ref="L154:V154" si="42">L92+L125</f>
        <v>0</v>
      </c>
      <c r="M154" s="14">
        <f t="shared" si="42"/>
        <v>0</v>
      </c>
      <c r="N154" s="14">
        <f t="shared" si="42"/>
        <v>0</v>
      </c>
      <c r="O154" s="14">
        <f t="shared" si="37"/>
        <v>0</v>
      </c>
      <c r="P154" s="18">
        <f t="shared" si="42"/>
        <v>0</v>
      </c>
      <c r="Q154" s="18">
        <f t="shared" si="42"/>
        <v>0</v>
      </c>
      <c r="R154" s="18">
        <f t="shared" si="42"/>
        <v>0</v>
      </c>
      <c r="S154" s="18">
        <f t="shared" si="38"/>
        <v>0</v>
      </c>
      <c r="T154" s="18">
        <f t="shared" si="42"/>
        <v>0</v>
      </c>
      <c r="U154" s="18">
        <f t="shared" si="42"/>
        <v>0</v>
      </c>
      <c r="V154" s="18">
        <f t="shared" si="42"/>
        <v>0</v>
      </c>
      <c r="W154" s="18">
        <f t="shared" si="39"/>
        <v>0</v>
      </c>
    </row>
    <row r="155" spans="3:23" x14ac:dyDescent="0.2">
      <c r="C155" s="403" t="s">
        <v>391</v>
      </c>
      <c r="D155" s="8">
        <f>J71</f>
        <v>0</v>
      </c>
      <c r="E155" s="8">
        <f>J10</f>
        <v>0</v>
      </c>
      <c r="J155" s="403" t="s">
        <v>125</v>
      </c>
      <c r="L155" s="14">
        <f t="shared" ref="L155:V155" si="43">L93+L126</f>
        <v>0</v>
      </c>
      <c r="M155" s="14">
        <f t="shared" si="43"/>
        <v>1.4232744678082465E-3</v>
      </c>
      <c r="N155" s="14">
        <f t="shared" si="43"/>
        <v>1.2093121690284398E-3</v>
      </c>
      <c r="O155" s="14">
        <f t="shared" si="37"/>
        <v>2.6325866368366864E-3</v>
      </c>
      <c r="P155" s="18">
        <f t="shared" si="43"/>
        <v>0</v>
      </c>
      <c r="Q155" s="18">
        <f t="shared" si="43"/>
        <v>8.2656349401518951E-5</v>
      </c>
      <c r="R155" s="18">
        <f t="shared" si="43"/>
        <v>5.2628939453856083E-5</v>
      </c>
      <c r="S155" s="18">
        <f t="shared" si="38"/>
        <v>1.3528528885537502E-4</v>
      </c>
      <c r="T155" s="18">
        <f t="shared" si="43"/>
        <v>5.0278779895127567E-4</v>
      </c>
      <c r="U155" s="18">
        <f t="shared" si="43"/>
        <v>3.222101562269987E-4</v>
      </c>
      <c r="V155" s="18">
        <f t="shared" si="43"/>
        <v>1.8703967290368019E-4</v>
      </c>
      <c r="W155" s="18">
        <f t="shared" si="39"/>
        <v>1.0120376280819544E-3</v>
      </c>
    </row>
    <row r="156" spans="3:23" ht="15" customHeight="1" x14ac:dyDescent="0.2">
      <c r="C156" s="403" t="s">
        <v>392</v>
      </c>
      <c r="D156" s="8">
        <v>0</v>
      </c>
      <c r="E156" s="8">
        <v>0</v>
      </c>
      <c r="J156" s="403" t="s">
        <v>126</v>
      </c>
      <c r="L156" s="14">
        <f t="shared" ref="L156:V156" si="44">L94+L127</f>
        <v>0</v>
      </c>
      <c r="M156" s="14">
        <f t="shared" si="44"/>
        <v>5.7752659972057394E-8</v>
      </c>
      <c r="N156" s="14">
        <f t="shared" si="44"/>
        <v>5.3521815731399528E-8</v>
      </c>
      <c r="O156" s="14">
        <f t="shared" si="37"/>
        <v>1.1127447570345692E-7</v>
      </c>
      <c r="P156" s="18">
        <f t="shared" si="44"/>
        <v>0</v>
      </c>
      <c r="Q156" s="18">
        <f t="shared" si="44"/>
        <v>3.3433371925286244E-9</v>
      </c>
      <c r="R156" s="18">
        <f t="shared" si="44"/>
        <v>2.3295799928253515E-9</v>
      </c>
      <c r="S156" s="18">
        <f t="shared" si="38"/>
        <v>5.6729171853539755E-9</v>
      </c>
      <c r="T156" s="18">
        <f t="shared" si="44"/>
        <v>2.0044535047366105E-8</v>
      </c>
      <c r="U156" s="18">
        <f t="shared" si="44"/>
        <v>1.272441814034958E-8</v>
      </c>
      <c r="V156" s="18">
        <f t="shared" si="44"/>
        <v>8.279729051011785E-9</v>
      </c>
      <c r="W156" s="18">
        <f t="shared" si="39"/>
        <v>4.1048682238727472E-8</v>
      </c>
    </row>
    <row r="157" spans="3:23" x14ac:dyDescent="0.2">
      <c r="C157" s="403" t="s">
        <v>393</v>
      </c>
      <c r="D157" s="8">
        <v>0</v>
      </c>
      <c r="E157" s="8">
        <f>J9</f>
        <v>0</v>
      </c>
      <c r="J157" s="403" t="s">
        <v>127</v>
      </c>
      <c r="L157" s="14">
        <f t="shared" ref="L157:V157" si="45">L95+L128</f>
        <v>0</v>
      </c>
      <c r="M157" s="14">
        <f t="shared" si="45"/>
        <v>2.3178659959865481E-7</v>
      </c>
      <c r="N157" s="14">
        <f t="shared" si="45"/>
        <v>2.3091306464296266E-7</v>
      </c>
      <c r="O157" s="14">
        <f t="shared" si="37"/>
        <v>4.626996642416175E-7</v>
      </c>
      <c r="P157" s="18">
        <f t="shared" si="45"/>
        <v>0</v>
      </c>
      <c r="Q157" s="18">
        <f t="shared" si="45"/>
        <v>1.3812690444557503E-8</v>
      </c>
      <c r="R157" s="18">
        <f t="shared" si="45"/>
        <v>1.0051456013812065E-8</v>
      </c>
      <c r="S157" s="18">
        <f t="shared" si="38"/>
        <v>2.3864146458369568E-8</v>
      </c>
      <c r="T157" s="18">
        <f t="shared" si="45"/>
        <v>8.4979036502363165E-8</v>
      </c>
      <c r="U157" s="18">
        <f t="shared" si="45"/>
        <v>5.1040050786977585E-8</v>
      </c>
      <c r="V157" s="18">
        <f t="shared" si="45"/>
        <v>3.5725880331565938E-8</v>
      </c>
      <c r="W157" s="18">
        <f t="shared" si="39"/>
        <v>1.717449676209067E-7</v>
      </c>
    </row>
    <row r="158" spans="3:23" ht="12.75" customHeight="1" x14ac:dyDescent="0.2">
      <c r="C158" s="403" t="s">
        <v>57</v>
      </c>
      <c r="D158" s="8">
        <f>I71</f>
        <v>5947.7333333333336</v>
      </c>
      <c r="E158" s="8">
        <f>I7+I8+I9+I10</f>
        <v>302975.28799644072</v>
      </c>
      <c r="J158" s="403" t="s">
        <v>391</v>
      </c>
      <c r="L158" s="14">
        <f t="shared" ref="L158:V158" si="46">L96+L129</f>
        <v>0</v>
      </c>
      <c r="M158" s="14">
        <f t="shared" si="46"/>
        <v>5.3990789497165982E-7</v>
      </c>
      <c r="N158" s="14">
        <f t="shared" si="46"/>
        <v>5.742142047448721E-7</v>
      </c>
      <c r="O158" s="14">
        <f t="shared" si="37"/>
        <v>1.1141220997165319E-6</v>
      </c>
      <c r="P158" s="18">
        <f t="shared" si="46"/>
        <v>0</v>
      </c>
      <c r="Q158" s="18">
        <f t="shared" si="46"/>
        <v>3.3269334180212022E-8</v>
      </c>
      <c r="R158" s="18">
        <f t="shared" si="46"/>
        <v>2.499664943839414E-8</v>
      </c>
      <c r="S158" s="18">
        <f t="shared" si="38"/>
        <v>5.8265983618606166E-8</v>
      </c>
      <c r="T158" s="18">
        <f t="shared" si="46"/>
        <v>2.2410010576034157E-7</v>
      </c>
      <c r="U158" s="18">
        <f t="shared" si="46"/>
        <v>1.2382572934738829E-7</v>
      </c>
      <c r="V158" s="18">
        <f t="shared" si="46"/>
        <v>8.884805625229515E-8</v>
      </c>
      <c r="W158" s="18">
        <f t="shared" si="39"/>
        <v>4.3677389136002499E-7</v>
      </c>
    </row>
    <row r="159" spans="3:23" ht="12.75" customHeight="1" x14ac:dyDescent="0.2">
      <c r="C159" s="403" t="s">
        <v>394</v>
      </c>
      <c r="D159" s="8">
        <v>0</v>
      </c>
      <c r="E159" s="8">
        <v>0</v>
      </c>
      <c r="J159" s="403" t="s">
        <v>392</v>
      </c>
      <c r="L159" s="14">
        <f t="shared" ref="L159:V159" si="47">L97+L130</f>
        <v>0</v>
      </c>
      <c r="M159" s="14">
        <f t="shared" si="47"/>
        <v>1.2956860521820638E-6</v>
      </c>
      <c r="N159" s="14">
        <f t="shared" si="47"/>
        <v>1.1294001527603138E-6</v>
      </c>
      <c r="O159" s="14">
        <f t="shared" si="37"/>
        <v>2.4250862049423777E-6</v>
      </c>
      <c r="P159" s="18">
        <f t="shared" si="47"/>
        <v>0</v>
      </c>
      <c r="Q159" s="18">
        <f t="shared" si="47"/>
        <v>7.4218255367851912E-8</v>
      </c>
      <c r="R159" s="18">
        <f t="shared" si="47"/>
        <v>4.9158980859425513E-8</v>
      </c>
      <c r="S159" s="18">
        <f t="shared" si="38"/>
        <v>1.2337723622727743E-7</v>
      </c>
      <c r="T159" s="18">
        <f t="shared" si="47"/>
        <v>4.1605091793095529E-7</v>
      </c>
      <c r="U159" s="18">
        <f t="shared" si="47"/>
        <v>2.7884952204524855E-7</v>
      </c>
      <c r="V159" s="18">
        <f t="shared" si="47"/>
        <v>1.7472098325381767E-7</v>
      </c>
      <c r="W159" s="18">
        <f t="shared" si="39"/>
        <v>8.6962142323002154E-7</v>
      </c>
    </row>
    <row r="160" spans="3:23" ht="12.75" customHeight="1" x14ac:dyDescent="0.2">
      <c r="C160" s="403" t="s">
        <v>128</v>
      </c>
      <c r="D160" s="8">
        <v>0</v>
      </c>
      <c r="E160" s="8">
        <v>0</v>
      </c>
      <c r="J160" s="403" t="s">
        <v>393</v>
      </c>
      <c r="L160" s="14">
        <f t="shared" ref="L160:V160" si="48">L98+L131</f>
        <v>0</v>
      </c>
      <c r="M160" s="14">
        <f t="shared" si="48"/>
        <v>0</v>
      </c>
      <c r="N160" s="14">
        <f t="shared" si="48"/>
        <v>0</v>
      </c>
      <c r="O160" s="14">
        <f t="shared" si="37"/>
        <v>0</v>
      </c>
      <c r="P160" s="18">
        <f t="shared" si="48"/>
        <v>0</v>
      </c>
      <c r="Q160" s="18">
        <f t="shared" si="48"/>
        <v>0</v>
      </c>
      <c r="R160" s="18">
        <f t="shared" si="48"/>
        <v>0</v>
      </c>
      <c r="S160" s="18">
        <f t="shared" si="38"/>
        <v>0</v>
      </c>
      <c r="T160" s="18">
        <f t="shared" si="48"/>
        <v>0</v>
      </c>
      <c r="U160" s="18">
        <f t="shared" si="48"/>
        <v>0</v>
      </c>
      <c r="V160" s="18">
        <f t="shared" si="48"/>
        <v>0</v>
      </c>
      <c r="W160" s="18">
        <f t="shared" si="39"/>
        <v>0</v>
      </c>
    </row>
    <row r="161" spans="3:27" ht="12.75" customHeight="1" x14ac:dyDescent="0.2">
      <c r="C161" s="403" t="s">
        <v>395</v>
      </c>
      <c r="D161" s="8">
        <v>0</v>
      </c>
      <c r="E161" s="8">
        <v>0</v>
      </c>
      <c r="J161" s="403" t="s">
        <v>57</v>
      </c>
      <c r="L161" s="14">
        <f t="shared" ref="L161:N171" si="49">L99+L132</f>
        <v>2.1022293065585798E-2</v>
      </c>
      <c r="M161" s="14">
        <f t="shared" si="49"/>
        <v>1.0931924684444193E-2</v>
      </c>
      <c r="N161" s="14">
        <f t="shared" si="49"/>
        <v>1.5850841679328265E-2</v>
      </c>
      <c r="O161" s="14">
        <f t="shared" ref="O161:O171" si="50">N161+M161+L161</f>
        <v>4.7805059429358254E-2</v>
      </c>
      <c r="P161" s="18">
        <f t="shared" ref="P161:R171" si="51">P99+P132</f>
        <v>1.4409024604590454E-3</v>
      </c>
      <c r="Q161" s="18">
        <f t="shared" si="51"/>
        <v>5.6578556437462968E-4</v>
      </c>
      <c r="R161" s="18">
        <f t="shared" si="51"/>
        <v>6.8977534686989349E-4</v>
      </c>
      <c r="S161" s="18">
        <f t="shared" ref="S161:S171" si="52">R161+Q161+P161</f>
        <v>2.6964633717035686E-3</v>
      </c>
      <c r="T161" s="18">
        <f t="shared" ref="T161:V171" si="53">T99+T132</f>
        <v>4.469079331220524E-3</v>
      </c>
      <c r="U161" s="18">
        <f t="shared" si="53"/>
        <v>1.8612568753630246E-3</v>
      </c>
      <c r="V161" s="18">
        <f t="shared" si="53"/>
        <v>2.4513321072735165E-3</v>
      </c>
      <c r="W161" s="18">
        <f t="shared" ref="W161:W171" si="54">V161+U161+T161</f>
        <v>8.7816683138570648E-3</v>
      </c>
    </row>
    <row r="162" spans="3:27" ht="12.75" customHeight="1" x14ac:dyDescent="0.2">
      <c r="C162" s="403" t="s">
        <v>396</v>
      </c>
      <c r="D162" s="8">
        <f>H75</f>
        <v>0</v>
      </c>
      <c r="E162" s="8">
        <v>0</v>
      </c>
      <c r="J162" s="403" t="s">
        <v>394</v>
      </c>
      <c r="L162" s="14">
        <f t="shared" si="49"/>
        <v>3.9983870371113707E-4</v>
      </c>
      <c r="M162" s="14">
        <f t="shared" si="49"/>
        <v>1.3330077532780818E-3</v>
      </c>
      <c r="N162" s="14">
        <f t="shared" si="49"/>
        <v>2.2112208270728111E-3</v>
      </c>
      <c r="O162" s="14">
        <f t="shared" si="50"/>
        <v>3.9440672840620299E-3</v>
      </c>
      <c r="P162" s="18">
        <f t="shared" si="51"/>
        <v>1.222365574247085E-5</v>
      </c>
      <c r="Q162" s="18">
        <f t="shared" si="51"/>
        <v>6.2604282541460957E-5</v>
      </c>
      <c r="R162" s="18">
        <f t="shared" si="51"/>
        <v>9.620963721275168E-5</v>
      </c>
      <c r="S162" s="18">
        <f t="shared" si="52"/>
        <v>1.7103757549668348E-4</v>
      </c>
      <c r="T162" s="18">
        <f t="shared" si="53"/>
        <v>6.145131511699596E-4</v>
      </c>
      <c r="U162" s="18">
        <f t="shared" si="53"/>
        <v>2.246049798774058E-4</v>
      </c>
      <c r="V162" s="18">
        <f t="shared" si="53"/>
        <v>3.4188497324487129E-4</v>
      </c>
      <c r="W162" s="18">
        <f t="shared" si="54"/>
        <v>1.1810031042922367E-3</v>
      </c>
    </row>
    <row r="163" spans="3:27" ht="12.75" customHeight="1" x14ac:dyDescent="0.2">
      <c r="C163" s="403" t="s">
        <v>397</v>
      </c>
      <c r="D163" s="8">
        <v>0</v>
      </c>
      <c r="E163" s="8">
        <v>0</v>
      </c>
      <c r="J163" s="403" t="s">
        <v>128</v>
      </c>
      <c r="L163" s="14">
        <f t="shared" si="49"/>
        <v>0</v>
      </c>
      <c r="M163" s="14">
        <f t="shared" si="49"/>
        <v>3.611719030995642E-3</v>
      </c>
      <c r="N163" s="14">
        <f t="shared" si="49"/>
        <v>4.5058541764429905E-3</v>
      </c>
      <c r="O163" s="14">
        <f t="shared" si="50"/>
        <v>8.1175732074386317E-3</v>
      </c>
      <c r="P163" s="18">
        <f t="shared" si="51"/>
        <v>0</v>
      </c>
      <c r="Q163" s="18">
        <f t="shared" si="51"/>
        <v>1.9207015667673232E-4</v>
      </c>
      <c r="R163" s="18">
        <f t="shared" si="51"/>
        <v>1.9591548918189487E-4</v>
      </c>
      <c r="S163" s="18">
        <f t="shared" si="52"/>
        <v>3.8798564585862719E-4</v>
      </c>
      <c r="T163" s="18">
        <f t="shared" si="53"/>
        <v>1.6977016226595523E-4</v>
      </c>
      <c r="U163" s="18">
        <f t="shared" si="53"/>
        <v>7.1790242844627442E-4</v>
      </c>
      <c r="V163" s="18">
        <f t="shared" si="53"/>
        <v>6.95970760817988E-4</v>
      </c>
      <c r="W163" s="18">
        <f t="shared" si="54"/>
        <v>1.5836433515302177E-3</v>
      </c>
    </row>
    <row r="164" spans="3:27" ht="12.75" customHeight="1" x14ac:dyDescent="0.2">
      <c r="C164" s="403" t="s">
        <v>398</v>
      </c>
      <c r="D164" s="8">
        <f>G72</f>
        <v>0</v>
      </c>
      <c r="E164" s="8">
        <f>(G18+G19)*0.5</f>
        <v>699424.01139344217</v>
      </c>
      <c r="J164" s="403" t="s">
        <v>395</v>
      </c>
      <c r="L164" s="14">
        <f t="shared" si="49"/>
        <v>0</v>
      </c>
      <c r="M164" s="14">
        <f t="shared" si="49"/>
        <v>8.0035720434701845E-3</v>
      </c>
      <c r="N164" s="14">
        <f t="shared" si="49"/>
        <v>8.5060068849565004E-3</v>
      </c>
      <c r="O164" s="14">
        <f t="shared" si="50"/>
        <v>1.6509578928426687E-2</v>
      </c>
      <c r="P164" s="18">
        <f t="shared" si="51"/>
        <v>0</v>
      </c>
      <c r="Q164" s="18">
        <f t="shared" si="51"/>
        <v>3.7372077226103829E-4</v>
      </c>
      <c r="R164" s="18">
        <f t="shared" si="51"/>
        <v>3.6961313476684853E-4</v>
      </c>
      <c r="S164" s="18">
        <f t="shared" si="52"/>
        <v>7.4333390702788682E-4</v>
      </c>
      <c r="T164" s="18">
        <f t="shared" si="53"/>
        <v>3.8075220613532339E-3</v>
      </c>
      <c r="U164" s="18">
        <f t="shared" si="53"/>
        <v>1.4579074581116971E-3</v>
      </c>
      <c r="V164" s="18">
        <f t="shared" si="53"/>
        <v>1.3126243451131963E-3</v>
      </c>
      <c r="W164" s="18">
        <f t="shared" si="54"/>
        <v>6.5780538645781273E-3</v>
      </c>
    </row>
    <row r="165" spans="3:27" ht="12.75" customHeight="1" x14ac:dyDescent="0.2">
      <c r="C165" s="403" t="s">
        <v>399</v>
      </c>
      <c r="D165" s="8">
        <v>0</v>
      </c>
      <c r="E165" s="8">
        <f>G17*0.8</f>
        <v>73490.620143129709</v>
      </c>
      <c r="J165" s="403" t="s">
        <v>396</v>
      </c>
      <c r="L165" s="14">
        <f t="shared" si="49"/>
        <v>0</v>
      </c>
      <c r="M165" s="14">
        <f t="shared" si="49"/>
        <v>5.1630929331338438E-4</v>
      </c>
      <c r="N165" s="14">
        <f t="shared" si="49"/>
        <v>7.1322395316478725E-4</v>
      </c>
      <c r="O165" s="14">
        <f t="shared" si="50"/>
        <v>1.2295332464781717E-3</v>
      </c>
      <c r="P165" s="18">
        <f t="shared" si="51"/>
        <v>0</v>
      </c>
      <c r="Q165" s="18">
        <f t="shared" si="51"/>
        <v>2.8454267952728865E-5</v>
      </c>
      <c r="R165" s="18">
        <f t="shared" si="51"/>
        <v>3.10324344787921E-5</v>
      </c>
      <c r="S165" s="18">
        <f t="shared" si="52"/>
        <v>5.9486702431520969E-5</v>
      </c>
      <c r="T165" s="18">
        <f t="shared" si="53"/>
        <v>1.9098070826334729E-4</v>
      </c>
      <c r="U165" s="18">
        <f t="shared" si="53"/>
        <v>9.1584844945997564E-5</v>
      </c>
      <c r="V165" s="18">
        <f t="shared" si="53"/>
        <v>1.1027554483460716E-4</v>
      </c>
      <c r="W165" s="18">
        <f t="shared" si="54"/>
        <v>3.9284109804395197E-4</v>
      </c>
    </row>
    <row r="166" spans="3:27" ht="12.75" customHeight="1" x14ac:dyDescent="0.2">
      <c r="C166" s="403" t="s">
        <v>400</v>
      </c>
      <c r="D166" s="8">
        <v>0</v>
      </c>
      <c r="E166" s="8">
        <f>(G18+G19)-E164</f>
        <v>699424.01139344217</v>
      </c>
      <c r="J166" s="403" t="s">
        <v>397</v>
      </c>
      <c r="L166" s="14">
        <f t="shared" si="49"/>
        <v>0</v>
      </c>
      <c r="M166" s="14">
        <f t="shared" si="49"/>
        <v>1.5938055875331974E-4</v>
      </c>
      <c r="N166" s="14">
        <f t="shared" si="49"/>
        <v>2.5516001803796537E-4</v>
      </c>
      <c r="O166" s="14">
        <f t="shared" si="50"/>
        <v>4.1454057679128512E-4</v>
      </c>
      <c r="P166" s="18">
        <f t="shared" si="51"/>
        <v>0</v>
      </c>
      <c r="Q166" s="18">
        <f t="shared" si="51"/>
        <v>7.7184502413683798E-6</v>
      </c>
      <c r="R166" s="18">
        <f t="shared" si="51"/>
        <v>1.1098373377156751E-5</v>
      </c>
      <c r="S166" s="18">
        <f t="shared" si="52"/>
        <v>1.8816823618525131E-5</v>
      </c>
      <c r="T166" s="18">
        <f t="shared" si="53"/>
        <v>5.5168163787754129E-5</v>
      </c>
      <c r="U166" s="18">
        <f t="shared" si="53"/>
        <v>2.5931504767722378E-5</v>
      </c>
      <c r="V166" s="18">
        <f t="shared" si="53"/>
        <v>3.9432552770048794E-5</v>
      </c>
      <c r="W166" s="18">
        <f t="shared" si="54"/>
        <v>1.2053222132552531E-4</v>
      </c>
    </row>
    <row r="167" spans="3:27" ht="12.75" customHeight="1" x14ac:dyDescent="0.2">
      <c r="C167" s="403" t="s">
        <v>58</v>
      </c>
      <c r="D167" s="8">
        <f>G76+G74</f>
        <v>613.36</v>
      </c>
      <c r="E167" s="8">
        <f>(G17-E165)+G22</f>
        <v>143349.96133431423</v>
      </c>
      <c r="J167" s="403" t="s">
        <v>398</v>
      </c>
      <c r="L167" s="14">
        <f t="shared" si="49"/>
        <v>0</v>
      </c>
      <c r="M167" s="14">
        <f t="shared" si="49"/>
        <v>1.8394863154654295E-5</v>
      </c>
      <c r="N167" s="14">
        <f t="shared" si="49"/>
        <v>3.2064382142596765E-5</v>
      </c>
      <c r="O167" s="14">
        <f t="shared" si="50"/>
        <v>5.0459245297251057E-5</v>
      </c>
      <c r="P167" s="18">
        <f t="shared" si="51"/>
        <v>0</v>
      </c>
      <c r="Q167" s="18">
        <f t="shared" si="51"/>
        <v>8.8222069279065188E-7</v>
      </c>
      <c r="R167" s="18">
        <f t="shared" si="51"/>
        <v>1.3941481553415807E-6</v>
      </c>
      <c r="S167" s="18">
        <f t="shared" si="52"/>
        <v>2.2763688481322324E-6</v>
      </c>
      <c r="T167" s="18">
        <f t="shared" si="53"/>
        <v>6.9133473812079756E-6</v>
      </c>
      <c r="U167" s="18">
        <f t="shared" si="53"/>
        <v>2.9932682198725416E-6</v>
      </c>
      <c r="V167" s="18">
        <f t="shared" si="53"/>
        <v>4.9525380582356897E-6</v>
      </c>
      <c r="W167" s="18">
        <f t="shared" si="54"/>
        <v>1.4859153659316206E-5</v>
      </c>
    </row>
    <row r="168" spans="3:27" ht="12.75" customHeight="1" x14ac:dyDescent="0.2">
      <c r="C168" s="403" t="s">
        <v>401</v>
      </c>
      <c r="D168" s="8">
        <v>0</v>
      </c>
      <c r="E168" s="8">
        <f>J8</f>
        <v>0</v>
      </c>
      <c r="J168" s="403" t="s">
        <v>399</v>
      </c>
      <c r="L168" s="14">
        <f t="shared" si="49"/>
        <v>0</v>
      </c>
      <c r="M168" s="14">
        <f t="shared" si="49"/>
        <v>2.2065924367767905E-6</v>
      </c>
      <c r="N168" s="14">
        <f t="shared" si="49"/>
        <v>3.56863122637636E-6</v>
      </c>
      <c r="O168" s="14">
        <f t="shared" si="50"/>
        <v>5.7752236631531505E-6</v>
      </c>
      <c r="P168" s="18">
        <f t="shared" si="51"/>
        <v>0</v>
      </c>
      <c r="Q168" s="18">
        <f t="shared" si="51"/>
        <v>1.0961971932504902E-7</v>
      </c>
      <c r="R168" s="18">
        <f t="shared" si="51"/>
        <v>1.5516855982529196E-7</v>
      </c>
      <c r="S168" s="18">
        <f t="shared" si="52"/>
        <v>2.6478827915034097E-7</v>
      </c>
      <c r="T168" s="18">
        <f t="shared" si="53"/>
        <v>7.2180331701914907E-7</v>
      </c>
      <c r="U168" s="18">
        <f t="shared" si="53"/>
        <v>3.6074092521554152E-7</v>
      </c>
      <c r="V168" s="18">
        <f t="shared" si="53"/>
        <v>5.5122682963981558E-7</v>
      </c>
      <c r="W168" s="18">
        <f t="shared" si="54"/>
        <v>1.6337710718745062E-6</v>
      </c>
    </row>
    <row r="169" spans="3:27" ht="15" x14ac:dyDescent="0.2">
      <c r="C169" s="6" t="s">
        <v>4</v>
      </c>
      <c r="D169" s="8">
        <f>SUM(D147:D168)</f>
        <v>6561.0933333333332</v>
      </c>
      <c r="E169" s="8">
        <f>SUM(E147:E168)</f>
        <v>2193776.6475863028</v>
      </c>
      <c r="J169" s="403" t="s">
        <v>400</v>
      </c>
      <c r="L169" s="14">
        <f t="shared" si="49"/>
        <v>0</v>
      </c>
      <c r="M169" s="14">
        <f t="shared" si="49"/>
        <v>6.9598978337363938E-3</v>
      </c>
      <c r="N169" s="14">
        <f t="shared" si="49"/>
        <v>8.4846765166267206E-3</v>
      </c>
      <c r="O169" s="14">
        <f t="shared" si="50"/>
        <v>1.5444574350363114E-2</v>
      </c>
      <c r="P169" s="18">
        <f t="shared" si="51"/>
        <v>0</v>
      </c>
      <c r="Q169" s="18">
        <f t="shared" si="51"/>
        <v>3.371813434104955E-4</v>
      </c>
      <c r="R169" s="18">
        <f t="shared" si="51"/>
        <v>3.6913483425964679E-4</v>
      </c>
      <c r="S169" s="18">
        <f t="shared" si="52"/>
        <v>7.0631617767014229E-4</v>
      </c>
      <c r="T169" s="18">
        <f t="shared" si="53"/>
        <v>2.5306810579396582E-3</v>
      </c>
      <c r="U169" s="18">
        <f t="shared" si="53"/>
        <v>1.1995837921146809E-3</v>
      </c>
      <c r="V169" s="18">
        <f t="shared" si="53"/>
        <v>1.3116871301662558E-3</v>
      </c>
      <c r="W169" s="18">
        <f t="shared" si="54"/>
        <v>5.041951980220595E-3</v>
      </c>
    </row>
    <row r="170" spans="3:27" ht="12.75" customHeight="1" x14ac:dyDescent="0.2">
      <c r="J170" s="403" t="s">
        <v>58</v>
      </c>
      <c r="L170" s="14">
        <f t="shared" si="49"/>
        <v>0</v>
      </c>
      <c r="M170" s="14">
        <f t="shared" si="49"/>
        <v>3.0035904133668228E-4</v>
      </c>
      <c r="N170" s="14">
        <f t="shared" si="49"/>
        <v>3.2343751165593146E-3</v>
      </c>
      <c r="O170" s="14">
        <f t="shared" si="50"/>
        <v>3.5347341578959969E-3</v>
      </c>
      <c r="P170" s="18">
        <f t="shared" si="51"/>
        <v>0</v>
      </c>
      <c r="Q170" s="18">
        <f t="shared" si="51"/>
        <v>1.679088617908405E-5</v>
      </c>
      <c r="R170" s="18">
        <f t="shared" si="51"/>
        <v>1.4086189328724156E-4</v>
      </c>
      <c r="S170" s="18">
        <f t="shared" si="52"/>
        <v>1.5765277946632562E-4</v>
      </c>
      <c r="T170" s="18">
        <f t="shared" si="53"/>
        <v>2.9307517662496032E-5</v>
      </c>
      <c r="U170" s="18">
        <f t="shared" si="53"/>
        <v>5.5891066494039926E-5</v>
      </c>
      <c r="V170" s="18">
        <f t="shared" si="53"/>
        <v>5.0078340128704784E-4</v>
      </c>
      <c r="W170" s="18">
        <f t="shared" si="54"/>
        <v>5.8598198544358379E-4</v>
      </c>
    </row>
    <row r="171" spans="3:27" ht="12.75" customHeight="1" x14ac:dyDescent="0.2">
      <c r="J171" s="403" t="s">
        <v>401</v>
      </c>
      <c r="L171" s="14">
        <f t="shared" si="49"/>
        <v>0</v>
      </c>
      <c r="M171" s="14">
        <f t="shared" si="49"/>
        <v>0</v>
      </c>
      <c r="N171" s="14">
        <f t="shared" si="49"/>
        <v>0</v>
      </c>
      <c r="O171" s="14">
        <f t="shared" si="50"/>
        <v>0</v>
      </c>
      <c r="P171" s="18">
        <f t="shared" si="51"/>
        <v>0</v>
      </c>
      <c r="Q171" s="18">
        <f t="shared" si="51"/>
        <v>0</v>
      </c>
      <c r="R171" s="18">
        <f t="shared" si="51"/>
        <v>0</v>
      </c>
      <c r="S171" s="18">
        <f t="shared" si="52"/>
        <v>0</v>
      </c>
      <c r="T171" s="18">
        <f t="shared" si="53"/>
        <v>0</v>
      </c>
      <c r="U171" s="18">
        <f t="shared" si="53"/>
        <v>0</v>
      </c>
      <c r="V171" s="18">
        <f t="shared" si="53"/>
        <v>0</v>
      </c>
      <c r="W171" s="18">
        <f t="shared" si="54"/>
        <v>0</v>
      </c>
    </row>
    <row r="172" spans="3:27" ht="12.75" customHeight="1" x14ac:dyDescent="0.2">
      <c r="J172" s="6" t="s">
        <v>135</v>
      </c>
      <c r="L172" s="14">
        <f>L143</f>
        <v>0.13843817369919845</v>
      </c>
      <c r="M172" s="14"/>
      <c r="N172" s="14"/>
      <c r="O172" s="14">
        <f t="shared" si="37"/>
        <v>0.13843817369919845</v>
      </c>
      <c r="P172" s="14">
        <f>P143</f>
        <v>8.1557420305299159E-3</v>
      </c>
      <c r="Q172" s="18"/>
      <c r="R172" s="18"/>
      <c r="S172" s="18">
        <f t="shared" si="38"/>
        <v>8.1557420305299159E-3</v>
      </c>
      <c r="T172" s="18"/>
      <c r="U172" s="18"/>
      <c r="V172" s="18"/>
      <c r="W172" s="18">
        <f t="shared" si="39"/>
        <v>0</v>
      </c>
    </row>
    <row r="173" spans="3:27" ht="12.75" customHeight="1" x14ac:dyDescent="0.2">
      <c r="J173" s="6" t="s">
        <v>4</v>
      </c>
      <c r="L173" s="14">
        <f>SUM(L150:L172)</f>
        <v>0.15986030546849539</v>
      </c>
      <c r="M173" s="14">
        <f t="shared" ref="M173:W173" si="55">SUM(M150:M172)</f>
        <v>3.330934273554504E-2</v>
      </c>
      <c r="N173" s="14">
        <f t="shared" si="55"/>
        <v>4.5065543040748779E-2</v>
      </c>
      <c r="O173" s="14">
        <f t="shared" si="37"/>
        <v>0.2382351912447892</v>
      </c>
      <c r="P173" s="18">
        <f t="shared" si="55"/>
        <v>9.6088681467314321E-3</v>
      </c>
      <c r="Q173" s="18">
        <f t="shared" si="55"/>
        <v>1.6701235839419707E-3</v>
      </c>
      <c r="R173" s="18">
        <f t="shared" si="55"/>
        <v>1.9603950310699797E-3</v>
      </c>
      <c r="S173" s="18">
        <f t="shared" si="55"/>
        <v>1.3239386761743382E-2</v>
      </c>
      <c r="T173" s="18">
        <f t="shared" si="55"/>
        <v>1.2397256143513788E-2</v>
      </c>
      <c r="U173" s="18">
        <f t="shared" si="55"/>
        <v>5.9692475799890425E-3</v>
      </c>
      <c r="V173" s="18">
        <f t="shared" si="55"/>
        <v>6.9656837457753654E-3</v>
      </c>
      <c r="W173" s="18">
        <f t="shared" si="55"/>
        <v>2.5332187469278195E-2</v>
      </c>
      <c r="X173" s="14"/>
    </row>
    <row r="174" spans="3:27" ht="12.75" customHeight="1" x14ac:dyDescent="0.2">
      <c r="J174" s="143" t="s">
        <v>142</v>
      </c>
      <c r="K174" s="1">
        <f>P144</f>
        <v>2010</v>
      </c>
      <c r="L174" s="1" t="s">
        <v>139</v>
      </c>
      <c r="P174" s="18">
        <f t="shared" ref="P174:W174" si="56">P173*$G64</f>
        <v>9.8107792930986985E-3</v>
      </c>
      <c r="Q174" s="18">
        <f t="shared" si="56"/>
        <v>1.7052178908113433E-3</v>
      </c>
      <c r="R174" s="18">
        <f t="shared" si="56"/>
        <v>2.001588811857853E-3</v>
      </c>
      <c r="S174" s="18">
        <f t="shared" si="56"/>
        <v>1.3517585995767896E-2</v>
      </c>
      <c r="T174" s="18">
        <f t="shared" si="56"/>
        <v>1.2657759686857444E-2</v>
      </c>
      <c r="U174" s="18">
        <f t="shared" si="56"/>
        <v>6.0946793793873518E-3</v>
      </c>
      <c r="V174" s="18">
        <f t="shared" si="56"/>
        <v>7.1120536583253431E-3</v>
      </c>
      <c r="W174" s="18">
        <f t="shared" si="56"/>
        <v>2.5864492724570136E-2</v>
      </c>
    </row>
    <row r="175" spans="3:27" ht="12.75" customHeight="1" x14ac:dyDescent="0.2">
      <c r="L175" s="274"/>
      <c r="M175" s="14"/>
      <c r="N175" s="14"/>
      <c r="O175" s="14"/>
      <c r="P175" s="38"/>
      <c r="Q175" s="38"/>
      <c r="R175" s="38"/>
      <c r="S175" s="38"/>
      <c r="T175" s="38"/>
      <c r="U175" s="38"/>
      <c r="V175" s="38"/>
      <c r="W175" s="38"/>
      <c r="X175" s="14"/>
      <c r="Y175" s="14"/>
      <c r="Z175" s="14"/>
      <c r="AA175" s="14"/>
    </row>
    <row r="176" spans="3:27" x14ac:dyDescent="0.2">
      <c r="C176" t="s">
        <v>136</v>
      </c>
    </row>
    <row r="177" spans="3:43" x14ac:dyDescent="0.2">
      <c r="C177" t="s">
        <v>173</v>
      </c>
    </row>
    <row r="178" spans="3:43" x14ac:dyDescent="0.2">
      <c r="C178" s="24" t="s">
        <v>166</v>
      </c>
      <c r="H178" s="24"/>
      <c r="M178" s="24"/>
    </row>
    <row r="179" spans="3:43" x14ac:dyDescent="0.2">
      <c r="C179" t="s">
        <v>118</v>
      </c>
      <c r="D179" t="s">
        <v>158</v>
      </c>
      <c r="E179" t="s">
        <v>159</v>
      </c>
      <c r="F179" t="s">
        <v>160</v>
      </c>
    </row>
    <row r="180" spans="3:43" x14ac:dyDescent="0.2">
      <c r="C180">
        <v>1</v>
      </c>
      <c r="D180" s="87">
        <f>IF(C180&lt;=DefaultData!C$48,-ISPMT(DefaultData!C$49,C180,DefaultData!C$48,DefaultData!C$30*DefaultData!C$47),0)</f>
        <v>236210.43551569449</v>
      </c>
      <c r="E180" s="87">
        <f>IF(C180&lt;=DefaultData!C$48,-PPMT(DefaultData!C$49,C180,DefaultData!C$48,DefaultData!C$47*DefaultData!C$30),0)</f>
        <v>164679.07835335884</v>
      </c>
      <c r="F180" s="87">
        <f t="shared" ref="F180:F211" si="57">E180+D180</f>
        <v>400889.51386905333</v>
      </c>
      <c r="I180" s="87"/>
      <c r="J180" s="87"/>
      <c r="K180" s="87"/>
      <c r="N180" s="87"/>
      <c r="O180" s="87"/>
      <c r="P180" s="87"/>
    </row>
    <row r="181" spans="3:43" x14ac:dyDescent="0.2">
      <c r="C181">
        <v>2</v>
      </c>
      <c r="D181" s="87">
        <f>IF(C181&lt;=DefaultData!C$48,-ISPMT(DefaultData!C$49,C181,DefaultData!C$48,DefaultData!C$30*DefaultData!C$47),0)</f>
        <v>209964.83156950623</v>
      </c>
      <c r="E181" s="87">
        <f>IF(C181&lt;=DefaultData!C$48,-PPMT(DefaultData!C$49,C181,DefaultData!C$48,DefaultData!C$47*DefaultData!C$30),0)</f>
        <v>181146.98618869472</v>
      </c>
      <c r="F181" s="87">
        <f t="shared" si="57"/>
        <v>391111.81775820092</v>
      </c>
      <c r="I181" s="87"/>
      <c r="J181" s="87"/>
      <c r="K181" s="87"/>
      <c r="N181" s="87"/>
      <c r="O181" s="87"/>
      <c r="P181" s="87"/>
      <c r="AC181" s="14"/>
      <c r="AD181" s="14"/>
      <c r="AE181" s="14"/>
      <c r="AF181" s="14"/>
      <c r="AG181" s="14"/>
      <c r="AH181" s="14"/>
      <c r="AI181" s="14"/>
      <c r="AJ181" s="14"/>
      <c r="AK181" s="14"/>
      <c r="AL181" s="14"/>
      <c r="AM181" s="14"/>
      <c r="AN181" s="14"/>
      <c r="AO181" s="14"/>
      <c r="AP181" s="14"/>
      <c r="AQ181" s="14"/>
    </row>
    <row r="182" spans="3:43" x14ac:dyDescent="0.2">
      <c r="C182">
        <v>3</v>
      </c>
      <c r="D182" s="87">
        <f>IF(C182&lt;=DefaultData!C$48,-ISPMT(DefaultData!C$49,C182,DefaultData!C$48,DefaultData!C$30*DefaultData!C$47),0)</f>
        <v>183719.22762331794</v>
      </c>
      <c r="E182" s="87">
        <f>IF(C182&lt;=DefaultData!C$48,-PPMT(DefaultData!C$49,C182,DefaultData!C$48,DefaultData!C$47*DefaultData!C$30),0)</f>
        <v>199261.68480756419</v>
      </c>
      <c r="F182" s="87">
        <f t="shared" si="57"/>
        <v>382980.9124308821</v>
      </c>
      <c r="I182" s="87"/>
      <c r="J182" s="87"/>
      <c r="K182" s="87"/>
      <c r="N182" s="87"/>
      <c r="O182" s="87"/>
      <c r="P182" s="87"/>
    </row>
    <row r="183" spans="3:43" x14ac:dyDescent="0.2">
      <c r="C183">
        <v>4</v>
      </c>
      <c r="D183" s="87">
        <f>IF(C183&lt;=DefaultData!C$48,-ISPMT(DefaultData!C$49,C183,DefaultData!C$48,DefaultData!C$30*DefaultData!C$47),0)</f>
        <v>157473.62367712968</v>
      </c>
      <c r="E183" s="87">
        <f>IF(C183&lt;=DefaultData!C$48,-PPMT(DefaultData!C$49,C183,DefaultData!C$48,DefaultData!C$47*DefaultData!C$30),0)</f>
        <v>219187.85328832065</v>
      </c>
      <c r="F183" s="87">
        <f t="shared" si="57"/>
        <v>376661.47696545033</v>
      </c>
      <c r="I183" s="87"/>
      <c r="J183" s="87"/>
      <c r="K183" s="87"/>
      <c r="N183" s="87"/>
      <c r="O183" s="87"/>
      <c r="P183" s="87"/>
      <c r="AB183" s="14"/>
    </row>
    <row r="184" spans="3:43" x14ac:dyDescent="0.2">
      <c r="C184">
        <v>5</v>
      </c>
      <c r="D184" s="87">
        <f>IF(C184&lt;=DefaultData!C$48,-ISPMT(DefaultData!C$49,C184,DefaultData!C$48,DefaultData!C$30*DefaultData!C$47),0)</f>
        <v>131228.01973094139</v>
      </c>
      <c r="E184" s="87">
        <f>IF(C184&lt;=DefaultData!C$48,-PPMT(DefaultData!C$49,C184,DefaultData!C$48,DefaultData!C$47*DefaultData!C$30),0)</f>
        <v>241106.6386171527</v>
      </c>
      <c r="F184" s="87">
        <f t="shared" si="57"/>
        <v>372334.65834809409</v>
      </c>
      <c r="I184" s="87"/>
      <c r="J184" s="87"/>
      <c r="K184" s="87"/>
      <c r="N184" s="87"/>
      <c r="O184" s="87"/>
      <c r="P184" s="87"/>
    </row>
    <row r="185" spans="3:43" x14ac:dyDescent="0.2">
      <c r="C185">
        <v>6</v>
      </c>
      <c r="D185" s="87">
        <f>IF(C185&lt;=DefaultData!C$48,-ISPMT(DefaultData!C$49,C185,DefaultData!C$48,DefaultData!C$30*DefaultData!C$47),0)</f>
        <v>104982.41578475312</v>
      </c>
      <c r="E185" s="87">
        <f>IF(C185&lt;=DefaultData!C$48,-PPMT(DefaultData!C$49,C185,DefaultData!C$48,DefaultData!C$47*DefaultData!C$30),0)</f>
        <v>265217.30247886793</v>
      </c>
      <c r="F185" s="87">
        <f t="shared" si="57"/>
        <v>370199.71826362103</v>
      </c>
      <c r="I185" s="87"/>
      <c r="J185" s="87"/>
      <c r="K185" s="87"/>
      <c r="N185" s="87"/>
      <c r="O185" s="87"/>
      <c r="P185" s="87"/>
    </row>
    <row r="186" spans="3:43" x14ac:dyDescent="0.2">
      <c r="C186">
        <v>7</v>
      </c>
      <c r="D186" s="87">
        <f>IF(C186&lt;=DefaultData!C$48,-ISPMT(DefaultData!C$49,C186,DefaultData!C$48,DefaultData!C$30*DefaultData!C$47),0)</f>
        <v>78736.811838564841</v>
      </c>
      <c r="E186" s="87">
        <f>IF(C186&lt;=DefaultData!C$48,-PPMT(DefaultData!C$49,C186,DefaultData!C$48,DefaultData!C$47*DefaultData!C$30),0)</f>
        <v>291739.03272675478</v>
      </c>
      <c r="F186" s="87">
        <f t="shared" si="57"/>
        <v>370475.8445653196</v>
      </c>
      <c r="I186" s="87"/>
      <c r="J186" s="87"/>
      <c r="K186" s="87"/>
      <c r="N186" s="87"/>
      <c r="O186" s="87"/>
      <c r="P186" s="87"/>
    </row>
    <row r="187" spans="3:43" x14ac:dyDescent="0.2">
      <c r="C187">
        <v>8</v>
      </c>
      <c r="D187" s="87">
        <f>IF(C187&lt;=DefaultData!C$48,-ISPMT(DefaultData!C$49,C187,DefaultData!C$48,DefaultData!C$30*DefaultData!C$47),0)</f>
        <v>52491.207892376558</v>
      </c>
      <c r="E187" s="87">
        <f>IF(C187&lt;=DefaultData!C$48,-PPMT(DefaultData!C$49,C187,DefaultData!C$48,DefaultData!C$47*DefaultData!C$30),0)</f>
        <v>320912.93599943025</v>
      </c>
      <c r="F187" s="87">
        <f t="shared" si="57"/>
        <v>373404.14389180683</v>
      </c>
      <c r="I187" s="87"/>
      <c r="J187" s="87"/>
      <c r="K187" s="87"/>
      <c r="N187" s="87"/>
      <c r="O187" s="87"/>
      <c r="P187" s="87"/>
    </row>
    <row r="188" spans="3:43" x14ac:dyDescent="0.2">
      <c r="C188">
        <v>9</v>
      </c>
      <c r="D188" s="87">
        <f>IF(C188&lt;=DefaultData!C$48,-ISPMT(DefaultData!C$49,C188,DefaultData!C$48,DefaultData!C$30*DefaultData!C$47),0)</f>
        <v>26245.603946188279</v>
      </c>
      <c r="E188" s="87">
        <f>IF(C188&lt;=DefaultData!C$48,-PPMT(DefaultData!C$49,C188,DefaultData!C$48,DefaultData!C$47*DefaultData!C$30),0)</f>
        <v>353004.22959937324</v>
      </c>
      <c r="F188" s="87">
        <f t="shared" si="57"/>
        <v>379249.83354556153</v>
      </c>
      <c r="I188" s="87"/>
      <c r="J188" s="87"/>
      <c r="K188" s="87"/>
      <c r="N188" s="87"/>
      <c r="O188" s="87"/>
      <c r="P188" s="87"/>
    </row>
    <row r="189" spans="3:43" x14ac:dyDescent="0.2">
      <c r="C189">
        <v>10</v>
      </c>
      <c r="D189" s="87">
        <f>IF(C189&lt;=DefaultData!C$48,-ISPMT(DefaultData!C$49,C189,DefaultData!C$48,DefaultData!C$30*DefaultData!C$47),0)</f>
        <v>0</v>
      </c>
      <c r="E189" s="87">
        <f>IF(C189&lt;=DefaultData!C$48,-PPMT(DefaultData!C$49,C189,DefaultData!C$48,DefaultData!C$47*DefaultData!C$30),0)</f>
        <v>388304.65255931055</v>
      </c>
      <c r="F189" s="87">
        <f t="shared" si="57"/>
        <v>388304.65255931055</v>
      </c>
      <c r="I189" s="87"/>
      <c r="J189" s="87"/>
      <c r="K189" s="87"/>
      <c r="N189" s="87"/>
      <c r="O189" s="87"/>
      <c r="P189" s="87"/>
    </row>
    <row r="190" spans="3:43" x14ac:dyDescent="0.2">
      <c r="C190">
        <v>11</v>
      </c>
      <c r="D190" s="87">
        <f>IF(C190&lt;=DefaultData!C$48,-ISPMT(DefaultData!C$49,C190,DefaultData!C$48,DefaultData!C$30*DefaultData!C$47),0)</f>
        <v>0</v>
      </c>
      <c r="E190" s="87">
        <f>IF(C190&lt;=DefaultData!C$48,-PPMT(DefaultData!C$49,C190,DefaultData!C$48,DefaultData!C$47*DefaultData!C$30),0)</f>
        <v>0</v>
      </c>
      <c r="F190" s="87">
        <f t="shared" si="57"/>
        <v>0</v>
      </c>
      <c r="I190" s="87"/>
      <c r="J190" s="87"/>
      <c r="K190" s="87"/>
      <c r="N190" s="87"/>
      <c r="O190" s="87"/>
      <c r="P190" s="87"/>
    </row>
    <row r="191" spans="3:43" x14ac:dyDescent="0.2">
      <c r="C191">
        <v>12</v>
      </c>
      <c r="D191" s="87">
        <f>IF(C191&lt;=DefaultData!C$48,-ISPMT(DefaultData!C$49,C191,DefaultData!C$48,DefaultData!C$30*DefaultData!C$47),0)</f>
        <v>0</v>
      </c>
      <c r="E191" s="87">
        <f>IF(C191&lt;=DefaultData!C$48,-PPMT(DefaultData!C$49,C191,DefaultData!C$48,DefaultData!C$47*DefaultData!C$30),0)</f>
        <v>0</v>
      </c>
      <c r="F191" s="87">
        <f t="shared" si="57"/>
        <v>0</v>
      </c>
      <c r="I191" s="87"/>
      <c r="J191" s="87"/>
      <c r="K191" s="87"/>
      <c r="N191" s="87"/>
      <c r="O191" s="87"/>
      <c r="P191" s="87"/>
    </row>
    <row r="192" spans="3:43" x14ac:dyDescent="0.2">
      <c r="C192">
        <v>13</v>
      </c>
      <c r="D192" s="87">
        <f>IF(C192&lt;=DefaultData!C$48,-ISPMT(DefaultData!C$49,C192,DefaultData!C$48,DefaultData!C$30*DefaultData!C$47),0)</f>
        <v>0</v>
      </c>
      <c r="E192" s="87">
        <f>IF(C192&lt;=DefaultData!C$48,-PPMT(DefaultData!C$49,C192,DefaultData!C$48,DefaultData!C$47*DefaultData!C$30),0)</f>
        <v>0</v>
      </c>
      <c r="F192" s="87">
        <f t="shared" si="57"/>
        <v>0</v>
      </c>
      <c r="I192" s="87"/>
      <c r="J192" s="87"/>
      <c r="K192" s="87"/>
      <c r="N192" s="87"/>
      <c r="O192" s="87"/>
      <c r="P192" s="87"/>
    </row>
    <row r="193" spans="3:16" x14ac:dyDescent="0.2">
      <c r="C193">
        <v>14</v>
      </c>
      <c r="D193" s="87">
        <f>IF(C193&lt;=DefaultData!C$48,-ISPMT(DefaultData!C$49,C193,DefaultData!C$48,DefaultData!C$30*DefaultData!C$47),0)</f>
        <v>0</v>
      </c>
      <c r="E193" s="87">
        <f>IF(C193&lt;=DefaultData!C$48,-PPMT(DefaultData!C$49,C193,DefaultData!C$48,DefaultData!C$47*DefaultData!C$30),0)</f>
        <v>0</v>
      </c>
      <c r="F193" s="87">
        <f t="shared" si="57"/>
        <v>0</v>
      </c>
      <c r="I193" s="87"/>
      <c r="J193" s="87"/>
      <c r="K193" s="87"/>
      <c r="N193" s="87"/>
      <c r="O193" s="87"/>
      <c r="P193" s="87"/>
    </row>
    <row r="194" spans="3:16" x14ac:dyDescent="0.2">
      <c r="C194">
        <v>15</v>
      </c>
      <c r="D194" s="87">
        <f>IF(C194&lt;=DefaultData!C$48,-ISPMT(DefaultData!C$49,C194,DefaultData!C$48,DefaultData!C$30*DefaultData!C$47),0)</f>
        <v>0</v>
      </c>
      <c r="E194" s="87">
        <f>IF(C194&lt;=DefaultData!C$48,-PPMT(DefaultData!C$49,C194,DefaultData!C$48,DefaultData!C$47*DefaultData!C$30),0)</f>
        <v>0</v>
      </c>
      <c r="F194" s="87">
        <f t="shared" si="57"/>
        <v>0</v>
      </c>
      <c r="I194" s="87"/>
      <c r="J194" s="87"/>
      <c r="K194" s="87"/>
      <c r="N194" s="87"/>
      <c r="O194" s="87"/>
      <c r="P194" s="87"/>
    </row>
    <row r="195" spans="3:16" x14ac:dyDescent="0.2">
      <c r="C195">
        <v>16</v>
      </c>
      <c r="D195" s="87">
        <f>IF(C195&lt;=DefaultData!C$48,-ISPMT(DefaultData!C$49,C195,DefaultData!C$48,DefaultData!C$30*DefaultData!C$47),0)</f>
        <v>0</v>
      </c>
      <c r="E195" s="87">
        <f>IF(C195&lt;=DefaultData!C$48,-PPMT(DefaultData!C$49,C195,DefaultData!C$48,DefaultData!C$47*DefaultData!C$30),0)</f>
        <v>0</v>
      </c>
      <c r="F195" s="87">
        <f t="shared" si="57"/>
        <v>0</v>
      </c>
      <c r="I195" s="87"/>
      <c r="J195" s="87"/>
      <c r="K195" s="87"/>
      <c r="N195" s="87"/>
      <c r="O195" s="87"/>
      <c r="P195" s="87"/>
    </row>
    <row r="196" spans="3:16" x14ac:dyDescent="0.2">
      <c r="C196">
        <v>17</v>
      </c>
      <c r="D196" s="87">
        <f>IF(C196&lt;=DefaultData!C$48,-ISPMT(DefaultData!C$49,C196,DefaultData!C$48,DefaultData!C$30*DefaultData!C$47),0)</f>
        <v>0</v>
      </c>
      <c r="E196" s="87">
        <f>IF(C196&lt;=DefaultData!C$48,-PPMT(DefaultData!C$49,C196,DefaultData!C$48,DefaultData!C$47*DefaultData!C$30),0)</f>
        <v>0</v>
      </c>
      <c r="F196" s="87">
        <f t="shared" si="57"/>
        <v>0</v>
      </c>
      <c r="I196" s="87"/>
      <c r="J196" s="87"/>
      <c r="K196" s="87"/>
      <c r="N196" s="87"/>
      <c r="O196" s="87"/>
      <c r="P196" s="87"/>
    </row>
    <row r="197" spans="3:16" x14ac:dyDescent="0.2">
      <c r="C197">
        <v>18</v>
      </c>
      <c r="D197" s="87">
        <f>IF(C197&lt;=DefaultData!C$48,-ISPMT(DefaultData!C$49,C197,DefaultData!C$48,DefaultData!C$30*DefaultData!C$47),0)</f>
        <v>0</v>
      </c>
      <c r="E197" s="87">
        <f>IF(C197&lt;=DefaultData!C$48,-PPMT(DefaultData!C$49,C197,DefaultData!C$48,DefaultData!C$47*DefaultData!C$30),0)</f>
        <v>0</v>
      </c>
      <c r="F197" s="87">
        <f t="shared" si="57"/>
        <v>0</v>
      </c>
      <c r="I197" s="87"/>
      <c r="J197" s="87"/>
      <c r="K197" s="87"/>
      <c r="N197" s="87"/>
      <c r="O197" s="87"/>
      <c r="P197" s="87"/>
    </row>
    <row r="198" spans="3:16" x14ac:dyDescent="0.2">
      <c r="C198">
        <v>19</v>
      </c>
      <c r="D198" s="87">
        <f>IF(C198&lt;=DefaultData!C$48,-ISPMT(DefaultData!C$49,C198,DefaultData!C$48,DefaultData!C$30*DefaultData!C$47),0)</f>
        <v>0</v>
      </c>
      <c r="E198" s="87">
        <f>IF(C198&lt;=DefaultData!C$48,-PPMT(DefaultData!C$49,C198,DefaultData!C$48,DefaultData!C$47*DefaultData!C$30),0)</f>
        <v>0</v>
      </c>
      <c r="F198" s="87">
        <f t="shared" si="57"/>
        <v>0</v>
      </c>
      <c r="I198" s="87"/>
      <c r="J198" s="87"/>
      <c r="K198" s="87"/>
      <c r="N198" s="87"/>
      <c r="O198" s="87"/>
      <c r="P198" s="87"/>
    </row>
    <row r="199" spans="3:16" x14ac:dyDescent="0.2">
      <c r="C199">
        <v>20</v>
      </c>
      <c r="D199" s="87">
        <f>IF(C199&lt;=DefaultData!C$48,-ISPMT(DefaultData!C$49,C199,DefaultData!C$48,DefaultData!C$30*DefaultData!C$47),0)</f>
        <v>0</v>
      </c>
      <c r="E199" s="87">
        <f>IF(C199&lt;=DefaultData!C$48,-PPMT(DefaultData!C$49,C199,DefaultData!C$48,DefaultData!C$47*DefaultData!C$30),0)</f>
        <v>0</v>
      </c>
      <c r="F199" s="87">
        <f t="shared" si="57"/>
        <v>0</v>
      </c>
      <c r="I199" s="87"/>
      <c r="J199" s="87"/>
      <c r="K199" s="87"/>
      <c r="N199" s="87"/>
      <c r="O199" s="87"/>
      <c r="P199" s="87"/>
    </row>
    <row r="200" spans="3:16" x14ac:dyDescent="0.2">
      <c r="C200">
        <v>21</v>
      </c>
      <c r="D200" s="87">
        <f>IF(C200&lt;=DefaultData!C$48,-ISPMT(DefaultData!C$49,C200,DefaultData!C$48,DefaultData!C$30*DefaultData!C$47),0)</f>
        <v>0</v>
      </c>
      <c r="E200" s="87">
        <f>IF(C200&lt;=DefaultData!C$48,-PPMT(DefaultData!C$49,C200,DefaultData!C$48,DefaultData!C$47*DefaultData!C$30),0)</f>
        <v>0</v>
      </c>
      <c r="F200" s="87">
        <f t="shared" si="57"/>
        <v>0</v>
      </c>
      <c r="I200" s="87"/>
      <c r="J200" s="87"/>
      <c r="K200" s="87"/>
      <c r="N200" s="87"/>
      <c r="O200" s="87"/>
      <c r="P200" s="87"/>
    </row>
    <row r="201" spans="3:16" x14ac:dyDescent="0.2">
      <c r="C201">
        <v>22</v>
      </c>
      <c r="D201" s="87">
        <f>IF(C201&lt;=DefaultData!C$48,-ISPMT(DefaultData!C$49,C201,DefaultData!C$48,DefaultData!C$30*DefaultData!C$47),0)</f>
        <v>0</v>
      </c>
      <c r="E201" s="87">
        <f>IF(C201&lt;=DefaultData!C$48,-PPMT(DefaultData!C$49,C201,DefaultData!C$48,DefaultData!C$47*DefaultData!C$30),0)</f>
        <v>0</v>
      </c>
      <c r="F201" s="87">
        <f t="shared" si="57"/>
        <v>0</v>
      </c>
      <c r="I201" s="87"/>
      <c r="J201" s="87"/>
      <c r="K201" s="87"/>
      <c r="N201" s="87"/>
      <c r="O201" s="87"/>
      <c r="P201" s="87"/>
    </row>
    <row r="202" spans="3:16" x14ac:dyDescent="0.2">
      <c r="C202">
        <v>23</v>
      </c>
      <c r="D202" s="87">
        <f>IF(C202&lt;=DefaultData!C$48,-ISPMT(DefaultData!C$49,C202,DefaultData!C$48,DefaultData!C$30*DefaultData!C$47),0)</f>
        <v>0</v>
      </c>
      <c r="E202" s="87">
        <f>IF(C202&lt;=DefaultData!C$48,-PPMT(DefaultData!C$49,C202,DefaultData!C$48,DefaultData!C$47*DefaultData!C$30),0)</f>
        <v>0</v>
      </c>
      <c r="F202" s="87">
        <f t="shared" si="57"/>
        <v>0</v>
      </c>
      <c r="I202" s="87"/>
      <c r="J202" s="87"/>
      <c r="K202" s="87"/>
      <c r="N202" s="87"/>
      <c r="O202" s="87"/>
      <c r="P202" s="87"/>
    </row>
    <row r="203" spans="3:16" x14ac:dyDescent="0.2">
      <c r="C203">
        <v>24</v>
      </c>
      <c r="D203" s="87">
        <f>IF(C203&lt;=DefaultData!C$48,-ISPMT(DefaultData!C$49,C203,DefaultData!C$48,DefaultData!C$30*DefaultData!C$47),0)</f>
        <v>0</v>
      </c>
      <c r="E203" s="87">
        <f>IF(C203&lt;=DefaultData!C$48,-PPMT(DefaultData!C$49,C203,DefaultData!C$48,DefaultData!C$47*DefaultData!C$30),0)</f>
        <v>0</v>
      </c>
      <c r="F203" s="87">
        <f t="shared" si="57"/>
        <v>0</v>
      </c>
      <c r="I203" s="87"/>
      <c r="J203" s="87"/>
      <c r="K203" s="87"/>
      <c r="N203" s="87"/>
      <c r="O203" s="87"/>
      <c r="P203" s="87"/>
    </row>
    <row r="204" spans="3:16" x14ac:dyDescent="0.2">
      <c r="C204">
        <v>25</v>
      </c>
      <c r="D204" s="87">
        <f>IF(C204&lt;=DefaultData!C$48,-ISPMT(DefaultData!C$49,C204,DefaultData!C$48,DefaultData!C$30*DefaultData!C$47),0)</f>
        <v>0</v>
      </c>
      <c r="E204" s="87">
        <f>IF(C204&lt;=DefaultData!C$48,-PPMT(DefaultData!C$49,C204,DefaultData!C$48,DefaultData!C$47*DefaultData!C$30),0)</f>
        <v>0</v>
      </c>
      <c r="F204" s="87">
        <f t="shared" si="57"/>
        <v>0</v>
      </c>
      <c r="I204" s="87"/>
      <c r="J204" s="87"/>
      <c r="K204" s="87"/>
      <c r="N204" s="87"/>
      <c r="O204" s="87"/>
      <c r="P204" s="87"/>
    </row>
    <row r="205" spans="3:16" x14ac:dyDescent="0.2">
      <c r="C205">
        <v>26</v>
      </c>
      <c r="D205" s="87">
        <f>IF(C205&lt;=DefaultData!C$48,-ISPMT(DefaultData!C$49,C205,DefaultData!C$48,DefaultData!C$30*DefaultData!C$47),0)</f>
        <v>0</v>
      </c>
      <c r="E205" s="87">
        <f>IF(C205&lt;=DefaultData!C$48,-PPMT(DefaultData!C$49,C205,DefaultData!C$48,DefaultData!C$47*DefaultData!C$30),0)</f>
        <v>0</v>
      </c>
      <c r="F205" s="87">
        <f t="shared" si="57"/>
        <v>0</v>
      </c>
      <c r="I205" s="87"/>
      <c r="J205" s="87"/>
      <c r="K205" s="87"/>
      <c r="N205" s="87"/>
      <c r="O205" s="87"/>
      <c r="P205" s="87"/>
    </row>
    <row r="206" spans="3:16" x14ac:dyDescent="0.2">
      <c r="C206">
        <v>27</v>
      </c>
      <c r="D206" s="87">
        <f>IF(C206&lt;=DefaultData!C$48,-ISPMT(DefaultData!C$49,C206,DefaultData!C$48,DefaultData!C$30*DefaultData!C$47),0)</f>
        <v>0</v>
      </c>
      <c r="E206" s="87">
        <f>IF(C206&lt;=DefaultData!C$48,-PPMT(DefaultData!C$49,C206,DefaultData!C$48,DefaultData!C$47*DefaultData!C$30),0)</f>
        <v>0</v>
      </c>
      <c r="F206" s="87">
        <f t="shared" si="57"/>
        <v>0</v>
      </c>
      <c r="I206" s="87"/>
      <c r="J206" s="87"/>
      <c r="K206" s="87"/>
      <c r="N206" s="87"/>
      <c r="O206" s="87"/>
      <c r="P206" s="87"/>
    </row>
    <row r="207" spans="3:16" x14ac:dyDescent="0.2">
      <c r="C207">
        <v>28</v>
      </c>
      <c r="D207" s="87">
        <f>IF(C207&lt;=DefaultData!C$48,-ISPMT(DefaultData!C$49,C207,DefaultData!C$48,DefaultData!C$30*DefaultData!C$47),0)</f>
        <v>0</v>
      </c>
      <c r="E207" s="87">
        <f>IF(C207&lt;=DefaultData!C$48,-PPMT(DefaultData!C$49,C207,DefaultData!C$48,DefaultData!C$47*DefaultData!C$30),0)</f>
        <v>0</v>
      </c>
      <c r="F207" s="87">
        <f t="shared" si="57"/>
        <v>0</v>
      </c>
      <c r="I207" s="87"/>
      <c r="J207" s="87"/>
      <c r="K207" s="87"/>
      <c r="N207" s="87"/>
      <c r="O207" s="87"/>
      <c r="P207" s="87"/>
    </row>
    <row r="208" spans="3:16" x14ac:dyDescent="0.2">
      <c r="C208">
        <v>29</v>
      </c>
      <c r="D208" s="87">
        <f>IF(C208&lt;=DefaultData!C$48,-ISPMT(DefaultData!C$49,C208,DefaultData!C$48,DefaultData!C$30*DefaultData!C$47),0)</f>
        <v>0</v>
      </c>
      <c r="E208" s="87">
        <f>IF(C208&lt;=DefaultData!C$48,-PPMT(DefaultData!C$49,C208,DefaultData!C$48,DefaultData!C$47*DefaultData!C$30),0)</f>
        <v>0</v>
      </c>
      <c r="F208" s="87">
        <f t="shared" si="57"/>
        <v>0</v>
      </c>
      <c r="I208" s="87"/>
      <c r="J208" s="87"/>
      <c r="K208" s="87"/>
      <c r="N208" s="87"/>
      <c r="O208" s="87"/>
      <c r="P208" s="87"/>
    </row>
    <row r="209" spans="3:16" x14ac:dyDescent="0.2">
      <c r="C209">
        <v>30</v>
      </c>
      <c r="D209" s="87">
        <f>IF(C209&lt;=DefaultData!C$48,-ISPMT(DefaultData!C$49,C209,DefaultData!C$48,DefaultData!C$30*DefaultData!C$47),0)</f>
        <v>0</v>
      </c>
      <c r="E209" s="87">
        <f>IF(C209&lt;=DefaultData!C$48,-PPMT(DefaultData!C$49,C209,DefaultData!C$48,DefaultData!C$47*DefaultData!C$30),0)</f>
        <v>0</v>
      </c>
      <c r="F209" s="87">
        <f t="shared" si="57"/>
        <v>0</v>
      </c>
      <c r="I209" s="87"/>
      <c r="J209" s="87"/>
      <c r="K209" s="87"/>
      <c r="N209" s="87"/>
      <c r="O209" s="87"/>
      <c r="P209" s="87"/>
    </row>
    <row r="210" spans="3:16" x14ac:dyDescent="0.2">
      <c r="C210" t="s">
        <v>4</v>
      </c>
      <c r="D210" s="87">
        <f>SUM(D180:D209)</f>
        <v>1181052.1775784725</v>
      </c>
      <c r="E210" s="87">
        <f>SUM(E180:E209)</f>
        <v>2624560.3946188283</v>
      </c>
      <c r="F210" s="87">
        <f t="shared" si="57"/>
        <v>3805612.5721973008</v>
      </c>
      <c r="I210" s="87"/>
      <c r="J210" s="87"/>
      <c r="K210" s="87"/>
      <c r="N210" s="87"/>
      <c r="O210" s="87"/>
      <c r="P210" s="87"/>
    </row>
    <row r="211" spans="3:16" x14ac:dyDescent="0.2">
      <c r="C211" t="s">
        <v>171</v>
      </c>
      <c r="D211" s="87">
        <f>D210/DefaultData!$C48</f>
        <v>118105.21775784725</v>
      </c>
      <c r="E211" s="87">
        <f>E210/DefaultData!$C48</f>
        <v>262456.03946188284</v>
      </c>
      <c r="F211" s="87">
        <f t="shared" si="57"/>
        <v>380561.25721973006</v>
      </c>
      <c r="I211" s="87"/>
      <c r="J211" s="87"/>
      <c r="K211" s="87"/>
      <c r="N211" s="87"/>
      <c r="O211" s="87"/>
      <c r="P211" s="87"/>
    </row>
    <row r="213" spans="3:16" x14ac:dyDescent="0.2">
      <c r="C213" s="24" t="s">
        <v>174</v>
      </c>
      <c r="H213" s="24"/>
      <c r="M213" s="24"/>
    </row>
    <row r="214" spans="3:16" x14ac:dyDescent="0.2">
      <c r="C214" t="s">
        <v>161</v>
      </c>
      <c r="H214" s="24"/>
      <c r="M214" s="24"/>
    </row>
    <row r="215" spans="3:16" x14ac:dyDescent="0.2">
      <c r="D215" t="s">
        <v>158</v>
      </c>
      <c r="E215" t="s">
        <v>159</v>
      </c>
      <c r="F215" t="s">
        <v>160</v>
      </c>
    </row>
    <row r="216" spans="3:16" x14ac:dyDescent="0.2">
      <c r="C216">
        <v>1</v>
      </c>
      <c r="D216" s="87">
        <f>IF(C216&lt;=ProjectData!B$68,-ISPMT(ProjectData!B$69,C216,ProjectData!B$68,ProjectData!B$67*ProjectData!B$47),0)</f>
        <v>236210.43551569449</v>
      </c>
      <c r="E216" s="87">
        <f>IF(C216&lt;=ProjectData!B$68,-PPMT(ProjectData!B$69,C216,ProjectData!B$68,ProjectData!B$47*ProjectData!B$67),0)</f>
        <v>164679.07835335884</v>
      </c>
      <c r="F216" s="87">
        <f t="shared" ref="F216:F247" si="58">E216+D216</f>
        <v>400889.51386905333</v>
      </c>
      <c r="I216" s="87"/>
      <c r="J216" s="87"/>
      <c r="K216" s="87"/>
      <c r="N216" s="87"/>
      <c r="O216" s="87"/>
      <c r="P216" s="87"/>
    </row>
    <row r="217" spans="3:16" x14ac:dyDescent="0.2">
      <c r="C217">
        <v>2</v>
      </c>
      <c r="D217" s="87">
        <f>IF(C217&lt;=ProjectData!B$68,-ISPMT(ProjectData!B$69,C217,ProjectData!B$68,ProjectData!B$67*ProjectData!B$47),0)</f>
        <v>209964.83156950623</v>
      </c>
      <c r="E217" s="87">
        <f>IF(C217&lt;=ProjectData!B$68,-PPMT(ProjectData!B$69,C217,ProjectData!B$68,ProjectData!B$47*ProjectData!B$67),0)</f>
        <v>181146.98618869472</v>
      </c>
      <c r="F217" s="87">
        <f t="shared" si="58"/>
        <v>391111.81775820092</v>
      </c>
      <c r="I217" s="87"/>
      <c r="J217" s="87"/>
      <c r="K217" s="87"/>
      <c r="N217" s="87"/>
      <c r="O217" s="87"/>
      <c r="P217" s="87"/>
    </row>
    <row r="218" spans="3:16" x14ac:dyDescent="0.2">
      <c r="C218">
        <v>3</v>
      </c>
      <c r="D218" s="87">
        <f>IF(C218&lt;=ProjectData!B$68,-ISPMT(ProjectData!B$69,C218,ProjectData!B$68,ProjectData!B$67*ProjectData!B$47),0)</f>
        <v>183719.22762331794</v>
      </c>
      <c r="E218" s="87">
        <f>IF(C218&lt;=ProjectData!B$68,-PPMT(ProjectData!B$69,C218,ProjectData!B$68,ProjectData!B$47*ProjectData!B$67),0)</f>
        <v>199261.68480756419</v>
      </c>
      <c r="F218" s="87">
        <f t="shared" si="58"/>
        <v>382980.9124308821</v>
      </c>
      <c r="I218" s="87"/>
      <c r="J218" s="87"/>
      <c r="K218" s="87"/>
      <c r="N218" s="87"/>
      <c r="O218" s="87"/>
      <c r="P218" s="87"/>
    </row>
    <row r="219" spans="3:16" x14ac:dyDescent="0.2">
      <c r="C219">
        <v>4</v>
      </c>
      <c r="D219" s="87">
        <f>IF(C219&lt;=ProjectData!B$68,-ISPMT(ProjectData!B$69,C219,ProjectData!B$68,ProjectData!B$67*ProjectData!B$47),0)</f>
        <v>157473.62367712968</v>
      </c>
      <c r="E219" s="87">
        <f>IF(C219&lt;=ProjectData!B$68,-PPMT(ProjectData!B$69,C219,ProjectData!B$68,ProjectData!B$47*ProjectData!B$67),0)</f>
        <v>219187.85328832065</v>
      </c>
      <c r="F219" s="87">
        <f t="shared" si="58"/>
        <v>376661.47696545033</v>
      </c>
      <c r="I219" s="87"/>
      <c r="J219" s="87"/>
      <c r="K219" s="87"/>
      <c r="N219" s="87"/>
      <c r="O219" s="87"/>
      <c r="P219" s="87"/>
    </row>
    <row r="220" spans="3:16" x14ac:dyDescent="0.2">
      <c r="C220">
        <v>5</v>
      </c>
      <c r="D220" s="87">
        <f>IF(C220&lt;=ProjectData!B$68,-ISPMT(ProjectData!B$69,C220,ProjectData!B$68,ProjectData!B$67*ProjectData!B$47),0)</f>
        <v>131228.01973094139</v>
      </c>
      <c r="E220" s="87">
        <f>IF(C220&lt;=ProjectData!B$68,-PPMT(ProjectData!B$69,C220,ProjectData!B$68,ProjectData!B$47*ProjectData!B$67),0)</f>
        <v>241106.6386171527</v>
      </c>
      <c r="F220" s="87">
        <f t="shared" si="58"/>
        <v>372334.65834809409</v>
      </c>
      <c r="I220" s="87"/>
      <c r="J220" s="87"/>
      <c r="K220" s="87"/>
      <c r="N220" s="87"/>
      <c r="O220" s="87"/>
      <c r="P220" s="87"/>
    </row>
    <row r="221" spans="3:16" x14ac:dyDescent="0.2">
      <c r="C221">
        <v>6</v>
      </c>
      <c r="D221" s="87">
        <f>IF(C221&lt;=ProjectData!B$68,-ISPMT(ProjectData!B$69,C221,ProjectData!B$68,ProjectData!B$67*ProjectData!B$47),0)</f>
        <v>104982.41578475312</v>
      </c>
      <c r="E221" s="87">
        <f>IF(C221&lt;=ProjectData!B$68,-PPMT(ProjectData!B$69,C221,ProjectData!B$68,ProjectData!B$47*ProjectData!B$67),0)</f>
        <v>265217.30247886793</v>
      </c>
      <c r="F221" s="87">
        <f t="shared" si="58"/>
        <v>370199.71826362103</v>
      </c>
      <c r="I221" s="87"/>
      <c r="J221" s="87"/>
      <c r="K221" s="87"/>
      <c r="N221" s="87"/>
      <c r="O221" s="87"/>
      <c r="P221" s="87"/>
    </row>
    <row r="222" spans="3:16" x14ac:dyDescent="0.2">
      <c r="C222">
        <v>7</v>
      </c>
      <c r="D222" s="87">
        <f>IF(C222&lt;=ProjectData!B$68,-ISPMT(ProjectData!B$69,C222,ProjectData!B$68,ProjectData!B$67*ProjectData!B$47),0)</f>
        <v>78736.811838564841</v>
      </c>
      <c r="E222" s="87">
        <f>IF(C222&lt;=ProjectData!B$68,-PPMT(ProjectData!B$69,C222,ProjectData!B$68,ProjectData!B$47*ProjectData!B$67),0)</f>
        <v>291739.03272675478</v>
      </c>
      <c r="F222" s="87">
        <f t="shared" si="58"/>
        <v>370475.8445653196</v>
      </c>
      <c r="I222" s="87"/>
      <c r="J222" s="87"/>
      <c r="K222" s="87"/>
      <c r="N222" s="87"/>
      <c r="O222" s="87"/>
      <c r="P222" s="87"/>
    </row>
    <row r="223" spans="3:16" x14ac:dyDescent="0.2">
      <c r="C223">
        <v>8</v>
      </c>
      <c r="D223" s="87">
        <f>IF(C223&lt;=ProjectData!B$68,-ISPMT(ProjectData!B$69,C223,ProjectData!B$68,ProjectData!B$67*ProjectData!B$47),0)</f>
        <v>52491.207892376558</v>
      </c>
      <c r="E223" s="87">
        <f>IF(C223&lt;=ProjectData!B$68,-PPMT(ProjectData!B$69,C223,ProjectData!B$68,ProjectData!B$47*ProjectData!B$67),0)</f>
        <v>320912.93599943025</v>
      </c>
      <c r="F223" s="87">
        <f t="shared" si="58"/>
        <v>373404.14389180683</v>
      </c>
      <c r="I223" s="87"/>
      <c r="J223" s="87"/>
      <c r="K223" s="87"/>
      <c r="N223" s="87"/>
      <c r="O223" s="87"/>
      <c r="P223" s="87"/>
    </row>
    <row r="224" spans="3:16" x14ac:dyDescent="0.2">
      <c r="C224">
        <v>9</v>
      </c>
      <c r="D224" s="87">
        <f>IF(C224&lt;=ProjectData!B$68,-ISPMT(ProjectData!B$69,C224,ProjectData!B$68,ProjectData!B$67*ProjectData!B$47),0)</f>
        <v>26245.603946188279</v>
      </c>
      <c r="E224" s="87">
        <f>IF(C224&lt;=ProjectData!B$68,-PPMT(ProjectData!B$69,C224,ProjectData!B$68,ProjectData!B$47*ProjectData!B$67),0)</f>
        <v>353004.22959937324</v>
      </c>
      <c r="F224" s="87">
        <f t="shared" si="58"/>
        <v>379249.83354556153</v>
      </c>
      <c r="I224" s="87"/>
      <c r="J224" s="87"/>
      <c r="K224" s="87"/>
      <c r="N224" s="87"/>
      <c r="O224" s="87"/>
      <c r="P224" s="87"/>
    </row>
    <row r="225" spans="3:16" x14ac:dyDescent="0.2">
      <c r="C225">
        <v>10</v>
      </c>
      <c r="D225" s="87">
        <f>IF(C225&lt;=ProjectData!B$68,-ISPMT(ProjectData!B$69,C225,ProjectData!B$68,ProjectData!B$67*ProjectData!B$47),0)</f>
        <v>0</v>
      </c>
      <c r="E225" s="87">
        <f>IF(C225&lt;=ProjectData!B$68,-PPMT(ProjectData!B$69,C225,ProjectData!B$68,ProjectData!B$47*ProjectData!B$67),0)</f>
        <v>388304.65255931055</v>
      </c>
      <c r="F225" s="87">
        <f t="shared" si="58"/>
        <v>388304.65255931055</v>
      </c>
      <c r="I225" s="87"/>
      <c r="J225" s="87"/>
      <c r="K225" s="87"/>
      <c r="N225" s="87"/>
      <c r="O225" s="87"/>
      <c r="P225" s="87"/>
    </row>
    <row r="226" spans="3:16" x14ac:dyDescent="0.2">
      <c r="C226">
        <v>11</v>
      </c>
      <c r="D226" s="87">
        <f>IF(C226&lt;=ProjectData!B$68,-ISPMT(ProjectData!B$69,C226,ProjectData!B$68,ProjectData!B$67*ProjectData!B$47),0)</f>
        <v>0</v>
      </c>
      <c r="E226" s="87">
        <f>IF(C226&lt;=ProjectData!B$68,-PPMT(ProjectData!B$69,C226,ProjectData!B$68,ProjectData!B$47*ProjectData!B$67),0)</f>
        <v>0</v>
      </c>
      <c r="F226" s="87">
        <f t="shared" si="58"/>
        <v>0</v>
      </c>
      <c r="I226" s="87"/>
      <c r="J226" s="87"/>
      <c r="K226" s="87"/>
      <c r="N226" s="87"/>
      <c r="O226" s="87"/>
      <c r="P226" s="87"/>
    </row>
    <row r="227" spans="3:16" x14ac:dyDescent="0.2">
      <c r="C227">
        <v>12</v>
      </c>
      <c r="D227" s="87">
        <f>IF(C227&lt;=ProjectData!B$68,-ISPMT(ProjectData!B$69,C227,ProjectData!B$68,ProjectData!B$67*ProjectData!B$47),0)</f>
        <v>0</v>
      </c>
      <c r="E227" s="87">
        <f>IF(C227&lt;=ProjectData!B$68,-PPMT(ProjectData!B$69,C227,ProjectData!B$68,ProjectData!B$47*ProjectData!B$67),0)</f>
        <v>0</v>
      </c>
      <c r="F227" s="87">
        <f t="shared" si="58"/>
        <v>0</v>
      </c>
      <c r="I227" s="87"/>
      <c r="J227" s="87"/>
      <c r="K227" s="87"/>
      <c r="N227" s="87"/>
      <c r="O227" s="87"/>
      <c r="P227" s="87"/>
    </row>
    <row r="228" spans="3:16" x14ac:dyDescent="0.2">
      <c r="C228">
        <v>13</v>
      </c>
      <c r="D228" s="87">
        <f>IF(C228&lt;=ProjectData!B$68,-ISPMT(ProjectData!B$69,C228,ProjectData!B$68,ProjectData!B$67*ProjectData!B$47),0)</f>
        <v>0</v>
      </c>
      <c r="E228" s="87">
        <f>IF(C228&lt;=ProjectData!B$68,-PPMT(ProjectData!B$69,C228,ProjectData!B$68,ProjectData!B$47*ProjectData!B$67),0)</f>
        <v>0</v>
      </c>
      <c r="F228" s="87">
        <f t="shared" si="58"/>
        <v>0</v>
      </c>
      <c r="I228" s="87"/>
      <c r="J228" s="87"/>
      <c r="K228" s="87"/>
      <c r="N228" s="87"/>
      <c r="O228" s="87"/>
      <c r="P228" s="87"/>
    </row>
    <row r="229" spans="3:16" x14ac:dyDescent="0.2">
      <c r="C229">
        <v>14</v>
      </c>
      <c r="D229" s="87">
        <f>IF(C229&lt;=ProjectData!B$68,-ISPMT(ProjectData!B$69,C229,ProjectData!B$68,ProjectData!B$67*ProjectData!B$47),0)</f>
        <v>0</v>
      </c>
      <c r="E229" s="87">
        <f>IF(C229&lt;=ProjectData!B$68,-PPMT(ProjectData!B$69,C229,ProjectData!B$68,ProjectData!B$47*ProjectData!B$67),0)</f>
        <v>0</v>
      </c>
      <c r="F229" s="87">
        <f t="shared" si="58"/>
        <v>0</v>
      </c>
      <c r="I229" s="87"/>
      <c r="J229" s="87"/>
      <c r="K229" s="87"/>
      <c r="N229" s="87"/>
      <c r="O229" s="87"/>
      <c r="P229" s="87"/>
    </row>
    <row r="230" spans="3:16" x14ac:dyDescent="0.2">
      <c r="C230">
        <v>15</v>
      </c>
      <c r="D230" s="87">
        <f>IF(C230&lt;=ProjectData!B$68,-ISPMT(ProjectData!B$69,C230,ProjectData!B$68,ProjectData!B$67*ProjectData!B$47),0)</f>
        <v>0</v>
      </c>
      <c r="E230" s="87">
        <f>IF(C230&lt;=ProjectData!B$68,-PPMT(ProjectData!B$69,C230,ProjectData!B$68,ProjectData!B$47*ProjectData!B$67),0)</f>
        <v>0</v>
      </c>
      <c r="F230" s="87">
        <f t="shared" si="58"/>
        <v>0</v>
      </c>
      <c r="I230" s="87"/>
      <c r="J230" s="87"/>
      <c r="K230" s="87"/>
      <c r="N230" s="87"/>
      <c r="O230" s="87"/>
      <c r="P230" s="87"/>
    </row>
    <row r="231" spans="3:16" x14ac:dyDescent="0.2">
      <c r="C231">
        <v>16</v>
      </c>
      <c r="D231" s="87">
        <f>IF(C231&lt;=ProjectData!B$68,-ISPMT(ProjectData!B$69,C231,ProjectData!B$68,ProjectData!B$67*ProjectData!B$47),0)</f>
        <v>0</v>
      </c>
      <c r="E231" s="87">
        <f>IF(C231&lt;=ProjectData!B$68,-PPMT(ProjectData!B$69,C231,ProjectData!B$68,ProjectData!B$47*ProjectData!B$67),0)</f>
        <v>0</v>
      </c>
      <c r="F231" s="87">
        <f t="shared" si="58"/>
        <v>0</v>
      </c>
      <c r="I231" s="87"/>
      <c r="J231" s="87"/>
      <c r="K231" s="87"/>
      <c r="N231" s="87"/>
      <c r="O231" s="87"/>
      <c r="P231" s="87"/>
    </row>
    <row r="232" spans="3:16" x14ac:dyDescent="0.2">
      <c r="C232">
        <v>17</v>
      </c>
      <c r="D232" s="87">
        <f>IF(C232&lt;=ProjectData!B$68,-ISPMT(ProjectData!B$69,C232,ProjectData!B$68,ProjectData!B$67*ProjectData!B$47),0)</f>
        <v>0</v>
      </c>
      <c r="E232" s="87">
        <f>IF(C232&lt;=ProjectData!B$68,-PPMT(ProjectData!B$69,C232,ProjectData!B$68,ProjectData!B$47*ProjectData!B$67),0)</f>
        <v>0</v>
      </c>
      <c r="F232" s="87">
        <f t="shared" si="58"/>
        <v>0</v>
      </c>
      <c r="I232" s="87"/>
      <c r="J232" s="87"/>
      <c r="K232" s="87"/>
      <c r="N232" s="87"/>
      <c r="O232" s="87"/>
      <c r="P232" s="87"/>
    </row>
    <row r="233" spans="3:16" x14ac:dyDescent="0.2">
      <c r="C233">
        <v>18</v>
      </c>
      <c r="D233" s="87">
        <f>IF(C233&lt;=ProjectData!B$68,-ISPMT(ProjectData!B$69,C233,ProjectData!B$68,ProjectData!B$67*ProjectData!B$47),0)</f>
        <v>0</v>
      </c>
      <c r="E233" s="87">
        <f>IF(C233&lt;=ProjectData!B$68,-PPMT(ProjectData!B$69,C233,ProjectData!B$68,ProjectData!B$47*ProjectData!B$67),0)</f>
        <v>0</v>
      </c>
      <c r="F233" s="87">
        <f t="shared" si="58"/>
        <v>0</v>
      </c>
      <c r="I233" s="87"/>
      <c r="J233" s="87"/>
      <c r="K233" s="87"/>
      <c r="N233" s="87"/>
      <c r="O233" s="87"/>
      <c r="P233" s="87"/>
    </row>
    <row r="234" spans="3:16" x14ac:dyDescent="0.2">
      <c r="C234">
        <v>19</v>
      </c>
      <c r="D234" s="87">
        <f>IF(C234&lt;=ProjectData!B$68,-ISPMT(ProjectData!B$69,C234,ProjectData!B$68,ProjectData!B$67*ProjectData!B$47),0)</f>
        <v>0</v>
      </c>
      <c r="E234" s="87">
        <f>IF(C234&lt;=ProjectData!B$68,-PPMT(ProjectData!B$69,C234,ProjectData!B$68,ProjectData!B$47*ProjectData!B$67),0)</f>
        <v>0</v>
      </c>
      <c r="F234" s="87">
        <f t="shared" si="58"/>
        <v>0</v>
      </c>
      <c r="I234" s="87"/>
      <c r="J234" s="87"/>
      <c r="K234" s="87"/>
      <c r="N234" s="87"/>
      <c r="O234" s="87"/>
      <c r="P234" s="87"/>
    </row>
    <row r="235" spans="3:16" x14ac:dyDescent="0.2">
      <c r="C235">
        <v>20</v>
      </c>
      <c r="D235" s="87">
        <f>IF(C235&lt;=ProjectData!B$68,-ISPMT(ProjectData!B$69,C235,ProjectData!B$68,ProjectData!B$67*ProjectData!B$47),0)</f>
        <v>0</v>
      </c>
      <c r="E235" s="87">
        <f>IF(C235&lt;=ProjectData!B$68,-PPMT(ProjectData!B$69,C235,ProjectData!B$68,ProjectData!B$47*ProjectData!B$67),0)</f>
        <v>0</v>
      </c>
      <c r="F235" s="87">
        <f t="shared" si="58"/>
        <v>0</v>
      </c>
      <c r="I235" s="87"/>
      <c r="J235" s="87"/>
      <c r="K235" s="87"/>
      <c r="N235" s="87"/>
      <c r="O235" s="87"/>
      <c r="P235" s="87"/>
    </row>
    <row r="236" spans="3:16" x14ac:dyDescent="0.2">
      <c r="C236">
        <v>21</v>
      </c>
      <c r="D236" s="87">
        <f>IF(C236&lt;=ProjectData!B$68,-ISPMT(ProjectData!B$69,C236,ProjectData!B$68,ProjectData!B$67*ProjectData!B$47),0)</f>
        <v>0</v>
      </c>
      <c r="E236" s="87">
        <f>IF(C236&lt;=ProjectData!B$68,-PPMT(ProjectData!B$69,C236,ProjectData!B$68,ProjectData!B$47*ProjectData!B$67),0)</f>
        <v>0</v>
      </c>
      <c r="F236" s="87">
        <f t="shared" si="58"/>
        <v>0</v>
      </c>
      <c r="I236" s="87"/>
      <c r="J236" s="87"/>
      <c r="K236" s="87"/>
      <c r="N236" s="87"/>
      <c r="O236" s="87"/>
      <c r="P236" s="87"/>
    </row>
    <row r="237" spans="3:16" x14ac:dyDescent="0.2">
      <c r="C237">
        <v>22</v>
      </c>
      <c r="D237" s="87">
        <f>IF(C237&lt;=ProjectData!B$68,-ISPMT(ProjectData!B$69,C237,ProjectData!B$68,ProjectData!B$67*ProjectData!B$47),0)</f>
        <v>0</v>
      </c>
      <c r="E237" s="87">
        <f>IF(C237&lt;=ProjectData!B$68,-PPMT(ProjectData!B$69,C237,ProjectData!B$68,ProjectData!B$47*ProjectData!B$67),0)</f>
        <v>0</v>
      </c>
      <c r="F237" s="87">
        <f t="shared" si="58"/>
        <v>0</v>
      </c>
      <c r="I237" s="87"/>
      <c r="J237" s="87"/>
      <c r="K237" s="87"/>
      <c r="N237" s="87"/>
      <c r="O237" s="87"/>
      <c r="P237" s="87"/>
    </row>
    <row r="238" spans="3:16" x14ac:dyDescent="0.2">
      <c r="C238">
        <v>23</v>
      </c>
      <c r="D238" s="87">
        <f>IF(C238&lt;=ProjectData!B$68,-ISPMT(ProjectData!B$69,C238,ProjectData!B$68,ProjectData!B$67*ProjectData!B$47),0)</f>
        <v>0</v>
      </c>
      <c r="E238" s="87">
        <f>IF(C238&lt;=ProjectData!B$68,-PPMT(ProjectData!B$69,C238,ProjectData!B$68,ProjectData!B$47*ProjectData!B$67),0)</f>
        <v>0</v>
      </c>
      <c r="F238" s="87">
        <f t="shared" si="58"/>
        <v>0</v>
      </c>
      <c r="I238" s="87"/>
      <c r="J238" s="87"/>
      <c r="K238" s="87"/>
      <c r="N238" s="87"/>
      <c r="O238" s="87"/>
      <c r="P238" s="87"/>
    </row>
    <row r="239" spans="3:16" x14ac:dyDescent="0.2">
      <c r="C239">
        <v>24</v>
      </c>
      <c r="D239" s="87">
        <f>IF(C239&lt;=ProjectData!B$68,-ISPMT(ProjectData!B$69,C239,ProjectData!B$68,ProjectData!B$67*ProjectData!B$47),0)</f>
        <v>0</v>
      </c>
      <c r="E239" s="87">
        <f>IF(C239&lt;=ProjectData!B$68,-PPMT(ProjectData!B$69,C239,ProjectData!B$68,ProjectData!B$47*ProjectData!B$67),0)</f>
        <v>0</v>
      </c>
      <c r="F239" s="87">
        <f t="shared" si="58"/>
        <v>0</v>
      </c>
      <c r="I239" s="87"/>
      <c r="J239" s="87"/>
      <c r="K239" s="87"/>
      <c r="N239" s="87"/>
      <c r="O239" s="87"/>
      <c r="P239" s="87"/>
    </row>
    <row r="240" spans="3:16" x14ac:dyDescent="0.2">
      <c r="C240">
        <v>25</v>
      </c>
      <c r="D240" s="87">
        <f>IF(C240&lt;=ProjectData!B$68,-ISPMT(ProjectData!B$69,C240,ProjectData!B$68,ProjectData!B$67*ProjectData!B$47),0)</f>
        <v>0</v>
      </c>
      <c r="E240" s="87">
        <f>IF(C240&lt;=ProjectData!B$68,-PPMT(ProjectData!B$69,C240,ProjectData!B$68,ProjectData!B$47*ProjectData!B$67),0)</f>
        <v>0</v>
      </c>
      <c r="F240" s="87">
        <f t="shared" si="58"/>
        <v>0</v>
      </c>
      <c r="I240" s="87"/>
      <c r="J240" s="87"/>
      <c r="K240" s="87"/>
      <c r="N240" s="87"/>
      <c r="O240" s="87"/>
      <c r="P240" s="87"/>
    </row>
    <row r="241" spans="3:16" x14ac:dyDescent="0.2">
      <c r="C241">
        <v>26</v>
      </c>
      <c r="D241" s="87">
        <f>IF(C241&lt;=ProjectData!B$68,-ISPMT(ProjectData!B$69,C241,ProjectData!B$68,ProjectData!B$67*ProjectData!B$47),0)</f>
        <v>0</v>
      </c>
      <c r="E241" s="87">
        <f>IF(C241&lt;=ProjectData!B$68,-PPMT(ProjectData!B$69,C241,ProjectData!B$68,ProjectData!B$47*ProjectData!B$67),0)</f>
        <v>0</v>
      </c>
      <c r="F241" s="87">
        <f t="shared" si="58"/>
        <v>0</v>
      </c>
      <c r="I241" s="87"/>
      <c r="J241" s="87"/>
      <c r="K241" s="87"/>
      <c r="N241" s="87"/>
      <c r="O241" s="87"/>
      <c r="P241" s="87"/>
    </row>
    <row r="242" spans="3:16" x14ac:dyDescent="0.2">
      <c r="C242">
        <v>27</v>
      </c>
      <c r="D242" s="87">
        <f>IF(C242&lt;=ProjectData!B$68,-ISPMT(ProjectData!B$69,C242,ProjectData!B$68,ProjectData!B$67*ProjectData!B$47),0)</f>
        <v>0</v>
      </c>
      <c r="E242" s="87">
        <f>IF(C242&lt;=ProjectData!B$68,-PPMT(ProjectData!B$69,C242,ProjectData!B$68,ProjectData!B$47*ProjectData!B$67),0)</f>
        <v>0</v>
      </c>
      <c r="F242" s="87">
        <f t="shared" si="58"/>
        <v>0</v>
      </c>
      <c r="I242" s="87"/>
      <c r="J242" s="87"/>
      <c r="K242" s="87"/>
      <c r="N242" s="87"/>
      <c r="O242" s="87"/>
      <c r="P242" s="87"/>
    </row>
    <row r="243" spans="3:16" x14ac:dyDescent="0.2">
      <c r="C243">
        <v>28</v>
      </c>
      <c r="D243" s="87">
        <f>IF(C243&lt;=ProjectData!B$68,-ISPMT(ProjectData!B$69,C243,ProjectData!B$68,ProjectData!B$67*ProjectData!B$47),0)</f>
        <v>0</v>
      </c>
      <c r="E243" s="87">
        <f>IF(C243&lt;=ProjectData!B$68,-PPMT(ProjectData!B$69,C243,ProjectData!B$68,ProjectData!B$47*ProjectData!B$67),0)</f>
        <v>0</v>
      </c>
      <c r="F243" s="87">
        <f t="shared" si="58"/>
        <v>0</v>
      </c>
      <c r="I243" s="87"/>
      <c r="J243" s="87"/>
      <c r="K243" s="87"/>
      <c r="N243" s="87"/>
      <c r="O243" s="87"/>
      <c r="P243" s="87"/>
    </row>
    <row r="244" spans="3:16" x14ac:dyDescent="0.2">
      <c r="C244">
        <v>29</v>
      </c>
      <c r="D244" s="87">
        <f>IF(C244&lt;=ProjectData!B$68,-ISPMT(ProjectData!B$69,C244,ProjectData!B$68,ProjectData!B$67*ProjectData!B$47),0)</f>
        <v>0</v>
      </c>
      <c r="E244" s="87">
        <f>IF(C244&lt;=ProjectData!B$68,-PPMT(ProjectData!B$69,C244,ProjectData!B$68,ProjectData!B$47*ProjectData!B$67),0)</f>
        <v>0</v>
      </c>
      <c r="F244" s="87">
        <f t="shared" si="58"/>
        <v>0</v>
      </c>
      <c r="I244" s="87"/>
      <c r="J244" s="87"/>
      <c r="K244" s="87"/>
      <c r="N244" s="87"/>
      <c r="O244" s="87"/>
      <c r="P244" s="87"/>
    </row>
    <row r="245" spans="3:16" x14ac:dyDescent="0.2">
      <c r="C245">
        <v>30</v>
      </c>
      <c r="D245" s="87">
        <f>IF(C245&lt;=ProjectData!B$68,-ISPMT(ProjectData!B$69,C245,ProjectData!B$68,ProjectData!B$67*ProjectData!B$47),0)</f>
        <v>0</v>
      </c>
      <c r="E245" s="87">
        <f>IF(C245&lt;=ProjectData!B$68,-PPMT(ProjectData!B$69,C245,ProjectData!B$68,ProjectData!B$47*ProjectData!B$67),0)</f>
        <v>0</v>
      </c>
      <c r="F245" s="87">
        <f t="shared" si="58"/>
        <v>0</v>
      </c>
      <c r="I245" s="87"/>
      <c r="J245" s="87"/>
      <c r="K245" s="87"/>
      <c r="N245" s="87"/>
      <c r="O245" s="87"/>
      <c r="P245" s="87"/>
    </row>
    <row r="246" spans="3:16" x14ac:dyDescent="0.2">
      <c r="C246" t="s">
        <v>4</v>
      </c>
      <c r="D246" s="87">
        <f>SUM(D216:D245)</f>
        <v>1181052.1775784725</v>
      </c>
      <c r="E246" s="87">
        <f>SUM(E216:E245)</f>
        <v>2624560.3946188283</v>
      </c>
      <c r="F246" s="87">
        <f t="shared" si="58"/>
        <v>3805612.5721973008</v>
      </c>
      <c r="I246" s="87"/>
      <c r="J246" s="87"/>
      <c r="K246" s="87"/>
      <c r="N246" s="87"/>
      <c r="O246" s="87"/>
      <c r="P246" s="87"/>
    </row>
    <row r="247" spans="3:16" x14ac:dyDescent="0.2">
      <c r="C247" t="s">
        <v>171</v>
      </c>
      <c r="D247" s="87">
        <f>D246/ProjectData!B68</f>
        <v>118105.21775784725</v>
      </c>
      <c r="E247" s="87">
        <f>E246/ProjectData!B68</f>
        <v>262456.03946188284</v>
      </c>
      <c r="F247" s="87">
        <f t="shared" si="58"/>
        <v>380561.25721973006</v>
      </c>
      <c r="I247" s="87"/>
      <c r="J247" s="87"/>
      <c r="K247" s="87"/>
      <c r="N247" s="87"/>
      <c r="O247" s="87"/>
      <c r="P247" s="87"/>
    </row>
    <row r="249" spans="3:16" x14ac:dyDescent="0.2">
      <c r="N249" s="108"/>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79" max="16383" man="1"/>
  </rowBreaks>
  <colBreaks count="2" manualBreakCount="2">
    <brk id="24" max="1048575" man="1"/>
    <brk id="31" max="1048575" man="1"/>
  </colBreaks>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N51"/>
  <sheetViews>
    <sheetView workbookViewId="0">
      <selection activeCell="F4" sqref="F4"/>
    </sheetView>
  </sheetViews>
  <sheetFormatPr defaultRowHeight="12.75" x14ac:dyDescent="0.2"/>
  <cols>
    <col min="1" max="1" width="177" style="242" customWidth="1"/>
    <col min="3" max="3" width="12.7109375" customWidth="1"/>
    <col min="4" max="4" width="10.85546875" customWidth="1"/>
    <col min="23" max="25" width="9.5703125" bestFit="1" customWidth="1"/>
    <col min="26" max="29" width="10.5703125" bestFit="1" customWidth="1"/>
    <col min="30" max="32" width="11.5703125" bestFit="1" customWidth="1"/>
    <col min="33" max="35" width="12.5703125" bestFit="1" customWidth="1"/>
    <col min="36" max="37" width="13.7109375" bestFit="1" customWidth="1"/>
  </cols>
  <sheetData>
    <row r="1" spans="1:66" x14ac:dyDescent="0.2">
      <c r="A1" s="238"/>
      <c r="G1" s="14"/>
    </row>
    <row r="2" spans="1:66" x14ac:dyDescent="0.2">
      <c r="A2" s="238"/>
      <c r="B2" s="147" t="str">
        <f>CONCATENATE("Conversion to Year ",D4," dollars and back for consistency with multiplier data.")</f>
        <v>Conversion to Year 2008 dollars and back for consistency with multiplier data.</v>
      </c>
      <c r="F2" s="14"/>
    </row>
    <row r="3" spans="1:66" x14ac:dyDescent="0.2">
      <c r="A3" s="238"/>
      <c r="B3" s="147"/>
      <c r="F3" s="14"/>
    </row>
    <row r="4" spans="1:66" x14ac:dyDescent="0.2">
      <c r="A4" s="238"/>
      <c r="B4" s="24" t="s">
        <v>216</v>
      </c>
      <c r="D4">
        <f>IF(ProjectData!B12="MYCOUNTY",'User Add-in Location'!D3,IF(ProjectData!B12="MYREGION",'User Add-in Location'!D4,Multipliers!D2))</f>
        <v>2008</v>
      </c>
      <c r="E4" s="154" t="str">
        <f>IF(D4=0,"ERROR","")</f>
        <v/>
      </c>
      <c r="F4" s="14" t="s">
        <v>217</v>
      </c>
      <c r="H4" s="1" t="str">
        <f>ProjectData!B12</f>
        <v xml:space="preserve">CALIFORNIA </v>
      </c>
    </row>
    <row r="5" spans="1:66" ht="23.25" x14ac:dyDescent="0.35">
      <c r="A5" s="239" t="s">
        <v>269</v>
      </c>
      <c r="B5" s="24" t="s">
        <v>218</v>
      </c>
      <c r="D5">
        <f>+ProjectData!B24</f>
        <v>2010</v>
      </c>
    </row>
    <row r="6" spans="1:66" x14ac:dyDescent="0.2">
      <c r="A6" s="238"/>
      <c r="E6" s="153"/>
    </row>
    <row r="7" spans="1:66" ht="15.75" x14ac:dyDescent="0.25">
      <c r="A7" s="240" t="s">
        <v>270</v>
      </c>
      <c r="B7" s="242"/>
      <c r="C7" s="242" t="s">
        <v>119</v>
      </c>
      <c r="D7" s="313"/>
      <c r="E7" s="313">
        <f>HLOOKUP($D$5,$C$11:$AL$43,$C$41)</f>
        <v>0.97941945890992577</v>
      </c>
      <c r="F7" s="242"/>
      <c r="G7" s="242"/>
      <c r="H7" s="242"/>
      <c r="I7" s="242"/>
      <c r="J7" s="242"/>
      <c r="K7" s="242"/>
      <c r="L7" s="242"/>
      <c r="M7" s="242"/>
      <c r="N7" s="242"/>
      <c r="O7" s="242"/>
      <c r="P7" s="242"/>
      <c r="Q7" s="242"/>
      <c r="R7" s="242"/>
      <c r="S7" s="242"/>
      <c r="T7" s="242"/>
      <c r="U7" s="242"/>
      <c r="V7" s="242"/>
      <c r="W7" s="242"/>
      <c r="X7" s="242"/>
      <c r="Y7" s="242"/>
      <c r="Z7" s="242"/>
      <c r="AA7" s="242"/>
      <c r="AB7" s="242"/>
      <c r="AC7" s="242"/>
      <c r="AD7" s="242"/>
      <c r="AE7" s="242"/>
      <c r="AF7" s="242"/>
      <c r="AG7" s="242"/>
      <c r="AH7" s="242"/>
      <c r="AI7" s="242"/>
      <c r="AJ7" s="242"/>
      <c r="AK7" s="242"/>
      <c r="AL7" s="242"/>
    </row>
    <row r="8" spans="1:66" ht="15" x14ac:dyDescent="0.2">
      <c r="A8" s="241"/>
      <c r="B8" s="242"/>
      <c r="C8" s="242" t="s">
        <v>202</v>
      </c>
      <c r="D8" s="313"/>
      <c r="E8" s="313">
        <f>HLOOKUP($D$5,$C$11:$AL$43,$C$42)</f>
        <v>1.0210129999999999</v>
      </c>
      <c r="F8" s="242"/>
      <c r="G8" s="242"/>
      <c r="H8" s="242"/>
      <c r="I8" s="242"/>
      <c r="J8" s="242"/>
      <c r="K8" s="242"/>
      <c r="L8" s="242"/>
      <c r="M8" s="242"/>
      <c r="N8" s="242"/>
      <c r="O8" s="242"/>
      <c r="P8" s="242"/>
      <c r="Q8" s="242"/>
      <c r="R8" s="242"/>
      <c r="S8" s="242"/>
      <c r="T8" s="242"/>
      <c r="U8" s="242"/>
      <c r="V8" s="242"/>
      <c r="W8" s="242"/>
      <c r="X8" s="242"/>
      <c r="Y8" s="242"/>
      <c r="Z8" s="242"/>
      <c r="AA8" s="242"/>
      <c r="AB8" s="242"/>
      <c r="AC8" s="242"/>
      <c r="AD8" s="242"/>
      <c r="AE8" s="242"/>
      <c r="AF8" s="242"/>
      <c r="AG8" s="242"/>
      <c r="AH8" s="242"/>
      <c r="AI8" s="242"/>
      <c r="AJ8" s="242"/>
      <c r="AK8" s="242"/>
      <c r="AL8" s="242"/>
    </row>
    <row r="9" spans="1:66" ht="15.75" x14ac:dyDescent="0.25">
      <c r="A9" s="240" t="s">
        <v>271</v>
      </c>
      <c r="B9" s="242"/>
      <c r="C9" s="247"/>
      <c r="D9" s="247"/>
      <c r="E9" s="247"/>
      <c r="F9" s="242"/>
      <c r="G9" s="242"/>
      <c r="H9" s="242"/>
      <c r="I9" s="242"/>
      <c r="J9" s="242"/>
      <c r="K9" s="242"/>
      <c r="L9" s="242"/>
      <c r="M9" s="242"/>
      <c r="N9" s="242"/>
      <c r="O9" s="242"/>
      <c r="P9" s="247"/>
      <c r="Q9" s="247"/>
      <c r="R9" s="247"/>
      <c r="S9" s="247"/>
      <c r="T9" s="247"/>
      <c r="U9" s="247"/>
      <c r="V9" s="247"/>
      <c r="W9" s="247"/>
      <c r="X9" s="247"/>
      <c r="Y9" s="247"/>
      <c r="Z9" s="247"/>
      <c r="AA9" s="247"/>
      <c r="AB9" s="247"/>
      <c r="AC9" s="247"/>
      <c r="AD9" s="247"/>
      <c r="AE9" s="247"/>
      <c r="AF9" s="247"/>
      <c r="AG9" s="247"/>
      <c r="AH9" s="247"/>
      <c r="AI9" s="247"/>
      <c r="AJ9" s="247"/>
      <c r="AK9" s="247"/>
      <c r="AL9" s="242"/>
    </row>
    <row r="10" spans="1:66" ht="15.75" x14ac:dyDescent="0.25">
      <c r="A10" s="240"/>
      <c r="B10" s="242"/>
      <c r="C10" s="248"/>
      <c r="D10" s="248"/>
      <c r="E10" s="248"/>
      <c r="F10" s="248"/>
      <c r="G10" s="248"/>
      <c r="H10" s="248"/>
      <c r="I10" s="248"/>
      <c r="J10" s="248"/>
      <c r="K10" s="248"/>
      <c r="L10" s="242"/>
      <c r="M10" s="242"/>
      <c r="N10" s="242"/>
      <c r="O10" s="242"/>
      <c r="P10" s="242"/>
      <c r="Q10" s="242"/>
      <c r="R10" s="242"/>
      <c r="S10" s="242"/>
      <c r="T10" s="242"/>
      <c r="U10" s="247"/>
      <c r="V10" s="242"/>
      <c r="W10" s="242"/>
      <c r="X10" s="242"/>
      <c r="Y10" s="242"/>
      <c r="Z10" s="242"/>
      <c r="AA10" s="242"/>
      <c r="AB10" s="242"/>
      <c r="AC10" s="242"/>
      <c r="AD10" s="242"/>
      <c r="AE10" s="242"/>
      <c r="AF10" s="242"/>
      <c r="AG10" s="242"/>
      <c r="AH10" s="242"/>
      <c r="AI10" s="242"/>
      <c r="AJ10" s="242"/>
      <c r="AK10" s="242"/>
      <c r="AL10" s="242"/>
    </row>
    <row r="11" spans="1:66" ht="15.75" x14ac:dyDescent="0.25">
      <c r="A11" s="317" t="s">
        <v>272</v>
      </c>
      <c r="B11" s="445"/>
      <c r="C11" s="446">
        <v>1996</v>
      </c>
      <c r="D11" s="446">
        <v>1997</v>
      </c>
      <c r="E11" s="446">
        <v>1998</v>
      </c>
      <c r="F11" s="446">
        <v>1999</v>
      </c>
      <c r="G11" s="446">
        <v>2000</v>
      </c>
      <c r="H11" s="446">
        <v>2001</v>
      </c>
      <c r="I11" s="446">
        <v>2002</v>
      </c>
      <c r="J11" s="446">
        <v>2003</v>
      </c>
      <c r="K11" s="446">
        <v>2004</v>
      </c>
      <c r="L11" s="446">
        <v>2005</v>
      </c>
      <c r="M11" s="446">
        <v>2006</v>
      </c>
      <c r="N11" s="446">
        <v>2007</v>
      </c>
      <c r="O11" s="446">
        <v>2008</v>
      </c>
      <c r="P11" s="446">
        <v>2009</v>
      </c>
      <c r="Q11" s="446">
        <v>2010</v>
      </c>
      <c r="R11" s="446">
        <v>2011</v>
      </c>
      <c r="S11" s="446">
        <v>2012</v>
      </c>
      <c r="T11" s="446">
        <v>2013</v>
      </c>
      <c r="U11" s="446">
        <v>2014</v>
      </c>
      <c r="V11" s="446">
        <v>2015</v>
      </c>
      <c r="W11" s="446">
        <v>2016</v>
      </c>
      <c r="X11" s="446">
        <v>2017</v>
      </c>
      <c r="Y11" s="446">
        <v>2018</v>
      </c>
      <c r="Z11" s="446">
        <v>2019</v>
      </c>
      <c r="AA11" s="446">
        <v>2020</v>
      </c>
      <c r="AB11" s="446">
        <v>2021</v>
      </c>
      <c r="AC11" s="446">
        <v>2022</v>
      </c>
      <c r="AD11" s="446">
        <v>2023</v>
      </c>
      <c r="AE11" s="446">
        <v>2024</v>
      </c>
      <c r="AF11" s="446">
        <v>2025</v>
      </c>
      <c r="AG11" s="446">
        <v>2026</v>
      </c>
      <c r="AH11" s="446">
        <v>2027</v>
      </c>
      <c r="AI11" s="446">
        <v>2028</v>
      </c>
      <c r="AJ11" s="446">
        <v>2029</v>
      </c>
      <c r="AK11" s="446">
        <v>2030</v>
      </c>
      <c r="AL11" s="446">
        <v>2031</v>
      </c>
      <c r="AM11" s="249"/>
      <c r="AN11" s="249"/>
      <c r="AO11" s="249"/>
      <c r="AP11" s="249"/>
      <c r="AQ11" s="249"/>
      <c r="AR11" s="249"/>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row>
    <row r="12" spans="1:66" x14ac:dyDescent="0.2">
      <c r="A12" s="238"/>
      <c r="B12" s="447" t="s">
        <v>274</v>
      </c>
      <c r="C12" s="448">
        <v>0.78299200000000002</v>
      </c>
      <c r="D12" s="448">
        <v>0.79735299999999998</v>
      </c>
      <c r="E12" s="448">
        <v>0.80749000000000004</v>
      </c>
      <c r="F12" s="448">
        <v>0.81818999999999997</v>
      </c>
      <c r="G12" s="448">
        <v>0.83433500000000005</v>
      </c>
      <c r="H12" s="448">
        <v>0.85404500000000005</v>
      </c>
      <c r="I12" s="448">
        <v>0.86812500000000004</v>
      </c>
      <c r="J12" s="448">
        <v>0.88624000000000003</v>
      </c>
      <c r="K12" s="448">
        <v>0.90895400000000004</v>
      </c>
      <c r="L12" s="448">
        <v>0.93861499999999998</v>
      </c>
      <c r="M12" s="448">
        <v>0.97071499999999999</v>
      </c>
      <c r="N12" s="448">
        <v>1</v>
      </c>
      <c r="O12" s="448">
        <v>1.022902</v>
      </c>
      <c r="P12" s="448">
        <v>1.0365120000000001</v>
      </c>
      <c r="Q12" s="448">
        <v>1.0443960000000001</v>
      </c>
      <c r="R12" s="448">
        <v>1.0582879999999999</v>
      </c>
      <c r="S12" s="448">
        <v>1.073024</v>
      </c>
      <c r="T12" s="449">
        <v>1.090482</v>
      </c>
      <c r="U12" s="449">
        <v>1.1085039999999999</v>
      </c>
      <c r="V12" s="449">
        <v>1.127839</v>
      </c>
      <c r="W12" s="449">
        <v>1.15039578</v>
      </c>
      <c r="X12" s="449">
        <v>1.1734036956</v>
      </c>
      <c r="Y12" s="449">
        <v>1.1968717695120001</v>
      </c>
      <c r="Z12" s="449">
        <v>1.2208092049022401</v>
      </c>
      <c r="AA12" s="449">
        <v>1.2452253890002849</v>
      </c>
      <c r="AB12" s="449">
        <v>1.2701298967802905</v>
      </c>
      <c r="AC12" s="449">
        <v>1.2955324947158964</v>
      </c>
      <c r="AD12" s="449">
        <v>1.3214431446102144</v>
      </c>
      <c r="AE12" s="449">
        <v>1.3478720075024186</v>
      </c>
      <c r="AF12" s="449">
        <v>1.374829447652467</v>
      </c>
      <c r="AG12" s="449">
        <v>1.4023260366055164</v>
      </c>
      <c r="AH12" s="449">
        <v>1.4303725573376267</v>
      </c>
      <c r="AI12" s="449">
        <v>1.4589800084843791</v>
      </c>
      <c r="AJ12" s="449">
        <v>1.4881596086540667</v>
      </c>
      <c r="AK12" s="449">
        <v>1.5179228008271481</v>
      </c>
      <c r="AL12" s="449">
        <v>1.5482812568436912</v>
      </c>
    </row>
    <row r="13" spans="1:66" x14ac:dyDescent="0.2">
      <c r="A13" s="238"/>
      <c r="B13" s="447"/>
      <c r="C13" s="449">
        <v>1.2771522569834686</v>
      </c>
      <c r="D13" s="449">
        <v>1.2541496677130455</v>
      </c>
      <c r="E13" s="449">
        <v>1.2384054291694013</v>
      </c>
      <c r="F13" s="449">
        <v>1.2222100001222211</v>
      </c>
      <c r="G13" s="449">
        <v>1.1985593316833165</v>
      </c>
      <c r="H13" s="449">
        <v>1.1708984889554999</v>
      </c>
      <c r="I13" s="449">
        <v>1.1519078473722102</v>
      </c>
      <c r="J13" s="449">
        <v>1.1283625203105254</v>
      </c>
      <c r="K13" s="449">
        <v>1.1001656849521537</v>
      </c>
      <c r="L13" s="449">
        <v>1.0653995514667889</v>
      </c>
      <c r="M13" s="449">
        <v>1.0301684840555674</v>
      </c>
      <c r="N13" s="449">
        <v>1</v>
      </c>
      <c r="O13" s="449">
        <v>0.97761075841087419</v>
      </c>
      <c r="P13" s="449">
        <v>0.96477416566330143</v>
      </c>
      <c r="Q13" s="449">
        <v>0.95749121980551433</v>
      </c>
      <c r="R13" s="449">
        <v>0.94492236517847705</v>
      </c>
      <c r="S13" s="449">
        <v>0.9319456041989741</v>
      </c>
      <c r="T13" s="449">
        <v>0.91702568222125636</v>
      </c>
      <c r="U13" s="449">
        <v>0.90211672668749965</v>
      </c>
      <c r="V13" s="449">
        <v>0.88665137488595447</v>
      </c>
      <c r="W13" s="449">
        <v>0.8692660538097593</v>
      </c>
      <c r="X13" s="449">
        <v>0.85222162138211688</v>
      </c>
      <c r="Y13" s="449">
        <v>0.83551139351187931</v>
      </c>
      <c r="Z13" s="449">
        <v>0.81912881716850916</v>
      </c>
      <c r="AA13" s="449">
        <v>0.80306746781226379</v>
      </c>
      <c r="AB13" s="449">
        <v>0.78732104687476845</v>
      </c>
      <c r="AC13" s="449">
        <v>0.77188337928898876</v>
      </c>
      <c r="AD13" s="449">
        <v>0.75674841106763591</v>
      </c>
      <c r="AE13" s="449">
        <v>0.74191020692905485</v>
      </c>
      <c r="AF13" s="449">
        <v>0.72736294796966161</v>
      </c>
      <c r="AG13" s="449">
        <v>0.71310092938202119</v>
      </c>
      <c r="AH13" s="449">
        <v>0.69911855821766788</v>
      </c>
      <c r="AI13" s="449">
        <v>0.68541035119379201</v>
      </c>
      <c r="AJ13" s="449">
        <v>0.67197093254293339</v>
      </c>
      <c r="AK13" s="449">
        <v>0.65879503190483657</v>
      </c>
      <c r="AL13" s="449">
        <v>0.6458774822596437</v>
      </c>
    </row>
    <row r="14" spans="1:66" x14ac:dyDescent="0.2">
      <c r="A14" s="238"/>
      <c r="B14" s="447" t="s">
        <v>275</v>
      </c>
      <c r="C14" s="448">
        <v>0.76546199999999998</v>
      </c>
      <c r="D14" s="448">
        <v>0.779501</v>
      </c>
      <c r="E14" s="448">
        <v>0.78941099999999997</v>
      </c>
      <c r="F14" s="448">
        <v>0.79987200000000003</v>
      </c>
      <c r="G14" s="448">
        <v>0.81565399999999999</v>
      </c>
      <c r="H14" s="448">
        <v>0.834924</v>
      </c>
      <c r="I14" s="448">
        <v>0.848688</v>
      </c>
      <c r="J14" s="448">
        <v>0.866398</v>
      </c>
      <c r="K14" s="448">
        <v>0.88860300000000003</v>
      </c>
      <c r="L14" s="448">
        <v>0.91759999999999997</v>
      </c>
      <c r="M14" s="448">
        <v>0.94898099999999996</v>
      </c>
      <c r="N14" s="448">
        <v>0.97761100000000001</v>
      </c>
      <c r="O14" s="448">
        <v>1</v>
      </c>
      <c r="P14" s="448">
        <v>1.0133049999999999</v>
      </c>
      <c r="Q14" s="448">
        <v>1.0210129999999999</v>
      </c>
      <c r="R14" s="448">
        <v>1.034594</v>
      </c>
      <c r="S14" s="448">
        <v>1.0489999999999999</v>
      </c>
      <c r="T14" s="449">
        <v>1.0660670000000001</v>
      </c>
      <c r="U14" s="449">
        <v>1.083685</v>
      </c>
      <c r="V14" s="449">
        <v>1.1025879999999999</v>
      </c>
      <c r="W14" s="449">
        <v>1.12463976</v>
      </c>
      <c r="X14" s="449">
        <v>1.1471325552</v>
      </c>
      <c r="Y14" s="449">
        <v>1.1700752063040001</v>
      </c>
      <c r="Z14" s="449">
        <v>1.1934767104300801</v>
      </c>
      <c r="AA14" s="449">
        <v>1.2173462446386818</v>
      </c>
      <c r="AB14" s="449">
        <v>1.2416931695314555</v>
      </c>
      <c r="AC14" s="449">
        <v>1.2665270329220846</v>
      </c>
      <c r="AD14" s="449">
        <v>1.2918575735805262</v>
      </c>
      <c r="AE14" s="449">
        <v>1.3176947250521367</v>
      </c>
      <c r="AF14" s="449">
        <v>1.3440486195531796</v>
      </c>
      <c r="AG14" s="449">
        <v>1.3709295919442432</v>
      </c>
      <c r="AH14" s="449">
        <v>1.3983481837831282</v>
      </c>
      <c r="AI14" s="449">
        <v>1.4263151474587907</v>
      </c>
      <c r="AJ14" s="449">
        <v>1.4548414504079665</v>
      </c>
      <c r="AK14" s="449">
        <v>1.483938279416126</v>
      </c>
      <c r="AL14" s="449">
        <v>1.5136170450044486</v>
      </c>
      <c r="AM14" s="249"/>
      <c r="AN14" s="249"/>
      <c r="AO14" s="249"/>
      <c r="AP14" s="249"/>
      <c r="AQ14" s="249"/>
      <c r="AR14" s="249"/>
      <c r="AS14" s="249"/>
      <c r="AT14" s="249"/>
      <c r="AU14" s="249"/>
      <c r="AV14" s="249"/>
      <c r="AW14" s="249"/>
      <c r="AX14" s="249"/>
      <c r="AY14" s="249"/>
      <c r="AZ14" s="249"/>
      <c r="BA14" s="249"/>
      <c r="BB14" s="249"/>
      <c r="BC14" s="249"/>
      <c r="BD14" s="249"/>
      <c r="BE14" s="249"/>
      <c r="BF14" s="249"/>
      <c r="BG14" s="249"/>
      <c r="BH14" s="249"/>
      <c r="BI14" s="249"/>
      <c r="BJ14" s="249"/>
      <c r="BK14" s="249"/>
      <c r="BL14" s="249"/>
      <c r="BM14" s="249"/>
      <c r="BN14" s="249"/>
    </row>
    <row r="15" spans="1:66" x14ac:dyDescent="0.2">
      <c r="A15" s="238"/>
      <c r="B15" s="447"/>
      <c r="C15" s="449">
        <v>1.3064005789967366</v>
      </c>
      <c r="D15" s="449">
        <v>1.2828719911841038</v>
      </c>
      <c r="E15" s="449">
        <v>1.2667672479861569</v>
      </c>
      <c r="F15" s="449">
        <v>1.2502000320051208</v>
      </c>
      <c r="G15" s="449">
        <v>1.2260100483783565</v>
      </c>
      <c r="H15" s="449">
        <v>1.1977138038911326</v>
      </c>
      <c r="I15" s="449">
        <v>1.1782893124446203</v>
      </c>
      <c r="J15" s="449">
        <v>1.1542039570728464</v>
      </c>
      <c r="K15" s="449">
        <v>1.1253619445354111</v>
      </c>
      <c r="L15" s="449">
        <v>1.0897994768962511</v>
      </c>
      <c r="M15" s="449">
        <v>1.0537618772135586</v>
      </c>
      <c r="N15" s="449">
        <v>1.0229017472184745</v>
      </c>
      <c r="O15" s="449">
        <v>1</v>
      </c>
      <c r="P15" s="449">
        <v>0.9868696986593376</v>
      </c>
      <c r="Q15" s="449">
        <v>0.97941945890992577</v>
      </c>
      <c r="R15" s="449">
        <v>0.96656272895454642</v>
      </c>
      <c r="S15" s="449">
        <v>0.95328884652049573</v>
      </c>
      <c r="T15" s="449">
        <v>0.93802734724928161</v>
      </c>
      <c r="U15" s="449">
        <v>0.92277737534431126</v>
      </c>
      <c r="V15" s="449">
        <v>0.90695708641849915</v>
      </c>
      <c r="W15" s="449">
        <v>0.88917361413578333</v>
      </c>
      <c r="X15" s="449">
        <v>0.87173883738802294</v>
      </c>
      <c r="Y15" s="449">
        <v>0.85464591900786557</v>
      </c>
      <c r="Z15" s="449">
        <v>0.83788815589006427</v>
      </c>
      <c r="AA15" s="449">
        <v>0.82145897636280796</v>
      </c>
      <c r="AB15" s="449">
        <v>0.80535193761059609</v>
      </c>
      <c r="AC15" s="449">
        <v>0.78956072314764325</v>
      </c>
      <c r="AD15" s="449">
        <v>0.7740791403408267</v>
      </c>
      <c r="AE15" s="449">
        <v>0.75890111798120263</v>
      </c>
      <c r="AF15" s="449">
        <v>0.74402070390313979</v>
      </c>
      <c r="AG15" s="449">
        <v>0.72943206265013705</v>
      </c>
      <c r="AH15" s="449">
        <v>0.71512947318640874</v>
      </c>
      <c r="AI15" s="449">
        <v>0.70110732665334197</v>
      </c>
      <c r="AJ15" s="449">
        <v>0.68736012416994308</v>
      </c>
      <c r="AK15" s="449">
        <v>0.67388247467641471</v>
      </c>
      <c r="AL15" s="449">
        <v>0.6606690928200144</v>
      </c>
    </row>
    <row r="16" spans="1:66" x14ac:dyDescent="0.2">
      <c r="A16" s="238"/>
      <c r="B16" s="447" t="s">
        <v>310</v>
      </c>
      <c r="C16" s="448">
        <v>0.75541100000000005</v>
      </c>
      <c r="D16" s="448">
        <v>0.76926600000000001</v>
      </c>
      <c r="E16" s="448">
        <v>0.77904600000000002</v>
      </c>
      <c r="F16" s="448">
        <v>0.78936899999999999</v>
      </c>
      <c r="G16" s="448">
        <v>0.80494399999999999</v>
      </c>
      <c r="H16" s="448">
        <v>0.82396100000000005</v>
      </c>
      <c r="I16" s="448">
        <v>0.83754399999999996</v>
      </c>
      <c r="J16" s="448">
        <v>0.85502100000000003</v>
      </c>
      <c r="K16" s="448">
        <v>0.87693600000000005</v>
      </c>
      <c r="L16" s="448">
        <v>0.90555099999999999</v>
      </c>
      <c r="M16" s="448">
        <v>0.93652100000000005</v>
      </c>
      <c r="N16" s="448">
        <v>0.96477400000000002</v>
      </c>
      <c r="O16" s="448">
        <v>0.98687000000000002</v>
      </c>
      <c r="P16" s="448">
        <v>1</v>
      </c>
      <c r="Q16" s="448">
        <v>1.0076069999999999</v>
      </c>
      <c r="R16" s="448">
        <v>1.0210090000000001</v>
      </c>
      <c r="S16" s="448">
        <v>1.035226</v>
      </c>
      <c r="T16" s="449">
        <v>1.0520689999999999</v>
      </c>
      <c r="U16" s="449">
        <v>1.069456</v>
      </c>
      <c r="V16" s="449">
        <v>1.0881099999999999</v>
      </c>
      <c r="W16" s="449">
        <v>1.1098721999999999</v>
      </c>
      <c r="X16" s="449">
        <v>1.132069644</v>
      </c>
      <c r="Y16" s="449">
        <v>1.15471103688</v>
      </c>
      <c r="Z16" s="449">
        <v>1.1778052576175999</v>
      </c>
      <c r="AA16" s="449">
        <v>1.201361362769952</v>
      </c>
      <c r="AB16" s="449">
        <v>1.2253885900253509</v>
      </c>
      <c r="AC16" s="449">
        <v>1.2498963618258581</v>
      </c>
      <c r="AD16" s="449">
        <v>1.2748942890623753</v>
      </c>
      <c r="AE16" s="449">
        <v>1.3003921748436229</v>
      </c>
      <c r="AF16" s="449">
        <v>1.3264000183404954</v>
      </c>
      <c r="AG16" s="449">
        <v>1.3529280187073054</v>
      </c>
      <c r="AH16" s="449">
        <v>1.3799865790814516</v>
      </c>
      <c r="AI16" s="449">
        <v>1.4075863106630806</v>
      </c>
      <c r="AJ16" s="449">
        <v>1.4357380368763422</v>
      </c>
      <c r="AK16" s="449">
        <v>1.464452797613869</v>
      </c>
      <c r="AL16" s="449">
        <v>1.4937418535661464</v>
      </c>
    </row>
    <row r="17" spans="1:66" x14ac:dyDescent="0.2">
      <c r="A17" s="238"/>
      <c r="B17" s="447"/>
      <c r="C17" s="449">
        <v>1.3237826825397034</v>
      </c>
      <c r="D17" s="449">
        <v>1.2999404627268072</v>
      </c>
      <c r="E17" s="449">
        <v>1.283621249579614</v>
      </c>
      <c r="F17" s="449">
        <v>1.2668346489411162</v>
      </c>
      <c r="G17" s="449">
        <v>1.2423224472758354</v>
      </c>
      <c r="H17" s="449">
        <v>1.2136496751666643</v>
      </c>
      <c r="I17" s="449">
        <v>1.1939671229213034</v>
      </c>
      <c r="J17" s="449">
        <v>1.169561917192677</v>
      </c>
      <c r="K17" s="449">
        <v>1.1403340722698121</v>
      </c>
      <c r="L17" s="449">
        <v>1.104300033902011</v>
      </c>
      <c r="M17" s="449">
        <v>1.0677817155194598</v>
      </c>
      <c r="N17" s="449">
        <v>1.0365121779815791</v>
      </c>
      <c r="O17" s="449">
        <v>1.0133046905874128</v>
      </c>
      <c r="P17" s="449">
        <v>1</v>
      </c>
      <c r="Q17" s="449">
        <v>0.99245042958216856</v>
      </c>
      <c r="R17" s="449">
        <v>0.97942329597486399</v>
      </c>
      <c r="S17" s="449">
        <v>0.96597264751851286</v>
      </c>
      <c r="T17" s="449">
        <v>0.95050799900006566</v>
      </c>
      <c r="U17" s="449">
        <v>0.93505483161532599</v>
      </c>
      <c r="V17" s="449">
        <v>0.91902473095551007</v>
      </c>
      <c r="W17" s="449">
        <v>0.90100463819167664</v>
      </c>
      <c r="X17" s="449">
        <v>0.88333788058007501</v>
      </c>
      <c r="Y17" s="449">
        <v>0.86601752998046566</v>
      </c>
      <c r="Z17" s="449">
        <v>0.84903679409849586</v>
      </c>
      <c r="AA17" s="449">
        <v>0.83238901382205466</v>
      </c>
      <c r="AB17" s="449">
        <v>0.81606766060985758</v>
      </c>
      <c r="AC17" s="449">
        <v>0.80006633393123283</v>
      </c>
      <c r="AD17" s="449">
        <v>0.78437875875611052</v>
      </c>
      <c r="AE17" s="449">
        <v>0.76899878309422598</v>
      </c>
      <c r="AF17" s="449">
        <v>0.75392037558257452</v>
      </c>
      <c r="AG17" s="449">
        <v>0.73913762312017106</v>
      </c>
      <c r="AH17" s="449">
        <v>0.72464472854918727</v>
      </c>
      <c r="AI17" s="449">
        <v>0.71043600838155618</v>
      </c>
      <c r="AJ17" s="449">
        <v>0.69650589057015311</v>
      </c>
      <c r="AK17" s="449">
        <v>0.6828489123236795</v>
      </c>
      <c r="AL17" s="449">
        <v>0.66945971796439163</v>
      </c>
      <c r="AM17" s="249"/>
      <c r="AN17" s="249"/>
      <c r="AO17" s="249"/>
      <c r="AP17" s="249"/>
      <c r="AQ17" s="249"/>
      <c r="AR17" s="249"/>
      <c r="AS17" s="249"/>
      <c r="AT17" s="249"/>
      <c r="AU17" s="249"/>
      <c r="AV17" s="249"/>
      <c r="AW17" s="249"/>
      <c r="AX17" s="249"/>
      <c r="AY17" s="249"/>
      <c r="AZ17" s="249"/>
      <c r="BA17" s="249"/>
      <c r="BB17" s="249"/>
      <c r="BC17" s="249"/>
      <c r="BD17" s="249"/>
      <c r="BE17" s="249"/>
      <c r="BF17" s="249"/>
      <c r="BG17" s="249"/>
      <c r="BH17" s="249"/>
      <c r="BI17" s="249"/>
      <c r="BJ17" s="249"/>
      <c r="BK17" s="249"/>
      <c r="BL17" s="249"/>
      <c r="BM17" s="249"/>
      <c r="BN17" s="249"/>
    </row>
    <row r="18" spans="1:66" ht="15.75" x14ac:dyDescent="0.25">
      <c r="A18" s="240" t="s">
        <v>273</v>
      </c>
      <c r="B18" s="447" t="s">
        <v>311</v>
      </c>
      <c r="C18" s="448">
        <v>0.74970800000000004</v>
      </c>
      <c r="D18" s="448">
        <v>0.76345799999999997</v>
      </c>
      <c r="E18" s="448">
        <v>0.77316399999999996</v>
      </c>
      <c r="F18" s="448">
        <v>0.78341000000000005</v>
      </c>
      <c r="G18" s="448">
        <v>0.79886800000000002</v>
      </c>
      <c r="H18" s="448">
        <v>0.81774100000000005</v>
      </c>
      <c r="I18" s="448">
        <v>0.83122099999999999</v>
      </c>
      <c r="J18" s="448">
        <v>0.84856699999999996</v>
      </c>
      <c r="K18" s="448">
        <v>0.87031499999999995</v>
      </c>
      <c r="L18" s="448">
        <v>0.89871500000000004</v>
      </c>
      <c r="M18" s="448">
        <v>0.92945100000000003</v>
      </c>
      <c r="N18" s="448">
        <v>0.95749099999999998</v>
      </c>
      <c r="O18" s="448">
        <v>0.97941900000000004</v>
      </c>
      <c r="P18" s="448">
        <v>0.99245099999999997</v>
      </c>
      <c r="Q18" s="448">
        <v>1</v>
      </c>
      <c r="R18" s="448">
        <v>1.013301</v>
      </c>
      <c r="S18" s="448">
        <v>1.0274110000000001</v>
      </c>
      <c r="T18" s="449">
        <v>1.044127</v>
      </c>
      <c r="U18" s="449">
        <v>1.061382</v>
      </c>
      <c r="V18" s="449">
        <v>1.079896</v>
      </c>
      <c r="W18" s="449">
        <v>1.10149392</v>
      </c>
      <c r="X18" s="449">
        <v>1.1235237983999999</v>
      </c>
      <c r="Y18" s="449">
        <v>1.1459942743680001</v>
      </c>
      <c r="Z18" s="449">
        <v>1.1689141598553601</v>
      </c>
      <c r="AA18" s="449">
        <v>1.1922924430524673</v>
      </c>
      <c r="AB18" s="449">
        <v>1.2161382919135166</v>
      </c>
      <c r="AC18" s="449">
        <v>1.2404610577517869</v>
      </c>
      <c r="AD18" s="449">
        <v>1.2652702789068226</v>
      </c>
      <c r="AE18" s="449">
        <v>1.2905756844849592</v>
      </c>
      <c r="AF18" s="449">
        <v>1.3163871981746584</v>
      </c>
      <c r="AG18" s="449">
        <v>1.3427149421381517</v>
      </c>
      <c r="AH18" s="449">
        <v>1.3695692409809148</v>
      </c>
      <c r="AI18" s="449">
        <v>1.3969606258005332</v>
      </c>
      <c r="AJ18" s="449">
        <v>1.4248998383165439</v>
      </c>
      <c r="AK18" s="449">
        <v>1.4533978350828747</v>
      </c>
      <c r="AL18" s="449">
        <v>1.4824657917845323</v>
      </c>
    </row>
    <row r="19" spans="1:66" x14ac:dyDescent="0.2">
      <c r="A19" s="238"/>
      <c r="B19" s="447"/>
      <c r="C19" s="449">
        <v>1.3338526466304215</v>
      </c>
      <c r="D19" s="449">
        <v>1.3098297483293122</v>
      </c>
      <c r="E19" s="449">
        <v>1.2933866553538449</v>
      </c>
      <c r="F19" s="449">
        <v>1.2764708134948493</v>
      </c>
      <c r="G19" s="449">
        <v>1.2517712563277037</v>
      </c>
      <c r="H19" s="449">
        <v>1.2228810833748094</v>
      </c>
      <c r="I19" s="449">
        <v>1.2030494898468638</v>
      </c>
      <c r="J19" s="449">
        <v>1.1784573286493583</v>
      </c>
      <c r="K19" s="449">
        <v>1.1490092667597365</v>
      </c>
      <c r="L19" s="449">
        <v>1.1126997991576861</v>
      </c>
      <c r="M19" s="449">
        <v>1.0759039475991741</v>
      </c>
      <c r="N19" s="449">
        <v>1.0443962397557784</v>
      </c>
      <c r="O19" s="449">
        <v>1.0210134783989282</v>
      </c>
      <c r="P19" s="449">
        <v>1.0076064208711564</v>
      </c>
      <c r="Q19" s="449">
        <v>1</v>
      </c>
      <c r="R19" s="449">
        <v>0.98687359432192412</v>
      </c>
      <c r="S19" s="449">
        <v>0.9733203167962966</v>
      </c>
      <c r="T19" s="449">
        <v>0.95773789969994072</v>
      </c>
      <c r="U19" s="449">
        <v>0.94216785285599336</v>
      </c>
      <c r="V19" s="449">
        <v>0.92601509775015378</v>
      </c>
      <c r="W19" s="449">
        <v>0.90785793897073896</v>
      </c>
      <c r="X19" s="449">
        <v>0.89005680291248923</v>
      </c>
      <c r="Y19" s="449">
        <v>0.87260470873773444</v>
      </c>
      <c r="Z19" s="449">
        <v>0.85549481248797488</v>
      </c>
      <c r="AA19" s="449">
        <v>0.83872040439997542</v>
      </c>
      <c r="AB19" s="449">
        <v>0.82227490627448563</v>
      </c>
      <c r="AC19" s="449">
        <v>0.80615186889655466</v>
      </c>
      <c r="AD19" s="449">
        <v>0.79034496950642608</v>
      </c>
      <c r="AE19" s="449">
        <v>0.77484800932002551</v>
      </c>
      <c r="AF19" s="449">
        <v>0.75965491109806427</v>
      </c>
      <c r="AG19" s="449">
        <v>0.74475971676280806</v>
      </c>
      <c r="AH19" s="449">
        <v>0.73015658506157644</v>
      </c>
      <c r="AI19" s="449">
        <v>0.71583978927605529</v>
      </c>
      <c r="AJ19" s="449">
        <v>0.70180371497652483</v>
      </c>
      <c r="AK19" s="449">
        <v>0.68804285782012242</v>
      </c>
      <c r="AL19" s="449">
        <v>0.67455182139227676</v>
      </c>
    </row>
    <row r="20" spans="1:66" x14ac:dyDescent="0.2">
      <c r="A20" s="238"/>
      <c r="B20" s="447" t="s">
        <v>491</v>
      </c>
      <c r="C20" s="448">
        <v>0.73986700000000005</v>
      </c>
      <c r="D20" s="448">
        <v>0.75343700000000002</v>
      </c>
      <c r="E20" s="448">
        <v>0.76301600000000003</v>
      </c>
      <c r="F20" s="448">
        <v>0.77312599999999998</v>
      </c>
      <c r="G20" s="448">
        <v>0.788381</v>
      </c>
      <c r="H20" s="448">
        <v>0.80700700000000003</v>
      </c>
      <c r="I20" s="448">
        <v>0.82030999999999998</v>
      </c>
      <c r="J20" s="448">
        <v>0.83742799999999995</v>
      </c>
      <c r="K20" s="448">
        <v>0.85889099999999996</v>
      </c>
      <c r="L20" s="448">
        <v>0.88691799999999998</v>
      </c>
      <c r="M20" s="448">
        <v>0.91725100000000004</v>
      </c>
      <c r="N20" s="448">
        <v>0.94492200000000004</v>
      </c>
      <c r="O20" s="448">
        <v>0.96656299999999995</v>
      </c>
      <c r="P20" s="448">
        <v>0.97942399999999996</v>
      </c>
      <c r="Q20" s="448">
        <v>0.98687400000000003</v>
      </c>
      <c r="R20" s="448">
        <v>1</v>
      </c>
      <c r="S20" s="448">
        <v>1.013925</v>
      </c>
      <c r="T20" s="449">
        <v>1.030421</v>
      </c>
      <c r="U20" s="449">
        <v>1.04745</v>
      </c>
      <c r="V20" s="449">
        <v>1.0657209999999999</v>
      </c>
      <c r="W20" s="449">
        <v>1.0870354199999999</v>
      </c>
      <c r="X20" s="449">
        <v>1.1087761283999999</v>
      </c>
      <c r="Y20" s="449">
        <v>1.130951650968</v>
      </c>
      <c r="Z20" s="449">
        <v>1.1535706839873601</v>
      </c>
      <c r="AA20" s="449">
        <v>1.1766420976671073</v>
      </c>
      <c r="AB20" s="449">
        <v>1.2001749396204495</v>
      </c>
      <c r="AC20" s="449">
        <v>1.2241784384128584</v>
      </c>
      <c r="AD20" s="449">
        <v>1.2486620071811156</v>
      </c>
      <c r="AE20" s="449">
        <v>1.2736352473247379</v>
      </c>
      <c r="AF20" s="449">
        <v>1.2991079522712325</v>
      </c>
      <c r="AG20" s="449">
        <v>1.3250901113166573</v>
      </c>
      <c r="AH20" s="449">
        <v>1.3515919135429906</v>
      </c>
      <c r="AI20" s="449">
        <v>1.3786237518138504</v>
      </c>
      <c r="AJ20" s="449">
        <v>1.4061962268501276</v>
      </c>
      <c r="AK20" s="449">
        <v>1.4343201513871302</v>
      </c>
      <c r="AL20" s="449">
        <v>1.4630065544148729</v>
      </c>
      <c r="AM20" s="249"/>
      <c r="AN20" s="249"/>
      <c r="AO20" s="249"/>
      <c r="AP20" s="249"/>
      <c r="AQ20" s="249"/>
      <c r="AR20" s="249"/>
      <c r="AS20" s="249"/>
      <c r="AT20" s="249"/>
      <c r="AU20" s="249"/>
      <c r="AV20" s="249"/>
      <c r="AW20" s="249"/>
      <c r="AX20" s="249"/>
      <c r="AY20" s="249"/>
      <c r="AZ20" s="249"/>
      <c r="BA20" s="249"/>
      <c r="BB20" s="249"/>
      <c r="BC20" s="249"/>
      <c r="BD20" s="249"/>
      <c r="BE20" s="249"/>
      <c r="BF20" s="249"/>
      <c r="BG20" s="249"/>
      <c r="BH20" s="249"/>
      <c r="BI20" s="249"/>
      <c r="BJ20" s="249"/>
      <c r="BK20" s="249"/>
      <c r="BL20" s="249"/>
      <c r="BM20" s="249"/>
      <c r="BN20" s="249"/>
    </row>
    <row r="21" spans="1:66" x14ac:dyDescent="0.2">
      <c r="A21" s="238"/>
      <c r="B21" s="447"/>
      <c r="C21" s="449">
        <v>1.3515942730247463</v>
      </c>
      <c r="D21" s="449">
        <v>1.3272509844884177</v>
      </c>
      <c r="E21" s="449">
        <v>1.3105885066630318</v>
      </c>
      <c r="F21" s="449">
        <v>1.2934502267418249</v>
      </c>
      <c r="G21" s="449">
        <v>1.2684222476188542</v>
      </c>
      <c r="H21" s="449">
        <v>1.2391466245026375</v>
      </c>
      <c r="I21" s="449">
        <v>1.2190513342516853</v>
      </c>
      <c r="J21" s="449">
        <v>1.1941325104964249</v>
      </c>
      <c r="K21" s="449">
        <v>1.1642920929431093</v>
      </c>
      <c r="L21" s="449">
        <v>1.1274999492625024</v>
      </c>
      <c r="M21" s="449">
        <v>1.0902141289570684</v>
      </c>
      <c r="N21" s="449">
        <v>1.0582884089903717</v>
      </c>
      <c r="O21" s="449">
        <v>1.0345937098771627</v>
      </c>
      <c r="P21" s="449">
        <v>1.0210082660829223</v>
      </c>
      <c r="Q21" s="449">
        <v>1.0133005834584758</v>
      </c>
      <c r="R21" s="449">
        <v>1</v>
      </c>
      <c r="S21" s="449">
        <v>0.98626624257218243</v>
      </c>
      <c r="T21" s="449">
        <v>0.970477115664374</v>
      </c>
      <c r="U21" s="449">
        <v>0.95469950832975325</v>
      </c>
      <c r="V21" s="449">
        <v>0.93833188986610949</v>
      </c>
      <c r="W21" s="449">
        <v>0.91993322535893096</v>
      </c>
      <c r="X21" s="449">
        <v>0.90189531897934394</v>
      </c>
      <c r="Y21" s="449">
        <v>0.88421109703857248</v>
      </c>
      <c r="Z21" s="449">
        <v>0.86687362454762007</v>
      </c>
      <c r="AA21" s="449">
        <v>0.84987610249766665</v>
      </c>
      <c r="AB21" s="449">
        <v>0.83321186519379076</v>
      </c>
      <c r="AC21" s="449">
        <v>0.81687437764097137</v>
      </c>
      <c r="AD21" s="449">
        <v>0.80085723298134448</v>
      </c>
      <c r="AE21" s="449">
        <v>0.7851541499817104</v>
      </c>
      <c r="AF21" s="449">
        <v>0.76975897057030429</v>
      </c>
      <c r="AG21" s="449">
        <v>0.75466565742186686</v>
      </c>
      <c r="AH21" s="449">
        <v>0.73986829159006551</v>
      </c>
      <c r="AI21" s="449">
        <v>0.72536107018633877</v>
      </c>
      <c r="AJ21" s="449">
        <v>0.7111383041042536</v>
      </c>
      <c r="AK21" s="449">
        <v>0.69719441578848385</v>
      </c>
      <c r="AL21" s="449">
        <v>0.68352393704753311</v>
      </c>
    </row>
    <row r="22" spans="1:66" x14ac:dyDescent="0.2">
      <c r="A22" s="238"/>
      <c r="B22" s="447" t="s">
        <v>492</v>
      </c>
      <c r="C22" s="448">
        <v>0.72970599999999997</v>
      </c>
      <c r="D22" s="448">
        <v>0.74309000000000003</v>
      </c>
      <c r="E22" s="448">
        <v>0.75253700000000001</v>
      </c>
      <c r="F22" s="448">
        <v>0.76250899999999999</v>
      </c>
      <c r="G22" s="448">
        <v>0.77755399999999997</v>
      </c>
      <c r="H22" s="448">
        <v>0.79592399999999996</v>
      </c>
      <c r="I22" s="448">
        <v>0.80904500000000001</v>
      </c>
      <c r="J22" s="448">
        <v>0.82592699999999997</v>
      </c>
      <c r="K22" s="448">
        <v>0.84709599999999996</v>
      </c>
      <c r="L22" s="448">
        <v>0.87473800000000002</v>
      </c>
      <c r="M22" s="448">
        <v>0.90465399999999996</v>
      </c>
      <c r="N22" s="448">
        <v>0.93194500000000002</v>
      </c>
      <c r="O22" s="448">
        <v>0.95328900000000005</v>
      </c>
      <c r="P22" s="448">
        <v>0.96597299999999997</v>
      </c>
      <c r="Q22" s="448">
        <v>0.97332099999999999</v>
      </c>
      <c r="R22" s="448">
        <v>0.986267</v>
      </c>
      <c r="S22" s="448">
        <v>1</v>
      </c>
      <c r="T22" s="449">
        <v>1.01627</v>
      </c>
      <c r="U22" s="449">
        <v>1.0330649999999999</v>
      </c>
      <c r="V22" s="449">
        <v>1.051085</v>
      </c>
      <c r="W22" s="449">
        <v>1.0721067</v>
      </c>
      <c r="X22" s="449">
        <v>1.0935488339999999</v>
      </c>
      <c r="Y22" s="449">
        <v>1.11541981068</v>
      </c>
      <c r="Z22" s="449">
        <v>1.1377282068935999</v>
      </c>
      <c r="AA22" s="449">
        <v>1.1604827710314718</v>
      </c>
      <c r="AB22" s="449">
        <v>1.1836924264521012</v>
      </c>
      <c r="AC22" s="449">
        <v>1.2073662749811431</v>
      </c>
      <c r="AD22" s="449">
        <v>1.2315136004807661</v>
      </c>
      <c r="AE22" s="449">
        <v>1.2561438724903815</v>
      </c>
      <c r="AF22" s="449">
        <v>1.2812667499401891</v>
      </c>
      <c r="AG22" s="449">
        <v>1.3068920849389929</v>
      </c>
      <c r="AH22" s="449">
        <v>1.3330299266377728</v>
      </c>
      <c r="AI22" s="449">
        <v>1.3596905251705282</v>
      </c>
      <c r="AJ22" s="449">
        <v>1.3868843356739389</v>
      </c>
      <c r="AK22" s="449">
        <v>1.4146220223874177</v>
      </c>
      <c r="AL22" s="449">
        <v>1.4429144628351662</v>
      </c>
    </row>
    <row r="23" spans="1:66" x14ac:dyDescent="0.2">
      <c r="A23" s="238"/>
      <c r="B23" s="447"/>
      <c r="C23" s="449">
        <v>1.3704149342337875</v>
      </c>
      <c r="D23" s="449">
        <v>1.3457320109273438</v>
      </c>
      <c r="E23" s="449">
        <v>1.3288383162555462</v>
      </c>
      <c r="F23" s="449">
        <v>1.3114599303090193</v>
      </c>
      <c r="G23" s="449">
        <v>1.2860843105430619</v>
      </c>
      <c r="H23" s="449">
        <v>1.256401364954443</v>
      </c>
      <c r="I23" s="449">
        <v>1.2360251901933761</v>
      </c>
      <c r="J23" s="449">
        <v>1.2107607573066386</v>
      </c>
      <c r="K23" s="449">
        <v>1.1805037445578779</v>
      </c>
      <c r="L23" s="449">
        <v>1.1431994494351452</v>
      </c>
      <c r="M23" s="449">
        <v>1.1053949907920597</v>
      </c>
      <c r="N23" s="449">
        <v>1.0730246956633707</v>
      </c>
      <c r="O23" s="449">
        <v>1.0489998311110271</v>
      </c>
      <c r="P23" s="449">
        <v>1.035225622248241</v>
      </c>
      <c r="Q23" s="449">
        <v>1.0274102788288755</v>
      </c>
      <c r="R23" s="449">
        <v>1.013924221331546</v>
      </c>
      <c r="S23" s="449">
        <v>1</v>
      </c>
      <c r="T23" s="449">
        <v>0.98399047497220227</v>
      </c>
      <c r="U23" s="449">
        <v>0.96799330148635376</v>
      </c>
      <c r="V23" s="449">
        <v>0.95139784127829807</v>
      </c>
      <c r="W23" s="449">
        <v>0.93274298164539038</v>
      </c>
      <c r="X23" s="449">
        <v>0.91445390357391221</v>
      </c>
      <c r="Y23" s="449">
        <v>0.89652343487638442</v>
      </c>
      <c r="Z23" s="449">
        <v>0.87894454399645539</v>
      </c>
      <c r="AA23" s="449">
        <v>0.86171033725142687</v>
      </c>
      <c r="AB23" s="449">
        <v>0.84481405612884997</v>
      </c>
      <c r="AC23" s="449">
        <v>0.8282490746361274</v>
      </c>
      <c r="AD23" s="449">
        <v>0.81200889670208565</v>
      </c>
      <c r="AE23" s="449">
        <v>0.79608715362949567</v>
      </c>
      <c r="AF23" s="449">
        <v>0.78047760159754487</v>
      </c>
      <c r="AG23" s="449">
        <v>0.76517411921327927</v>
      </c>
      <c r="AH23" s="449">
        <v>0.7501707051110581</v>
      </c>
      <c r="AI23" s="449">
        <v>0.73546147559907649</v>
      </c>
      <c r="AJ23" s="449">
        <v>0.72104066235203579</v>
      </c>
      <c r="AK23" s="449">
        <v>0.70690261014905464</v>
      </c>
      <c r="AL23" s="449">
        <v>0.69304177465593586</v>
      </c>
      <c r="AM23" s="249"/>
      <c r="AN23" s="249"/>
      <c r="AO23" s="249"/>
      <c r="AP23" s="249"/>
      <c r="AQ23" s="249"/>
      <c r="AR23" s="249"/>
      <c r="AS23" s="249"/>
      <c r="AT23" s="249"/>
      <c r="AU23" s="249"/>
      <c r="AV23" s="249"/>
      <c r="AW23" s="249"/>
      <c r="AX23" s="249"/>
      <c r="AY23" s="249"/>
      <c r="AZ23" s="249"/>
      <c r="BA23" s="249"/>
      <c r="BB23" s="249"/>
      <c r="BC23" s="249"/>
      <c r="BD23" s="249"/>
      <c r="BE23" s="249"/>
      <c r="BF23" s="249"/>
      <c r="BG23" s="249"/>
      <c r="BH23" s="249"/>
      <c r="BI23" s="249"/>
      <c r="BJ23" s="249"/>
      <c r="BK23" s="249"/>
      <c r="BL23" s="249"/>
      <c r="BM23" s="249"/>
      <c r="BN23" s="249"/>
    </row>
    <row r="24" spans="1:66" x14ac:dyDescent="0.2">
      <c r="A24" s="238"/>
      <c r="B24" s="447" t="s">
        <v>493</v>
      </c>
      <c r="C24" s="448">
        <v>0.718024</v>
      </c>
      <c r="D24" s="448">
        <v>0.73119299999999998</v>
      </c>
      <c r="E24" s="448">
        <v>0.74048899999999995</v>
      </c>
      <c r="F24" s="448">
        <v>0.750301</v>
      </c>
      <c r="G24" s="448">
        <v>0.76510599999999995</v>
      </c>
      <c r="H24" s="448">
        <v>0.78318100000000002</v>
      </c>
      <c r="I24" s="448">
        <v>0.79609200000000002</v>
      </c>
      <c r="J24" s="448">
        <v>0.81270399999999998</v>
      </c>
      <c r="K24" s="448">
        <v>0.833534</v>
      </c>
      <c r="L24" s="448">
        <v>0.86073299999999997</v>
      </c>
      <c r="M24" s="448">
        <v>0.89017000000000002</v>
      </c>
      <c r="N24" s="448">
        <v>0.91702499999999998</v>
      </c>
      <c r="O24" s="448">
        <v>0.93802700000000006</v>
      </c>
      <c r="P24" s="448">
        <v>0.95050800000000002</v>
      </c>
      <c r="Q24" s="448">
        <v>0.95773799999999998</v>
      </c>
      <c r="R24" s="448">
        <v>0.97047700000000003</v>
      </c>
      <c r="S24" s="448">
        <v>0.98399000000000003</v>
      </c>
      <c r="T24" s="449">
        <v>1</v>
      </c>
      <c r="U24" s="449">
        <v>1.016526</v>
      </c>
      <c r="V24" s="449">
        <v>1.034257</v>
      </c>
      <c r="W24" s="449">
        <v>1.0549421400000001</v>
      </c>
      <c r="X24" s="449">
        <v>1.0760409828000002</v>
      </c>
      <c r="Y24" s="449">
        <v>1.0975618024560001</v>
      </c>
      <c r="Z24" s="449">
        <v>1.1195130385051202</v>
      </c>
      <c r="AA24" s="449">
        <v>1.1419032992752227</v>
      </c>
      <c r="AB24" s="449">
        <v>1.1647413652607272</v>
      </c>
      <c r="AC24" s="449">
        <v>1.1880361925659417</v>
      </c>
      <c r="AD24" s="449">
        <v>1.2117969164172606</v>
      </c>
      <c r="AE24" s="449">
        <v>1.2360328547456059</v>
      </c>
      <c r="AF24" s="449">
        <v>1.260753511840518</v>
      </c>
      <c r="AG24" s="449">
        <v>1.2859685820773283</v>
      </c>
      <c r="AH24" s="449">
        <v>1.311687953718875</v>
      </c>
      <c r="AI24" s="449">
        <v>1.3379217127932526</v>
      </c>
      <c r="AJ24" s="449">
        <v>1.3646801470491177</v>
      </c>
      <c r="AK24" s="449">
        <v>1.3919737499901002</v>
      </c>
      <c r="AL24" s="449">
        <v>1.4198132249899023</v>
      </c>
    </row>
    <row r="25" spans="1:66" x14ac:dyDescent="0.2">
      <c r="A25" s="238"/>
      <c r="B25" s="447"/>
      <c r="C25" s="449">
        <v>1.3927111071496217</v>
      </c>
      <c r="D25" s="449">
        <v>1.3676279723684446</v>
      </c>
      <c r="E25" s="449">
        <v>1.3504589534753386</v>
      </c>
      <c r="F25" s="449">
        <v>1.3327984368939931</v>
      </c>
      <c r="G25" s="449">
        <v>1.3070084406605098</v>
      </c>
      <c r="H25" s="449">
        <v>1.2768440500982532</v>
      </c>
      <c r="I25" s="449">
        <v>1.2561362254613788</v>
      </c>
      <c r="J25" s="449">
        <v>1.2304602905855022</v>
      </c>
      <c r="K25" s="449">
        <v>1.1997111095648167</v>
      </c>
      <c r="L25" s="449">
        <v>1.1618004654172664</v>
      </c>
      <c r="M25" s="449">
        <v>1.1233809272386173</v>
      </c>
      <c r="N25" s="449">
        <v>1.0904828112646874</v>
      </c>
      <c r="O25" s="449">
        <v>1.0660673946485548</v>
      </c>
      <c r="P25" s="449">
        <v>1.0520689988932235</v>
      </c>
      <c r="Q25" s="449">
        <v>1.0441268906527672</v>
      </c>
      <c r="R25" s="449">
        <v>1.0304211228086806</v>
      </c>
      <c r="S25" s="449">
        <v>1.0162704905537658</v>
      </c>
      <c r="T25" s="449">
        <v>1</v>
      </c>
      <c r="U25" s="449">
        <v>0.98374266865776183</v>
      </c>
      <c r="V25" s="449">
        <v>0.9668776716038664</v>
      </c>
      <c r="W25" s="449">
        <v>0.94791928588614338</v>
      </c>
      <c r="X25" s="449">
        <v>0.92933263322170911</v>
      </c>
      <c r="Y25" s="449">
        <v>0.91111042472716586</v>
      </c>
      <c r="Z25" s="449">
        <v>0.89324551443839784</v>
      </c>
      <c r="AA25" s="449">
        <v>0.8757308965082331</v>
      </c>
      <c r="AB25" s="449">
        <v>0.858559702459052</v>
      </c>
      <c r="AC25" s="449">
        <v>0.84172519848926675</v>
      </c>
      <c r="AD25" s="449">
        <v>0.82522078283261435</v>
      </c>
      <c r="AE25" s="449">
        <v>0.80903998316922976</v>
      </c>
      <c r="AF25" s="449">
        <v>0.79317645408748017</v>
      </c>
      <c r="AG25" s="449">
        <v>0.77762397459556876</v>
      </c>
      <c r="AH25" s="449">
        <v>0.76237644568193008</v>
      </c>
      <c r="AI25" s="449">
        <v>0.74742788792346093</v>
      </c>
      <c r="AJ25" s="449">
        <v>0.73277243914064794</v>
      </c>
      <c r="AK25" s="449">
        <v>0.71840435209867437</v>
      </c>
      <c r="AL25" s="449">
        <v>0.70431799225360225</v>
      </c>
    </row>
    <row r="26" spans="1:66" x14ac:dyDescent="0.2">
      <c r="A26" s="238"/>
      <c r="B26" s="447" t="s">
        <v>494</v>
      </c>
      <c r="C26" s="448">
        <v>0.70635099999999995</v>
      </c>
      <c r="D26" s="448">
        <v>0.719306</v>
      </c>
      <c r="E26" s="448">
        <v>0.72845000000000004</v>
      </c>
      <c r="F26" s="448">
        <v>0.73810299999999995</v>
      </c>
      <c r="G26" s="448">
        <v>0.75266699999999997</v>
      </c>
      <c r="H26" s="448">
        <v>0.77044900000000005</v>
      </c>
      <c r="I26" s="448">
        <v>0.78315000000000001</v>
      </c>
      <c r="J26" s="448">
        <v>0.79949199999999998</v>
      </c>
      <c r="K26" s="448">
        <v>0.81998300000000002</v>
      </c>
      <c r="L26" s="448">
        <v>0.84674000000000005</v>
      </c>
      <c r="M26" s="448">
        <v>0.87569900000000001</v>
      </c>
      <c r="N26" s="448">
        <v>0.90211699999999995</v>
      </c>
      <c r="O26" s="448">
        <v>0.92277699999999996</v>
      </c>
      <c r="P26" s="448">
        <v>0.93505499999999997</v>
      </c>
      <c r="Q26" s="448">
        <v>0.94216800000000001</v>
      </c>
      <c r="R26" s="448">
        <v>0.95469899999999996</v>
      </c>
      <c r="S26" s="448">
        <v>0.96799299999999999</v>
      </c>
      <c r="T26" s="449">
        <v>0.98374300000000003</v>
      </c>
      <c r="U26" s="449">
        <v>1</v>
      </c>
      <c r="V26" s="449">
        <v>1.0174430000000001</v>
      </c>
      <c r="W26" s="449">
        <v>1.03779186</v>
      </c>
      <c r="X26" s="449">
        <v>1.0585476972000001</v>
      </c>
      <c r="Y26" s="449">
        <v>1.079718651144</v>
      </c>
      <c r="Z26" s="449">
        <v>1.10131302416688</v>
      </c>
      <c r="AA26" s="449">
        <v>1.1233392846502177</v>
      </c>
      <c r="AB26" s="449">
        <v>1.145806070343222</v>
      </c>
      <c r="AC26" s="449">
        <v>1.1687221917500865</v>
      </c>
      <c r="AD26" s="449">
        <v>1.1920966355850882</v>
      </c>
      <c r="AE26" s="449">
        <v>1.21593856829679</v>
      </c>
      <c r="AF26" s="449">
        <v>1.2402573396627259</v>
      </c>
      <c r="AG26" s="449">
        <v>1.2650624864559805</v>
      </c>
      <c r="AH26" s="449">
        <v>1.2903637361851001</v>
      </c>
      <c r="AI26" s="449">
        <v>1.3161710109088021</v>
      </c>
      <c r="AJ26" s="449">
        <v>1.3424944311269782</v>
      </c>
      <c r="AK26" s="449">
        <v>1.3693443197495179</v>
      </c>
      <c r="AL26" s="449">
        <v>1.3967312061445083</v>
      </c>
      <c r="AM26" s="249"/>
      <c r="AN26" s="249"/>
      <c r="AO26" s="249"/>
      <c r="AP26" s="249"/>
      <c r="AQ26" s="249"/>
      <c r="AR26" s="249"/>
      <c r="AS26" s="249"/>
      <c r="AT26" s="249"/>
      <c r="AU26" s="249"/>
      <c r="AV26" s="249"/>
      <c r="AW26" s="249"/>
      <c r="AX26" s="249"/>
      <c r="AY26" s="249"/>
      <c r="AZ26" s="249"/>
      <c r="BA26" s="249"/>
      <c r="BB26" s="249"/>
      <c r="BC26" s="249"/>
      <c r="BD26" s="249"/>
      <c r="BE26" s="249"/>
      <c r="BF26" s="249"/>
      <c r="BG26" s="249"/>
      <c r="BH26" s="249"/>
      <c r="BI26" s="249"/>
      <c r="BJ26" s="249"/>
      <c r="BK26" s="249"/>
      <c r="BL26" s="249"/>
      <c r="BM26" s="249"/>
      <c r="BN26" s="249"/>
    </row>
    <row r="27" spans="1:66" x14ac:dyDescent="0.2">
      <c r="A27" s="238"/>
      <c r="B27" s="450"/>
      <c r="C27" s="449">
        <v>1.4157267420871493</v>
      </c>
      <c r="D27" s="449">
        <v>1.3902289150931593</v>
      </c>
      <c r="E27" s="449">
        <v>1.3727778159104949</v>
      </c>
      <c r="F27" s="449">
        <v>1.3548244621685592</v>
      </c>
      <c r="G27" s="449">
        <v>1.3286088004389724</v>
      </c>
      <c r="H27" s="449">
        <v>1.2979444453818487</v>
      </c>
      <c r="I27" s="449">
        <v>1.2768945923514015</v>
      </c>
      <c r="J27" s="449">
        <v>1.2507942543515131</v>
      </c>
      <c r="K27" s="449">
        <v>1.2195374782160118</v>
      </c>
      <c r="L27" s="449">
        <v>1.1810000708600041</v>
      </c>
      <c r="M27" s="449">
        <v>1.1419448920234008</v>
      </c>
      <c r="N27" s="449">
        <v>1.1085036641588619</v>
      </c>
      <c r="O27" s="449">
        <v>1.0836854407944716</v>
      </c>
      <c r="P27" s="449">
        <v>1.0694558074123983</v>
      </c>
      <c r="Q27" s="449">
        <v>1.0613818342376307</v>
      </c>
      <c r="R27" s="449">
        <v>1.0474505577150495</v>
      </c>
      <c r="S27" s="449">
        <v>1.0330653217533599</v>
      </c>
      <c r="T27" s="449">
        <v>1.016525657615861</v>
      </c>
      <c r="U27" s="449">
        <v>1</v>
      </c>
      <c r="V27" s="449">
        <v>0.98285604205837562</v>
      </c>
      <c r="W27" s="449">
        <v>0.96358435495919192</v>
      </c>
      <c r="X27" s="449">
        <v>0.94469054407763908</v>
      </c>
      <c r="Y27" s="449">
        <v>0.92616720007611675</v>
      </c>
      <c r="Z27" s="449">
        <v>0.9080070588981537</v>
      </c>
      <c r="AA27" s="449">
        <v>0.89020299891975851</v>
      </c>
      <c r="AB27" s="449">
        <v>0.87274803815662594</v>
      </c>
      <c r="AC27" s="449">
        <v>0.85563533152610383</v>
      </c>
      <c r="AD27" s="449">
        <v>0.83885816816284697</v>
      </c>
      <c r="AE27" s="449">
        <v>0.82240996878710482</v>
      </c>
      <c r="AF27" s="449">
        <v>0.80628428312461253</v>
      </c>
      <c r="AG27" s="449">
        <v>0.790474787377071</v>
      </c>
      <c r="AH27" s="449">
        <v>0.77497528174222652</v>
      </c>
      <c r="AI27" s="449">
        <v>0.759779687982575</v>
      </c>
      <c r="AJ27" s="449">
        <v>0.74488204704174021</v>
      </c>
      <c r="AK27" s="449">
        <v>0.73027651670758831</v>
      </c>
      <c r="AL27" s="449">
        <v>0.71595736932116505</v>
      </c>
    </row>
    <row r="28" spans="1:66" x14ac:dyDescent="0.2">
      <c r="A28" s="238"/>
      <c r="B28" s="447" t="s">
        <v>495</v>
      </c>
      <c r="C28" s="448">
        <v>0.694241</v>
      </c>
      <c r="D28" s="448">
        <v>0.70697399999999999</v>
      </c>
      <c r="E28" s="448">
        <v>0.71596199999999999</v>
      </c>
      <c r="F28" s="448">
        <v>0.72544900000000001</v>
      </c>
      <c r="G28" s="448">
        <v>0.73976399999999998</v>
      </c>
      <c r="H28" s="448">
        <v>0.75724000000000002</v>
      </c>
      <c r="I28" s="448">
        <v>0.76972399999999996</v>
      </c>
      <c r="J28" s="448">
        <v>0.78578599999999998</v>
      </c>
      <c r="K28" s="448">
        <v>0.805925</v>
      </c>
      <c r="L28" s="448">
        <v>0.83222399999999996</v>
      </c>
      <c r="M28" s="448">
        <v>0.86068599999999995</v>
      </c>
      <c r="N28" s="448">
        <v>0.88665099999999997</v>
      </c>
      <c r="O28" s="448">
        <v>0.90695700000000001</v>
      </c>
      <c r="P28" s="448">
        <v>0.91902499999999998</v>
      </c>
      <c r="Q28" s="448">
        <v>0.92601500000000003</v>
      </c>
      <c r="R28" s="448">
        <v>0.93833200000000005</v>
      </c>
      <c r="S28" s="448">
        <v>0.95139799999999997</v>
      </c>
      <c r="T28" s="449">
        <v>0.96687699999999999</v>
      </c>
      <c r="U28" s="449">
        <v>0.98285599999999995</v>
      </c>
      <c r="V28" s="449">
        <v>1</v>
      </c>
      <c r="W28" s="449">
        <v>1.02</v>
      </c>
      <c r="X28" s="449">
        <v>1.0404</v>
      </c>
      <c r="Y28" s="449">
        <v>1.0612079999999999</v>
      </c>
      <c r="Z28" s="449">
        <v>1.08243216</v>
      </c>
      <c r="AA28" s="449">
        <v>1.1040808032</v>
      </c>
      <c r="AB28" s="449">
        <v>1.1261624192640001</v>
      </c>
      <c r="AC28" s="449">
        <v>1.14868566764928</v>
      </c>
      <c r="AD28" s="449">
        <v>1.1716593810022657</v>
      </c>
      <c r="AE28" s="449">
        <v>1.1950925686223111</v>
      </c>
      <c r="AF28" s="449">
        <v>1.2189944199947573</v>
      </c>
      <c r="AG28" s="449">
        <v>1.2433743083946525</v>
      </c>
      <c r="AH28" s="449">
        <v>1.2682417945625455</v>
      </c>
      <c r="AI28" s="449">
        <v>1.2936066304537963</v>
      </c>
      <c r="AJ28" s="449">
        <v>1.3194787630628724</v>
      </c>
      <c r="AK28" s="449">
        <v>1.3458683383241299</v>
      </c>
      <c r="AL28" s="449">
        <v>1.3727857050906125</v>
      </c>
    </row>
    <row r="29" spans="1:66" x14ac:dyDescent="0.2">
      <c r="A29" s="238"/>
      <c r="B29" s="450"/>
      <c r="C29" s="449">
        <v>1.4404219860250258</v>
      </c>
      <c r="D29" s="449">
        <v>1.414479174623112</v>
      </c>
      <c r="E29" s="449">
        <v>1.3967221724057981</v>
      </c>
      <c r="F29" s="449">
        <v>1.3784566523628814</v>
      </c>
      <c r="G29" s="449">
        <v>1.3517824603522204</v>
      </c>
      <c r="H29" s="449">
        <v>1.3205852833976017</v>
      </c>
      <c r="I29" s="449">
        <v>1.299166974136184</v>
      </c>
      <c r="J29" s="449">
        <v>1.2726111180397717</v>
      </c>
      <c r="K29" s="449">
        <v>1.2408102490926576</v>
      </c>
      <c r="L29" s="449">
        <v>1.2015995693467143</v>
      </c>
      <c r="M29" s="449">
        <v>1.1618639085566631</v>
      </c>
      <c r="N29" s="449">
        <v>1.1278394768629372</v>
      </c>
      <c r="O29" s="449">
        <v>1.102588105059005</v>
      </c>
      <c r="P29" s="449">
        <v>1.0881096814558908</v>
      </c>
      <c r="Q29" s="449">
        <v>1.0798961139938337</v>
      </c>
      <c r="R29" s="449">
        <v>1.0657208749142093</v>
      </c>
      <c r="S29" s="449">
        <v>1.0510848246475188</v>
      </c>
      <c r="T29" s="449">
        <v>1.034257718406788</v>
      </c>
      <c r="U29" s="449">
        <v>1.0174430435384227</v>
      </c>
      <c r="V29" s="449">
        <v>1</v>
      </c>
      <c r="W29" s="449">
        <v>0.98039215686274506</v>
      </c>
      <c r="X29" s="449">
        <v>0.96116878123798544</v>
      </c>
      <c r="Y29" s="449">
        <v>0.94232233454704462</v>
      </c>
      <c r="Z29" s="449">
        <v>0.9238454260265142</v>
      </c>
      <c r="AA29" s="449">
        <v>0.90573080982991594</v>
      </c>
      <c r="AB29" s="449">
        <v>0.88797138218619198</v>
      </c>
      <c r="AC29" s="449">
        <v>0.87056017861391377</v>
      </c>
      <c r="AD29" s="449">
        <v>0.8534903711901114</v>
      </c>
      <c r="AE29" s="449">
        <v>0.83675526587265825</v>
      </c>
      <c r="AF29" s="449">
        <v>0.82034829987515512</v>
      </c>
      <c r="AG29" s="449">
        <v>0.80426303909328933</v>
      </c>
      <c r="AH29" s="449">
        <v>0.78849317558165621</v>
      </c>
      <c r="AI29" s="449">
        <v>0.77303252508005516</v>
      </c>
      <c r="AJ29" s="449">
        <v>0.75787502458828937</v>
      </c>
      <c r="AK29" s="449">
        <v>0.74301472998851892</v>
      </c>
      <c r="AL29" s="449">
        <v>0.72844581371423422</v>
      </c>
      <c r="AM29" s="249"/>
      <c r="AN29" s="249"/>
      <c r="AO29" s="249"/>
      <c r="AP29" s="249"/>
      <c r="AQ29" s="249"/>
      <c r="AR29" s="249"/>
      <c r="AS29" s="249"/>
      <c r="AT29" s="249"/>
      <c r="AU29" s="249"/>
      <c r="AV29" s="249"/>
      <c r="AW29" s="249"/>
      <c r="AX29" s="249"/>
      <c r="AY29" s="249"/>
      <c r="AZ29" s="249"/>
      <c r="BA29" s="249"/>
      <c r="BB29" s="249"/>
      <c r="BC29" s="249"/>
      <c r="BD29" s="249"/>
      <c r="BE29" s="249"/>
      <c r="BF29" s="249"/>
      <c r="BG29" s="249"/>
      <c r="BH29" s="249"/>
      <c r="BI29" s="249"/>
      <c r="BJ29" s="249"/>
      <c r="BK29" s="249"/>
      <c r="BL29" s="249"/>
      <c r="BM29" s="249"/>
      <c r="BN29" s="249"/>
    </row>
    <row r="30" spans="1:66" ht="15.75" x14ac:dyDescent="0.25">
      <c r="A30" s="238"/>
      <c r="B30" s="451"/>
      <c r="C30" s="449"/>
      <c r="D30" s="449"/>
      <c r="E30" s="449"/>
      <c r="F30" s="449"/>
      <c r="G30" s="449"/>
      <c r="H30" s="449"/>
      <c r="I30" s="449"/>
      <c r="J30" s="449"/>
      <c r="K30" s="449"/>
      <c r="L30" s="449"/>
      <c r="M30" s="449"/>
      <c r="N30" s="449"/>
      <c r="O30" s="449"/>
      <c r="P30" s="449"/>
      <c r="Q30" s="449"/>
      <c r="R30" s="449"/>
      <c r="S30" s="449"/>
      <c r="T30" s="449"/>
      <c r="U30" s="449"/>
      <c r="V30" s="449"/>
      <c r="W30" s="449"/>
      <c r="X30" s="449"/>
      <c r="Y30" s="449"/>
      <c r="Z30" s="449"/>
      <c r="AA30" s="449"/>
      <c r="AB30" s="449"/>
      <c r="AC30" s="449"/>
      <c r="AD30" s="449"/>
      <c r="AE30" s="449"/>
      <c r="AF30" s="449"/>
      <c r="AG30" s="449"/>
      <c r="AH30" s="449"/>
      <c r="AI30" s="449"/>
      <c r="AJ30" s="449"/>
      <c r="AK30" s="449"/>
      <c r="AL30" s="449"/>
    </row>
    <row r="31" spans="1:66" x14ac:dyDescent="0.2">
      <c r="A31" s="238"/>
      <c r="B31" s="445"/>
      <c r="C31" s="452"/>
      <c r="D31" s="452"/>
      <c r="E31" s="452"/>
      <c r="F31" s="452"/>
      <c r="G31" s="452"/>
      <c r="H31" s="452"/>
      <c r="I31" s="452"/>
      <c r="J31" s="452"/>
      <c r="K31" s="452"/>
      <c r="L31" s="452"/>
      <c r="M31" s="452"/>
      <c r="N31" s="452"/>
      <c r="O31" s="452"/>
      <c r="P31" s="452"/>
      <c r="Q31" s="452"/>
      <c r="R31" s="452"/>
      <c r="S31" s="452"/>
      <c r="T31" s="452"/>
      <c r="U31" s="452"/>
      <c r="V31" s="452"/>
      <c r="W31" s="452"/>
      <c r="X31" s="452"/>
      <c r="Y31" s="452"/>
      <c r="Z31" s="452"/>
      <c r="AA31" s="452"/>
      <c r="AB31" s="452"/>
      <c r="AC31" s="452"/>
      <c r="AD31" s="452"/>
      <c r="AE31" s="452"/>
      <c r="AF31" s="452"/>
      <c r="AG31" s="452"/>
      <c r="AH31" s="452"/>
      <c r="AI31" s="452"/>
      <c r="AJ31" s="452"/>
      <c r="AK31" s="452"/>
      <c r="AL31" s="445"/>
    </row>
    <row r="32" spans="1:66" x14ac:dyDescent="0.2">
      <c r="A32" s="238"/>
      <c r="B32" s="445"/>
      <c r="C32" s="452"/>
      <c r="D32" s="452"/>
      <c r="E32" s="452"/>
      <c r="F32" s="452"/>
      <c r="G32" s="452"/>
      <c r="H32" s="452"/>
      <c r="I32" s="452"/>
      <c r="J32" s="452"/>
      <c r="K32" s="452"/>
      <c r="L32" s="452"/>
      <c r="M32" s="452"/>
      <c r="N32" s="452"/>
      <c r="O32" s="452"/>
      <c r="P32" s="452"/>
      <c r="Q32" s="452"/>
      <c r="R32" s="445"/>
      <c r="S32" s="445"/>
      <c r="T32" s="445"/>
      <c r="U32" s="445"/>
      <c r="V32" s="445"/>
      <c r="W32" s="445"/>
      <c r="X32" s="445"/>
      <c r="Y32" s="445"/>
      <c r="Z32" s="445"/>
      <c r="AA32" s="445"/>
      <c r="AB32" s="445"/>
      <c r="AC32" s="445"/>
      <c r="AD32" s="445"/>
      <c r="AE32" s="445"/>
      <c r="AF32" s="445"/>
      <c r="AG32" s="445"/>
      <c r="AH32" s="445"/>
      <c r="AI32" s="445"/>
      <c r="AJ32" s="445"/>
      <c r="AK32" s="445"/>
      <c r="AL32" s="445"/>
    </row>
    <row r="33" spans="1:38" x14ac:dyDescent="0.2">
      <c r="A33" s="238"/>
      <c r="B33" s="453" t="s">
        <v>496</v>
      </c>
      <c r="C33" s="454"/>
      <c r="D33" s="454"/>
      <c r="E33" s="454"/>
      <c r="F33" s="454"/>
      <c r="G33" s="454"/>
      <c r="H33" s="454"/>
      <c r="I33" s="445"/>
      <c r="J33" s="445"/>
      <c r="K33" s="445"/>
      <c r="L33" s="445"/>
      <c r="M33" s="445"/>
      <c r="N33" s="445"/>
      <c r="O33" s="445"/>
      <c r="P33" s="445"/>
      <c r="Q33" s="445"/>
      <c r="R33" s="445"/>
      <c r="S33" s="445"/>
      <c r="T33" s="445"/>
      <c r="U33" s="445"/>
      <c r="V33" s="445"/>
      <c r="W33" s="445"/>
      <c r="X33" s="445"/>
      <c r="Y33" s="445"/>
      <c r="Z33" s="445"/>
      <c r="AA33" s="445"/>
      <c r="AB33" s="445"/>
      <c r="AC33" s="445"/>
      <c r="AD33" s="445"/>
      <c r="AE33" s="445"/>
      <c r="AF33" s="445"/>
      <c r="AG33" s="445"/>
      <c r="AH33" s="445"/>
      <c r="AI33" s="445"/>
      <c r="AJ33" s="445"/>
      <c r="AK33" s="445"/>
      <c r="AL33" s="445"/>
    </row>
    <row r="34" spans="1:38" x14ac:dyDescent="0.2">
      <c r="A34" s="238"/>
      <c r="B34" s="453" t="s">
        <v>497</v>
      </c>
      <c r="C34" s="445"/>
      <c r="D34" s="454"/>
      <c r="E34" s="454"/>
      <c r="F34" s="454"/>
      <c r="G34" s="454"/>
      <c r="H34" s="445"/>
      <c r="I34" s="445"/>
      <c r="J34" s="445"/>
      <c r="K34" s="445"/>
      <c r="L34" s="445"/>
      <c r="M34" s="445"/>
      <c r="N34" s="445"/>
      <c r="O34" s="445"/>
      <c r="P34" s="445"/>
      <c r="Q34" s="445"/>
      <c r="R34" s="445"/>
      <c r="S34" s="445"/>
      <c r="T34" s="445"/>
      <c r="U34" s="445"/>
      <c r="V34" s="445"/>
      <c r="W34" s="445"/>
      <c r="X34" s="445"/>
      <c r="Y34" s="445"/>
      <c r="Z34" s="445"/>
      <c r="AA34" s="445"/>
      <c r="AB34" s="445"/>
      <c r="AC34" s="445"/>
      <c r="AD34" s="445"/>
      <c r="AE34" s="445"/>
      <c r="AF34" s="445"/>
      <c r="AG34" s="445"/>
      <c r="AH34" s="445"/>
      <c r="AI34" s="445"/>
      <c r="AJ34" s="445"/>
      <c r="AK34" s="445"/>
      <c r="AL34" s="445"/>
    </row>
    <row r="35" spans="1:38" x14ac:dyDescent="0.2">
      <c r="A35" s="238"/>
      <c r="B35" s="455" t="s">
        <v>498</v>
      </c>
      <c r="C35" s="445"/>
      <c r="D35" s="445"/>
      <c r="E35" s="445"/>
      <c r="F35" s="445"/>
      <c r="G35" s="445"/>
      <c r="H35" s="445"/>
      <c r="I35" s="445"/>
      <c r="J35" s="445"/>
      <c r="K35" s="445"/>
      <c r="L35" s="445"/>
      <c r="M35" s="445"/>
      <c r="N35" s="445"/>
      <c r="O35" s="445"/>
      <c r="P35" s="445"/>
      <c r="Q35" s="445"/>
      <c r="R35" s="445"/>
      <c r="S35" s="445"/>
      <c r="T35" s="445"/>
      <c r="U35" s="445"/>
      <c r="V35" s="445"/>
      <c r="W35" s="445"/>
      <c r="X35" s="445"/>
      <c r="Y35" s="445"/>
      <c r="Z35" s="445"/>
      <c r="AA35" s="445"/>
      <c r="AB35" s="445"/>
      <c r="AC35" s="445"/>
      <c r="AD35" s="445"/>
      <c r="AE35" s="445"/>
      <c r="AF35" s="445"/>
      <c r="AG35" s="445"/>
      <c r="AH35" s="445"/>
      <c r="AI35" s="445"/>
      <c r="AJ35" s="445"/>
      <c r="AK35" s="445"/>
      <c r="AL35" s="445"/>
    </row>
    <row r="36" spans="1:38" x14ac:dyDescent="0.2">
      <c r="A36" s="238"/>
      <c r="B36" s="455"/>
      <c r="C36" s="445"/>
      <c r="D36" s="445"/>
      <c r="E36" s="445"/>
      <c r="F36" s="445"/>
      <c r="G36" s="445"/>
      <c r="H36" s="445"/>
      <c r="I36" s="445"/>
      <c r="J36" s="445"/>
      <c r="K36" s="445"/>
      <c r="L36" s="445"/>
      <c r="M36" s="445"/>
      <c r="N36" s="445"/>
      <c r="O36" s="445"/>
      <c r="P36" s="445"/>
      <c r="Q36" s="445"/>
      <c r="R36" s="445"/>
      <c r="S36" s="445"/>
      <c r="T36" s="445"/>
      <c r="U36" s="445"/>
      <c r="V36" s="445"/>
      <c r="W36" s="445"/>
      <c r="X36" s="445"/>
      <c r="Y36" s="445"/>
      <c r="Z36" s="445"/>
      <c r="AA36" s="445"/>
      <c r="AB36" s="445"/>
      <c r="AC36" s="445"/>
      <c r="AD36" s="445"/>
      <c r="AE36" s="445"/>
      <c r="AF36" s="445"/>
      <c r="AG36" s="445"/>
      <c r="AH36" s="445"/>
      <c r="AI36" s="445"/>
      <c r="AJ36" s="445"/>
      <c r="AK36" s="445"/>
      <c r="AL36" s="445"/>
    </row>
    <row r="37" spans="1:38" x14ac:dyDescent="0.2">
      <c r="A37" s="238"/>
      <c r="B37" s="455"/>
      <c r="C37" s="445"/>
      <c r="D37" s="445"/>
      <c r="E37" s="445"/>
      <c r="F37" s="445"/>
      <c r="G37" s="445"/>
      <c r="H37" s="445"/>
      <c r="I37" s="445"/>
      <c r="J37" s="445"/>
      <c r="K37" s="445"/>
      <c r="L37" s="445"/>
      <c r="M37" s="445"/>
      <c r="N37" s="445"/>
      <c r="O37" s="445"/>
      <c r="P37" s="445"/>
      <c r="Q37" s="445"/>
      <c r="R37" s="445"/>
      <c r="S37" s="445"/>
      <c r="T37" s="445"/>
      <c r="U37" s="445"/>
      <c r="V37" s="445"/>
      <c r="W37" s="445"/>
      <c r="X37" s="445"/>
      <c r="Y37" s="445"/>
      <c r="Z37" s="445"/>
      <c r="AA37" s="445"/>
      <c r="AB37" s="445"/>
      <c r="AC37" s="445"/>
      <c r="AD37" s="445"/>
      <c r="AE37" s="445"/>
      <c r="AF37" s="445"/>
      <c r="AG37" s="445"/>
      <c r="AH37" s="445"/>
      <c r="AI37" s="445"/>
      <c r="AJ37" s="445"/>
      <c r="AK37" s="445"/>
      <c r="AL37" s="445"/>
    </row>
    <row r="38" spans="1:38" x14ac:dyDescent="0.2">
      <c r="A38" s="238"/>
      <c r="B38" s="455"/>
      <c r="C38" s="445"/>
      <c r="D38" s="445"/>
      <c r="E38" s="445"/>
      <c r="F38" s="445"/>
      <c r="G38" s="445"/>
      <c r="H38" s="445"/>
      <c r="I38" s="445"/>
      <c r="J38" s="445"/>
      <c r="K38" s="445"/>
      <c r="L38" s="445"/>
      <c r="M38" s="445"/>
      <c r="N38" s="445"/>
      <c r="O38" s="445"/>
      <c r="P38" s="445"/>
      <c r="Q38" s="445"/>
      <c r="R38" s="445"/>
      <c r="S38" s="445"/>
      <c r="T38" s="445"/>
      <c r="U38" s="445"/>
      <c r="V38" s="445"/>
      <c r="W38" s="445"/>
      <c r="X38" s="445"/>
      <c r="Y38" s="445"/>
      <c r="Z38" s="445"/>
      <c r="AA38" s="445"/>
      <c r="AB38" s="445"/>
      <c r="AC38" s="445"/>
      <c r="AD38" s="445"/>
      <c r="AE38" s="445"/>
      <c r="AF38" s="445"/>
      <c r="AG38" s="445"/>
      <c r="AH38" s="445"/>
      <c r="AI38" s="445"/>
      <c r="AJ38" s="445"/>
      <c r="AK38" s="445"/>
      <c r="AL38" s="445"/>
    </row>
    <row r="39" spans="1:38" x14ac:dyDescent="0.2">
      <c r="A39" s="238"/>
      <c r="B39" s="455"/>
      <c r="C39" s="445"/>
      <c r="D39" s="445"/>
      <c r="E39" s="445"/>
      <c r="F39" s="445"/>
      <c r="G39" s="445"/>
      <c r="H39" s="445"/>
      <c r="I39" s="445"/>
      <c r="J39" s="445"/>
      <c r="K39" s="445"/>
      <c r="L39" s="445"/>
      <c r="M39" s="445"/>
      <c r="N39" s="445"/>
      <c r="O39" s="445"/>
      <c r="P39" s="445"/>
      <c r="Q39" s="445"/>
      <c r="R39" s="445"/>
      <c r="S39" s="445"/>
      <c r="T39" s="445"/>
      <c r="U39" s="445"/>
      <c r="V39" s="445"/>
      <c r="W39" s="445"/>
      <c r="X39" s="445"/>
      <c r="Y39" s="445"/>
      <c r="Z39" s="445"/>
      <c r="AA39" s="445"/>
      <c r="AB39" s="445"/>
      <c r="AC39" s="445"/>
      <c r="AD39" s="445"/>
      <c r="AE39" s="445"/>
      <c r="AF39" s="445"/>
      <c r="AG39" s="445"/>
      <c r="AH39" s="445"/>
      <c r="AI39" s="445"/>
      <c r="AJ39" s="445"/>
      <c r="AK39" s="445"/>
      <c r="AL39" s="445"/>
    </row>
    <row r="40" spans="1:38" x14ac:dyDescent="0.2">
      <c r="A40" s="238"/>
      <c r="B40" s="455"/>
      <c r="C40" s="445"/>
      <c r="D40" s="445"/>
      <c r="E40" s="445"/>
      <c r="F40" s="445"/>
      <c r="G40" s="445"/>
      <c r="H40" s="445"/>
      <c r="I40" s="445"/>
      <c r="J40" s="445"/>
      <c r="K40" s="445"/>
      <c r="L40" s="445"/>
      <c r="M40" s="445"/>
      <c r="N40" s="445"/>
      <c r="O40" s="445"/>
      <c r="P40" s="445"/>
      <c r="Q40" s="445"/>
      <c r="R40" s="445"/>
      <c r="S40" s="445"/>
      <c r="T40" s="445"/>
      <c r="U40" s="445"/>
      <c r="V40" s="445"/>
      <c r="W40" s="445"/>
      <c r="X40" s="445"/>
      <c r="Y40" s="445"/>
      <c r="Z40" s="445"/>
      <c r="AA40" s="445"/>
      <c r="AB40" s="445"/>
      <c r="AC40" s="445"/>
      <c r="AD40" s="445"/>
      <c r="AE40" s="445"/>
      <c r="AF40" s="445"/>
      <c r="AG40" s="445"/>
      <c r="AH40" s="445"/>
      <c r="AI40" s="445"/>
      <c r="AJ40" s="445"/>
      <c r="AK40" s="445"/>
      <c r="AL40" s="445"/>
    </row>
    <row r="41" spans="1:38" x14ac:dyDescent="0.2">
      <c r="A41" s="238"/>
      <c r="B41" s="455"/>
      <c r="C41" s="314">
        <f>HLOOKUP($D$4,D$41:L$43,3)</f>
        <v>5</v>
      </c>
      <c r="D41" s="456">
        <v>2007</v>
      </c>
      <c r="E41" s="456">
        <v>2008</v>
      </c>
      <c r="F41" s="456">
        <v>2009</v>
      </c>
      <c r="G41" s="456">
        <v>2010</v>
      </c>
      <c r="H41" s="456">
        <v>2011</v>
      </c>
      <c r="I41" s="456">
        <v>2012</v>
      </c>
      <c r="J41" s="456">
        <v>2013</v>
      </c>
      <c r="K41" s="456">
        <v>2014</v>
      </c>
      <c r="L41" s="456">
        <v>2015</v>
      </c>
      <c r="M41" s="445"/>
      <c r="N41" s="445"/>
      <c r="O41" s="445"/>
      <c r="P41" s="445"/>
      <c r="Q41" s="445"/>
      <c r="R41" s="445"/>
      <c r="S41" s="445"/>
      <c r="T41" s="445"/>
      <c r="U41" s="445"/>
      <c r="V41" s="445"/>
      <c r="W41" s="445"/>
      <c r="X41" s="445"/>
      <c r="Y41" s="445"/>
      <c r="Z41" s="445"/>
      <c r="AA41" s="445"/>
      <c r="AB41" s="445"/>
      <c r="AC41" s="445"/>
      <c r="AD41" s="445"/>
      <c r="AE41" s="445"/>
      <c r="AF41" s="445"/>
      <c r="AG41" s="445"/>
      <c r="AH41" s="445"/>
      <c r="AI41" s="445"/>
      <c r="AJ41" s="445"/>
      <c r="AK41" s="445"/>
      <c r="AL41" s="445"/>
    </row>
    <row r="42" spans="1:38" x14ac:dyDescent="0.2">
      <c r="A42" s="238"/>
      <c r="B42" s="455"/>
      <c r="C42" s="314">
        <f>HLOOKUP($D$4,D$41:L$43,2)</f>
        <v>4</v>
      </c>
      <c r="D42" s="456">
        <v>2</v>
      </c>
      <c r="E42" s="456">
        <v>4</v>
      </c>
      <c r="F42" s="456">
        <v>6</v>
      </c>
      <c r="G42" s="456">
        <v>8</v>
      </c>
      <c r="H42" s="456">
        <v>10</v>
      </c>
      <c r="I42" s="456">
        <v>12</v>
      </c>
      <c r="J42" s="456">
        <v>14</v>
      </c>
      <c r="K42" s="456">
        <v>16</v>
      </c>
      <c r="L42" s="456">
        <v>18</v>
      </c>
      <c r="M42" s="445"/>
      <c r="N42" s="445"/>
      <c r="O42" s="445"/>
      <c r="P42" s="445"/>
      <c r="Q42" s="445"/>
      <c r="R42" s="445"/>
      <c r="S42" s="445"/>
      <c r="T42" s="445"/>
      <c r="U42" s="445"/>
      <c r="V42" s="445"/>
      <c r="W42" s="445"/>
      <c r="X42" s="445"/>
      <c r="Y42" s="445"/>
      <c r="Z42" s="445"/>
      <c r="AA42" s="445"/>
      <c r="AB42" s="445"/>
      <c r="AC42" s="445"/>
      <c r="AD42" s="445"/>
      <c r="AE42" s="445"/>
      <c r="AF42" s="445"/>
      <c r="AG42" s="445"/>
      <c r="AH42" s="445"/>
      <c r="AI42" s="445"/>
      <c r="AJ42" s="445"/>
      <c r="AK42" s="445"/>
      <c r="AL42" s="445"/>
    </row>
    <row r="43" spans="1:38" x14ac:dyDescent="0.2">
      <c r="A43" s="238"/>
      <c r="B43" s="455"/>
      <c r="C43" s="457"/>
      <c r="D43" s="456">
        <v>3</v>
      </c>
      <c r="E43" s="456">
        <v>5</v>
      </c>
      <c r="F43" s="456">
        <v>7</v>
      </c>
      <c r="G43" s="456">
        <v>9</v>
      </c>
      <c r="H43" s="456">
        <v>11</v>
      </c>
      <c r="I43" s="456">
        <v>13</v>
      </c>
      <c r="J43" s="456">
        <v>15</v>
      </c>
      <c r="K43" s="456">
        <v>17</v>
      </c>
      <c r="L43" s="456">
        <v>19</v>
      </c>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445"/>
      <c r="AK43" s="445"/>
      <c r="AL43" s="445"/>
    </row>
    <row r="44" spans="1:38" x14ac:dyDescent="0.2">
      <c r="A44" s="238"/>
      <c r="B44" s="242"/>
      <c r="C44" s="242"/>
      <c r="D44" s="242"/>
      <c r="E44" s="242"/>
      <c r="F44" s="242"/>
      <c r="G44" s="242"/>
      <c r="H44" s="242"/>
      <c r="I44" s="242"/>
      <c r="J44" s="242"/>
      <c r="K44" s="242"/>
      <c r="L44" s="242"/>
      <c r="M44" s="242"/>
      <c r="N44" s="242"/>
      <c r="O44" s="242"/>
      <c r="P44" s="242"/>
      <c r="Q44" s="242"/>
      <c r="R44" s="242"/>
      <c r="S44" s="242"/>
      <c r="T44" s="242"/>
      <c r="U44" s="242"/>
      <c r="V44" s="242"/>
      <c r="W44" s="242"/>
      <c r="X44" s="242"/>
      <c r="Y44" s="242"/>
      <c r="Z44" s="242"/>
      <c r="AA44" s="242"/>
      <c r="AB44" s="242"/>
      <c r="AC44" s="242"/>
      <c r="AD44" s="242"/>
      <c r="AE44" s="242"/>
      <c r="AF44" s="242"/>
      <c r="AG44" s="242"/>
      <c r="AH44" s="242"/>
      <c r="AI44" s="242"/>
      <c r="AJ44" s="242"/>
      <c r="AK44" s="242"/>
      <c r="AL44" s="242"/>
    </row>
    <row r="45" spans="1:38" x14ac:dyDescent="0.2">
      <c r="A45" s="238"/>
      <c r="B45" s="171">
        <f>B43*100</f>
        <v>0</v>
      </c>
    </row>
    <row r="46" spans="1:38" x14ac:dyDescent="0.2">
      <c r="A46" s="238"/>
    </row>
    <row r="47" spans="1:38" x14ac:dyDescent="0.2">
      <c r="A47" s="238"/>
    </row>
    <row r="48" spans="1:38" x14ac:dyDescent="0.2">
      <c r="A48" s="238"/>
    </row>
    <row r="51" ht="13.5" customHeight="1" x14ac:dyDescent="0.2"/>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K56"/>
  <sheetViews>
    <sheetView workbookViewId="0">
      <selection activeCell="B2" sqref="B2"/>
    </sheetView>
  </sheetViews>
  <sheetFormatPr defaultRowHeight="12.75" x14ac:dyDescent="0.2"/>
  <cols>
    <col min="1" max="1" width="173.85546875" style="242" customWidth="1"/>
    <col min="2" max="2" width="20.5703125" customWidth="1"/>
    <col min="3" max="3" width="8.28515625" customWidth="1"/>
    <col min="4" max="4" width="6.7109375" customWidth="1"/>
  </cols>
  <sheetData>
    <row r="1" spans="1:63" x14ac:dyDescent="0.2">
      <c r="A1" s="238"/>
      <c r="B1" s="1" t="s">
        <v>181</v>
      </c>
    </row>
    <row r="2" spans="1:63" x14ac:dyDescent="0.2">
      <c r="A2" s="238"/>
      <c r="B2" s="1" t="s">
        <v>215</v>
      </c>
      <c r="C2" s="1">
        <v>2008</v>
      </c>
    </row>
    <row r="3" spans="1:63" x14ac:dyDescent="0.2">
      <c r="A3" s="238"/>
      <c r="C3" t="s">
        <v>60</v>
      </c>
      <c r="D3" t="s">
        <v>61</v>
      </c>
      <c r="E3" t="s">
        <v>62</v>
      </c>
      <c r="F3" t="s">
        <v>63</v>
      </c>
      <c r="G3" t="s">
        <v>64</v>
      </c>
      <c r="H3" t="s">
        <v>65</v>
      </c>
      <c r="I3" t="s">
        <v>66</v>
      </c>
      <c r="J3" t="s">
        <v>67</v>
      </c>
      <c r="K3" t="s">
        <v>68</v>
      </c>
      <c r="L3" t="s">
        <v>69</v>
      </c>
      <c r="M3" t="s">
        <v>70</v>
      </c>
      <c r="N3" t="s">
        <v>71</v>
      </c>
      <c r="O3" t="s">
        <v>72</v>
      </c>
      <c r="P3" t="s">
        <v>73</v>
      </c>
      <c r="Q3" t="s">
        <v>74</v>
      </c>
      <c r="R3" t="s">
        <v>75</v>
      </c>
      <c r="S3" t="s">
        <v>76</v>
      </c>
      <c r="T3" t="s">
        <v>77</v>
      </c>
      <c r="U3" t="s">
        <v>78</v>
      </c>
      <c r="V3" t="s">
        <v>79</v>
      </c>
      <c r="W3" t="s">
        <v>80</v>
      </c>
      <c r="X3" t="s">
        <v>81</v>
      </c>
      <c r="Y3" t="s">
        <v>82</v>
      </c>
      <c r="Z3" t="s">
        <v>83</v>
      </c>
      <c r="AA3" t="s">
        <v>84</v>
      </c>
      <c r="AB3" t="s">
        <v>85</v>
      </c>
      <c r="AC3" t="s">
        <v>86</v>
      </c>
      <c r="AD3" t="str">
        <f>'User Add-in Location'!E10</f>
        <v>MyCounty</v>
      </c>
      <c r="AE3" t="str">
        <f>'User Add-in Location'!F10</f>
        <v>MyRegion</v>
      </c>
      <c r="AF3" t="s">
        <v>87</v>
      </c>
      <c r="AG3" t="s">
        <v>88</v>
      </c>
      <c r="AH3" t="s">
        <v>89</v>
      </c>
      <c r="AI3" t="s">
        <v>90</v>
      </c>
      <c r="AJ3" t="s">
        <v>91</v>
      </c>
      <c r="AK3" t="s">
        <v>92</v>
      </c>
      <c r="AL3" t="s">
        <v>93</v>
      </c>
      <c r="AM3" t="s">
        <v>94</v>
      </c>
      <c r="AN3" t="s">
        <v>95</v>
      </c>
      <c r="AO3" t="s">
        <v>96</v>
      </c>
      <c r="AP3" t="s">
        <v>97</v>
      </c>
      <c r="AQ3" t="s">
        <v>98</v>
      </c>
      <c r="AR3" s="440" t="s">
        <v>451</v>
      </c>
      <c r="AS3" s="440" t="s">
        <v>452</v>
      </c>
      <c r="AT3" s="440" t="s">
        <v>453</v>
      </c>
      <c r="AU3" s="440" t="s">
        <v>454</v>
      </c>
      <c r="AV3" s="440" t="s">
        <v>455</v>
      </c>
      <c r="AW3" s="440" t="s">
        <v>456</v>
      </c>
      <c r="AX3" s="440" t="s">
        <v>457</v>
      </c>
      <c r="AY3" s="440" t="s">
        <v>458</v>
      </c>
      <c r="AZ3" t="s">
        <v>99</v>
      </c>
      <c r="BA3" t="s">
        <v>100</v>
      </c>
      <c r="BB3" t="s">
        <v>101</v>
      </c>
      <c r="BC3" t="s">
        <v>102</v>
      </c>
      <c r="BD3" t="s">
        <v>103</v>
      </c>
      <c r="BE3" t="s">
        <v>104</v>
      </c>
      <c r="BF3" t="s">
        <v>105</v>
      </c>
      <c r="BG3" t="s">
        <v>106</v>
      </c>
      <c r="BH3" t="s">
        <v>107</v>
      </c>
      <c r="BI3" t="s">
        <v>108</v>
      </c>
      <c r="BJ3" t="s">
        <v>109</v>
      </c>
      <c r="BK3" t="s">
        <v>59</v>
      </c>
    </row>
    <row r="4" spans="1:63" x14ac:dyDescent="0.2">
      <c r="A4" s="238"/>
      <c r="B4" s="405" t="s">
        <v>388</v>
      </c>
      <c r="C4" s="414">
        <v>4.8731333141875744E-3</v>
      </c>
      <c r="D4" s="251">
        <v>3.6089558978910337E-3</v>
      </c>
      <c r="E4" s="251">
        <v>2.8301340489112416E-3</v>
      </c>
      <c r="F4" s="251">
        <v>7.6570042130614906E-3</v>
      </c>
      <c r="G4" s="415">
        <v>3.9840016735318649E-3</v>
      </c>
      <c r="H4" s="251">
        <v>5.09160847956405E-3</v>
      </c>
      <c r="I4" s="251">
        <v>9.4784933234106597E-4</v>
      </c>
      <c r="J4" s="251">
        <v>4.0389650692783221E-3</v>
      </c>
      <c r="K4" s="251">
        <v>4.9393753422061196E-5</v>
      </c>
      <c r="L4" s="251">
        <v>4.1128691961428657E-3</v>
      </c>
      <c r="M4" s="251">
        <v>4.8562151229597054E-3</v>
      </c>
      <c r="N4" s="251">
        <v>5.311798567070411E-3</v>
      </c>
      <c r="O4" s="251">
        <v>7.9491237098807104E-3</v>
      </c>
      <c r="P4" s="251">
        <v>3.0200495193496275E-3</v>
      </c>
      <c r="Q4" s="251">
        <v>2.0649923847470856E-3</v>
      </c>
      <c r="R4" s="251">
        <v>8.1119261891328467E-3</v>
      </c>
      <c r="S4" s="251">
        <v>6.5062762406559406E-3</v>
      </c>
      <c r="T4" s="251">
        <v>3.9297065069958878E-3</v>
      </c>
      <c r="U4" s="251">
        <v>3.0918891699748697E-3</v>
      </c>
      <c r="V4" s="251">
        <v>8.2821515852319911E-3</v>
      </c>
      <c r="W4" s="251">
        <v>2.134458303284536E-3</v>
      </c>
      <c r="X4" s="251">
        <v>9.8307410252964213E-4</v>
      </c>
      <c r="Y4" s="251">
        <v>2.761805925099654E-3</v>
      </c>
      <c r="Z4" s="251">
        <v>4.9755876000749022E-3</v>
      </c>
      <c r="AA4" s="251">
        <v>7.3813824819437693E-3</v>
      </c>
      <c r="AB4" s="251">
        <v>3.9333990282070502E-3</v>
      </c>
      <c r="AC4" s="251">
        <v>5.9056456983290683E-3</v>
      </c>
      <c r="AD4" s="251">
        <f>'User Add-in Location'!E11</f>
        <v>0</v>
      </c>
      <c r="AE4" s="251">
        <v>1</v>
      </c>
      <c r="AF4" s="251">
        <v>9.9436411893560877E-3</v>
      </c>
      <c r="AG4" s="251">
        <v>1.5829413091961605E-3</v>
      </c>
      <c r="AH4" s="415">
        <v>2.5538309367005123E-3</v>
      </c>
      <c r="AI4" s="414">
        <v>7.9812104762227922E-4</v>
      </c>
      <c r="AJ4" s="251">
        <v>4.8373824018634465E-3</v>
      </c>
      <c r="AK4" s="251">
        <v>2.5668668510203663E-3</v>
      </c>
      <c r="AL4" s="251">
        <v>5.1595072418723137E-3</v>
      </c>
      <c r="AM4" s="251">
        <v>4.1545563993811846E-3</v>
      </c>
      <c r="AN4" s="251">
        <v>2.063615481434924E-3</v>
      </c>
      <c r="AO4" s="251">
        <v>4.6874072073022719E-3</v>
      </c>
      <c r="AP4" s="251">
        <v>8.4281474182837414E-3</v>
      </c>
      <c r="AQ4" s="251">
        <v>2.6953142692699335E-3</v>
      </c>
      <c r="AR4" s="63">
        <v>2.7155141662591419E-3</v>
      </c>
      <c r="AS4" s="63">
        <v>2.3022925733512068E-3</v>
      </c>
      <c r="AT4" s="63">
        <v>4.755740560976625E-3</v>
      </c>
      <c r="AU4" s="63">
        <v>5.4117057458641891E-3</v>
      </c>
      <c r="AV4" s="63">
        <v>5.0309191506700129E-3</v>
      </c>
      <c r="AW4" s="63">
        <v>4.1125958399857113E-3</v>
      </c>
      <c r="AX4" s="63">
        <v>7.1080395414192324E-3</v>
      </c>
      <c r="AY4" s="63">
        <v>4.0190233385235859E-3</v>
      </c>
      <c r="AZ4" s="251">
        <v>4.2468199963924269E-4</v>
      </c>
      <c r="BA4" s="251">
        <v>3.9858683485860611E-3</v>
      </c>
      <c r="BB4" s="251">
        <v>5.934832572029901E-3</v>
      </c>
      <c r="BC4" s="251">
        <v>2.918006670736975E-3</v>
      </c>
      <c r="BD4" s="251">
        <v>2.6456189648185126E-3</v>
      </c>
      <c r="BE4" s="251">
        <v>2.2652224993202712E-3</v>
      </c>
      <c r="BF4" s="251">
        <v>9.9034743531958309E-3</v>
      </c>
      <c r="BG4" s="251">
        <v>3.856822495291146E-3</v>
      </c>
      <c r="BH4" s="251">
        <v>4.5496731228671372E-3</v>
      </c>
      <c r="BI4" s="251">
        <v>3.2819282631928012E-3</v>
      </c>
      <c r="BJ4" s="251">
        <v>6.7323637609054028E-3</v>
      </c>
      <c r="BK4" s="398">
        <v>3.6390368229151028E-3</v>
      </c>
    </row>
    <row r="5" spans="1:63" ht="23.25" x14ac:dyDescent="0.35">
      <c r="A5" s="239" t="s">
        <v>269</v>
      </c>
      <c r="B5" s="405" t="s">
        <v>124</v>
      </c>
      <c r="C5" s="414">
        <v>3.8990874943061849E-6</v>
      </c>
      <c r="D5" s="251">
        <v>3.2431695728536673E-5</v>
      </c>
      <c r="E5" s="251">
        <v>2.902240592513807E-6</v>
      </c>
      <c r="F5" s="251">
        <v>5.4011526643506338E-6</v>
      </c>
      <c r="G5" s="415">
        <v>5.172727393627954E-6</v>
      </c>
      <c r="H5" s="251">
        <v>1.07021481531089E-5</v>
      </c>
      <c r="I5" s="251">
        <v>2.3304993217312232E-6</v>
      </c>
      <c r="J5" s="251">
        <v>1.8978108439402336E-6</v>
      </c>
      <c r="K5" s="251">
        <v>4.0628547383493846E-6</v>
      </c>
      <c r="L5" s="251">
        <v>4.3459073470907264E-6</v>
      </c>
      <c r="M5" s="251">
        <v>7.311180204465777E-7</v>
      </c>
      <c r="N5" s="251">
        <v>1.4909949465210939E-6</v>
      </c>
      <c r="O5" s="251">
        <v>2.5384146466168658E-6</v>
      </c>
      <c r="P5" s="251">
        <v>5.3343205410404092E-6</v>
      </c>
      <c r="Q5" s="251">
        <v>1.0040894536928791E-6</v>
      </c>
      <c r="R5" s="251">
        <v>3.5011985785625181E-7</v>
      </c>
      <c r="S5" s="251">
        <v>4.1069802487968303E-6</v>
      </c>
      <c r="T5" s="251">
        <v>5.5197084332809636E-6</v>
      </c>
      <c r="U5" s="251">
        <v>2.4111750063260857E-5</v>
      </c>
      <c r="V5" s="251">
        <v>1.4665426929901579E-6</v>
      </c>
      <c r="W5" s="251">
        <v>2.4880206656506971E-6</v>
      </c>
      <c r="X5" s="251">
        <v>2.8806638606118085E-6</v>
      </c>
      <c r="Y5" s="251">
        <v>2.4983148695708874E-6</v>
      </c>
      <c r="Z5" s="251">
        <v>1.5913220452332576E-6</v>
      </c>
      <c r="AA5" s="251">
        <v>6.0435502596189889E-6</v>
      </c>
      <c r="AB5" s="251">
        <v>1.8303406752644622E-6</v>
      </c>
      <c r="AC5" s="251">
        <v>6.2294906443655538E-6</v>
      </c>
      <c r="AD5" s="251">
        <f>'User Add-in Location'!E12</f>
        <v>0</v>
      </c>
      <c r="AE5" s="251">
        <f>'User Add-in Location'!F12</f>
        <v>0</v>
      </c>
      <c r="AF5" s="251">
        <v>5.9322468391706008E-7</v>
      </c>
      <c r="AG5" s="251">
        <v>8.0098626233675265E-6</v>
      </c>
      <c r="AH5" s="415">
        <v>1.3514775073587895E-6</v>
      </c>
      <c r="AI5" s="414">
        <v>1.3838511704610636E-6</v>
      </c>
      <c r="AJ5" s="251">
        <v>8.0163455520794965E-6</v>
      </c>
      <c r="AK5" s="251">
        <v>4.2991929965226463E-6</v>
      </c>
      <c r="AL5" s="251">
        <v>7.3416724697763757E-7</v>
      </c>
      <c r="AM5" s="251">
        <v>1.3804991268524031E-5</v>
      </c>
      <c r="AN5" s="251">
        <v>2.1855395288586664E-6</v>
      </c>
      <c r="AO5" s="251">
        <v>1.6299467525546629E-5</v>
      </c>
      <c r="AP5" s="251">
        <v>1.6124892836969133E-6</v>
      </c>
      <c r="AQ5" s="251">
        <v>4.5168222621317875E-6</v>
      </c>
      <c r="AR5" s="63">
        <v>3.3171535410697287E-6</v>
      </c>
      <c r="AS5" s="63">
        <v>4.8785925620387561E-6</v>
      </c>
      <c r="AT5" s="63">
        <v>1.9730154993072201E-6</v>
      </c>
      <c r="AU5" s="63">
        <v>4.2285203548389203E-6</v>
      </c>
      <c r="AV5" s="63">
        <v>3.3781532434129138E-6</v>
      </c>
      <c r="AW5" s="63">
        <v>2.4166458369164099E-5</v>
      </c>
      <c r="AX5" s="63">
        <v>1.0330851529548684E-5</v>
      </c>
      <c r="AY5" s="63">
        <v>5.1143937456658689E-6</v>
      </c>
      <c r="AZ5" s="251">
        <v>1.2491526302379719E-6</v>
      </c>
      <c r="BA5" s="251">
        <v>8.1877181851193332E-7</v>
      </c>
      <c r="BB5" s="251">
        <v>7.3943303228927312E-7</v>
      </c>
      <c r="BC5" s="251">
        <v>1.4129529796544999E-6</v>
      </c>
      <c r="BD5" s="251">
        <v>2.3991052824283435E-5</v>
      </c>
      <c r="BE5" s="251">
        <v>3.372570253469618E-6</v>
      </c>
      <c r="BF5" s="251">
        <v>2.2127145551128972E-6</v>
      </c>
      <c r="BG5" s="251">
        <v>3.3227771880014158E-6</v>
      </c>
      <c r="BH5" s="251">
        <v>1.7047609150108835E-6</v>
      </c>
      <c r="BI5" s="251">
        <v>1.2710251520126585E-5</v>
      </c>
      <c r="BJ5" s="251">
        <v>6.4301168211888483E-7</v>
      </c>
      <c r="BK5" s="398">
        <v>2.0259854310316846E-5</v>
      </c>
    </row>
    <row r="6" spans="1:63" x14ac:dyDescent="0.2">
      <c r="A6" s="238"/>
      <c r="B6" s="405" t="s">
        <v>56</v>
      </c>
      <c r="C6" s="414">
        <v>0</v>
      </c>
      <c r="D6" s="251">
        <v>0</v>
      </c>
      <c r="E6" s="251">
        <v>0</v>
      </c>
      <c r="F6" s="251">
        <v>0</v>
      </c>
      <c r="G6" s="415">
        <v>0</v>
      </c>
      <c r="H6" s="251">
        <v>0</v>
      </c>
      <c r="I6" s="251">
        <v>0</v>
      </c>
      <c r="J6" s="251">
        <v>0</v>
      </c>
      <c r="K6" s="251">
        <v>0</v>
      </c>
      <c r="L6" s="251">
        <v>0</v>
      </c>
      <c r="M6" s="251">
        <v>0</v>
      </c>
      <c r="N6" s="251">
        <v>0</v>
      </c>
      <c r="O6" s="251">
        <v>0</v>
      </c>
      <c r="P6" s="251">
        <v>0</v>
      </c>
      <c r="Q6" s="251">
        <v>0</v>
      </c>
      <c r="R6" s="251">
        <v>0</v>
      </c>
      <c r="S6" s="251">
        <v>0</v>
      </c>
      <c r="T6" s="251">
        <v>0</v>
      </c>
      <c r="U6" s="251">
        <v>0</v>
      </c>
      <c r="V6" s="251">
        <v>0</v>
      </c>
      <c r="W6" s="251">
        <v>0</v>
      </c>
      <c r="X6" s="251">
        <v>0</v>
      </c>
      <c r="Y6" s="251">
        <v>0</v>
      </c>
      <c r="Z6" s="251">
        <v>0</v>
      </c>
      <c r="AA6" s="251">
        <v>0</v>
      </c>
      <c r="AB6" s="251">
        <v>0</v>
      </c>
      <c r="AC6" s="251">
        <v>0</v>
      </c>
      <c r="AD6" s="251">
        <f>'User Add-in Location'!E13</f>
        <v>0</v>
      </c>
      <c r="AE6" s="251">
        <f>'User Add-in Location'!F13</f>
        <v>0</v>
      </c>
      <c r="AF6" s="251">
        <v>0</v>
      </c>
      <c r="AG6" s="251">
        <v>0</v>
      </c>
      <c r="AH6" s="415">
        <v>0</v>
      </c>
      <c r="AI6" s="414">
        <v>0</v>
      </c>
      <c r="AJ6" s="251">
        <v>0</v>
      </c>
      <c r="AK6" s="251">
        <v>0</v>
      </c>
      <c r="AL6" s="251">
        <v>0</v>
      </c>
      <c r="AM6" s="251">
        <v>0</v>
      </c>
      <c r="AN6" s="251">
        <v>0</v>
      </c>
      <c r="AO6" s="251">
        <v>0</v>
      </c>
      <c r="AP6" s="251">
        <v>0</v>
      </c>
      <c r="AQ6" s="251">
        <v>0</v>
      </c>
      <c r="AR6" s="63">
        <v>0</v>
      </c>
      <c r="AS6" s="63">
        <v>0</v>
      </c>
      <c r="AT6" s="63">
        <v>0</v>
      </c>
      <c r="AU6" s="63">
        <v>0</v>
      </c>
      <c r="AV6" s="63">
        <v>0</v>
      </c>
      <c r="AW6" s="63">
        <v>0</v>
      </c>
      <c r="AX6" s="63">
        <v>0</v>
      </c>
      <c r="AY6" s="63">
        <v>0</v>
      </c>
      <c r="AZ6" s="251">
        <v>0</v>
      </c>
      <c r="BA6" s="251">
        <v>0</v>
      </c>
      <c r="BB6" s="251">
        <v>0</v>
      </c>
      <c r="BC6" s="251">
        <v>0</v>
      </c>
      <c r="BD6" s="251">
        <v>0</v>
      </c>
      <c r="BE6" s="251">
        <v>0</v>
      </c>
      <c r="BF6" s="251">
        <v>0</v>
      </c>
      <c r="BG6" s="251">
        <v>0</v>
      </c>
      <c r="BH6" s="251">
        <v>0</v>
      </c>
      <c r="BI6" s="251">
        <v>0</v>
      </c>
      <c r="BJ6" s="251">
        <v>0</v>
      </c>
      <c r="BK6" s="398">
        <v>0</v>
      </c>
    </row>
    <row r="7" spans="1:63" ht="15.75" x14ac:dyDescent="0.25">
      <c r="A7" s="240" t="s">
        <v>270</v>
      </c>
      <c r="B7" s="405" t="s">
        <v>389</v>
      </c>
      <c r="C7" s="414">
        <v>0</v>
      </c>
      <c r="D7" s="251">
        <v>0</v>
      </c>
      <c r="E7" s="251">
        <v>0</v>
      </c>
      <c r="F7" s="251">
        <v>0</v>
      </c>
      <c r="G7" s="415">
        <v>0</v>
      </c>
      <c r="H7" s="251">
        <v>0</v>
      </c>
      <c r="I7" s="251">
        <v>0</v>
      </c>
      <c r="J7" s="251">
        <v>0</v>
      </c>
      <c r="K7" s="251">
        <v>0</v>
      </c>
      <c r="L7" s="251">
        <v>0</v>
      </c>
      <c r="M7" s="251">
        <v>0</v>
      </c>
      <c r="N7" s="251">
        <v>0</v>
      </c>
      <c r="O7" s="251">
        <v>0</v>
      </c>
      <c r="P7" s="251">
        <v>0</v>
      </c>
      <c r="Q7" s="251">
        <v>0</v>
      </c>
      <c r="R7" s="251">
        <v>0</v>
      </c>
      <c r="S7" s="251">
        <v>0</v>
      </c>
      <c r="T7" s="251">
        <v>0</v>
      </c>
      <c r="U7" s="251">
        <v>0</v>
      </c>
      <c r="V7" s="251">
        <v>0</v>
      </c>
      <c r="W7" s="251">
        <v>0</v>
      </c>
      <c r="X7" s="251">
        <v>0</v>
      </c>
      <c r="Y7" s="251">
        <v>0</v>
      </c>
      <c r="Z7" s="251">
        <v>0</v>
      </c>
      <c r="AA7" s="251">
        <v>0</v>
      </c>
      <c r="AB7" s="251">
        <v>0</v>
      </c>
      <c r="AC7" s="251">
        <v>0</v>
      </c>
      <c r="AD7" s="251">
        <f>'User Add-in Location'!E14</f>
        <v>0</v>
      </c>
      <c r="AE7" s="251">
        <f>'User Add-in Location'!F14</f>
        <v>0</v>
      </c>
      <c r="AF7" s="251">
        <v>0</v>
      </c>
      <c r="AG7" s="251">
        <v>0</v>
      </c>
      <c r="AH7" s="415">
        <v>0</v>
      </c>
      <c r="AI7" s="414">
        <v>0</v>
      </c>
      <c r="AJ7" s="251">
        <v>0</v>
      </c>
      <c r="AK7" s="251">
        <v>0</v>
      </c>
      <c r="AL7" s="251">
        <v>0</v>
      </c>
      <c r="AM7" s="251">
        <v>0</v>
      </c>
      <c r="AN7" s="251">
        <v>0</v>
      </c>
      <c r="AO7" s="251">
        <v>0</v>
      </c>
      <c r="AP7" s="251">
        <v>0</v>
      </c>
      <c r="AQ7" s="251">
        <v>0</v>
      </c>
      <c r="AR7" s="63">
        <v>0</v>
      </c>
      <c r="AS7" s="63">
        <v>0</v>
      </c>
      <c r="AT7" s="63">
        <v>0</v>
      </c>
      <c r="AU7" s="63">
        <v>0</v>
      </c>
      <c r="AV7" s="63">
        <v>0</v>
      </c>
      <c r="AW7" s="63">
        <v>0</v>
      </c>
      <c r="AX7" s="63">
        <v>0</v>
      </c>
      <c r="AY7" s="63">
        <v>0</v>
      </c>
      <c r="AZ7" s="251">
        <v>0</v>
      </c>
      <c r="BA7" s="251">
        <v>0</v>
      </c>
      <c r="BB7" s="251">
        <v>0</v>
      </c>
      <c r="BC7" s="251">
        <v>0</v>
      </c>
      <c r="BD7" s="251">
        <v>0</v>
      </c>
      <c r="BE7" s="251">
        <v>0</v>
      </c>
      <c r="BF7" s="251">
        <v>0</v>
      </c>
      <c r="BG7" s="251">
        <v>0</v>
      </c>
      <c r="BH7" s="251">
        <v>0</v>
      </c>
      <c r="BI7" s="251">
        <v>0</v>
      </c>
      <c r="BJ7" s="251">
        <v>0</v>
      </c>
      <c r="BK7" s="398">
        <v>0</v>
      </c>
    </row>
    <row r="8" spans="1:63" ht="15" x14ac:dyDescent="0.2">
      <c r="A8" s="241"/>
      <c r="B8" s="405" t="s">
        <v>390</v>
      </c>
      <c r="C8" s="414">
        <v>0</v>
      </c>
      <c r="D8" s="251">
        <v>0</v>
      </c>
      <c r="E8" s="251">
        <v>0</v>
      </c>
      <c r="F8" s="251">
        <v>0</v>
      </c>
      <c r="G8" s="415">
        <v>0</v>
      </c>
      <c r="H8" s="251">
        <v>0</v>
      </c>
      <c r="I8" s="251">
        <v>0</v>
      </c>
      <c r="J8" s="251">
        <v>0</v>
      </c>
      <c r="K8" s="251">
        <v>0</v>
      </c>
      <c r="L8" s="251">
        <v>0</v>
      </c>
      <c r="M8" s="251">
        <v>0</v>
      </c>
      <c r="N8" s="251">
        <v>0</v>
      </c>
      <c r="O8" s="251">
        <v>0</v>
      </c>
      <c r="P8" s="251">
        <v>0</v>
      </c>
      <c r="Q8" s="251">
        <v>0</v>
      </c>
      <c r="R8" s="251">
        <v>0</v>
      </c>
      <c r="S8" s="251">
        <v>0</v>
      </c>
      <c r="T8" s="251">
        <v>0</v>
      </c>
      <c r="U8" s="251">
        <v>0</v>
      </c>
      <c r="V8" s="251">
        <v>0</v>
      </c>
      <c r="W8" s="251">
        <v>0</v>
      </c>
      <c r="X8" s="251">
        <v>0</v>
      </c>
      <c r="Y8" s="251">
        <v>0</v>
      </c>
      <c r="Z8" s="251">
        <v>0</v>
      </c>
      <c r="AA8" s="251">
        <v>0</v>
      </c>
      <c r="AB8" s="251">
        <v>0</v>
      </c>
      <c r="AC8" s="251">
        <v>0</v>
      </c>
      <c r="AD8" s="251">
        <f>'User Add-in Location'!E15</f>
        <v>0</v>
      </c>
      <c r="AE8" s="251">
        <f>'User Add-in Location'!F15</f>
        <v>0</v>
      </c>
      <c r="AF8" s="251">
        <v>0</v>
      </c>
      <c r="AG8" s="251">
        <v>0</v>
      </c>
      <c r="AH8" s="415">
        <v>0</v>
      </c>
      <c r="AI8" s="414">
        <v>0</v>
      </c>
      <c r="AJ8" s="251">
        <v>0</v>
      </c>
      <c r="AK8" s="251">
        <v>0</v>
      </c>
      <c r="AL8" s="251">
        <v>0</v>
      </c>
      <c r="AM8" s="251">
        <v>0</v>
      </c>
      <c r="AN8" s="251">
        <v>0</v>
      </c>
      <c r="AO8" s="251">
        <v>0</v>
      </c>
      <c r="AP8" s="251">
        <v>0</v>
      </c>
      <c r="AQ8" s="251">
        <v>0</v>
      </c>
      <c r="AR8" s="63">
        <v>0</v>
      </c>
      <c r="AS8" s="63">
        <v>0</v>
      </c>
      <c r="AT8" s="63">
        <v>0</v>
      </c>
      <c r="AU8" s="63">
        <v>0</v>
      </c>
      <c r="AV8" s="63">
        <v>0</v>
      </c>
      <c r="AW8" s="63">
        <v>0</v>
      </c>
      <c r="AX8" s="63">
        <v>0</v>
      </c>
      <c r="AY8" s="63">
        <v>0</v>
      </c>
      <c r="AZ8" s="251">
        <v>0</v>
      </c>
      <c r="BA8" s="251">
        <v>0</v>
      </c>
      <c r="BB8" s="251">
        <v>0</v>
      </c>
      <c r="BC8" s="251">
        <v>0</v>
      </c>
      <c r="BD8" s="251">
        <v>0</v>
      </c>
      <c r="BE8" s="251">
        <v>0</v>
      </c>
      <c r="BF8" s="251">
        <v>0</v>
      </c>
      <c r="BG8" s="251">
        <v>0</v>
      </c>
      <c r="BH8" s="251">
        <v>0</v>
      </c>
      <c r="BI8" s="251">
        <v>0</v>
      </c>
      <c r="BJ8" s="251">
        <v>0</v>
      </c>
      <c r="BK8" s="398">
        <v>0</v>
      </c>
    </row>
    <row r="9" spans="1:63" ht="15.75" x14ac:dyDescent="0.25">
      <c r="A9" s="240" t="s">
        <v>271</v>
      </c>
      <c r="B9" s="405" t="s">
        <v>125</v>
      </c>
      <c r="C9" s="414">
        <v>5.5895168249505349E-2</v>
      </c>
      <c r="D9" s="251">
        <v>5.569549157909686E-2</v>
      </c>
      <c r="E9" s="251">
        <v>3.77337749765412E-2</v>
      </c>
      <c r="F9" s="251">
        <v>5.181800755053155E-2</v>
      </c>
      <c r="G9" s="415">
        <v>0.10519890668014927</v>
      </c>
      <c r="H9" s="251">
        <v>3.66519232925233E-2</v>
      </c>
      <c r="I9" s="251">
        <v>4.4796418272401779E-2</v>
      </c>
      <c r="J9" s="251">
        <v>5.0541623461473409E-2</v>
      </c>
      <c r="K9" s="251">
        <v>9.1120787991080237E-3</v>
      </c>
      <c r="L9" s="251">
        <v>5.3331574976555295E-2</v>
      </c>
      <c r="M9" s="251">
        <v>5.1548677458596932E-2</v>
      </c>
      <c r="N9" s="251">
        <v>5.4665920141868614E-2</v>
      </c>
      <c r="O9" s="251">
        <v>3.6755725832001235E-2</v>
      </c>
      <c r="P9" s="251">
        <v>7.1889228695354288E-2</v>
      </c>
      <c r="Q9" s="251">
        <v>5.8532595466775174E-2</v>
      </c>
      <c r="R9" s="251">
        <v>4.7970675296472663E-2</v>
      </c>
      <c r="S9" s="251">
        <v>4.137703858327467E-2</v>
      </c>
      <c r="T9" s="251">
        <v>6.3388166211155075E-2</v>
      </c>
      <c r="U9" s="251">
        <v>9.2400282286343879E-2</v>
      </c>
      <c r="V9" s="251">
        <v>4.9034353687676786E-2</v>
      </c>
      <c r="W9" s="251">
        <v>3.6314307347552692E-2</v>
      </c>
      <c r="X9" s="251">
        <v>5.1201213900897304E-2</v>
      </c>
      <c r="Y9" s="251">
        <v>8.0526118686421747E-2</v>
      </c>
      <c r="Z9" s="251">
        <v>6.5618355801907696E-2</v>
      </c>
      <c r="AA9" s="251">
        <v>5.4412185788953127E-2</v>
      </c>
      <c r="AB9" s="251">
        <v>5.5518817805437611E-2</v>
      </c>
      <c r="AC9" s="251">
        <v>2.2180879442745095E-2</v>
      </c>
      <c r="AD9" s="251">
        <f>'User Add-in Location'!E16</f>
        <v>0</v>
      </c>
      <c r="AE9" s="251">
        <f>'User Add-in Location'!F16</f>
        <v>0</v>
      </c>
      <c r="AF9" s="251">
        <v>3.9822964656211789E-2</v>
      </c>
      <c r="AG9" s="251">
        <v>2.5490357509186247E-2</v>
      </c>
      <c r="AH9" s="415">
        <v>2.9241769248157912E-2</v>
      </c>
      <c r="AI9" s="414">
        <v>7.5589548638412926E-2</v>
      </c>
      <c r="AJ9" s="251">
        <v>2.2214757024287036E-2</v>
      </c>
      <c r="AK9" s="251">
        <v>4.8922363495617245E-2</v>
      </c>
      <c r="AL9" s="251">
        <v>5.7042075588879707E-2</v>
      </c>
      <c r="AM9" s="251">
        <v>2.3409879327194787E-2</v>
      </c>
      <c r="AN9" s="251">
        <v>6.6986108307509964E-2</v>
      </c>
      <c r="AO9" s="251">
        <v>4.9083632920126068E-2</v>
      </c>
      <c r="AP9" s="251">
        <v>6.5359593236450395E-2</v>
      </c>
      <c r="AQ9" s="251">
        <v>6.8547187221875805E-2</v>
      </c>
      <c r="AR9" s="63">
        <v>7.1008764867650676E-2</v>
      </c>
      <c r="AS9" s="63">
        <v>8.6433133418978694E-2</v>
      </c>
      <c r="AT9" s="63">
        <v>6.5780082214884072E-2</v>
      </c>
      <c r="AU9" s="63">
        <v>8.1660525301762737E-2</v>
      </c>
      <c r="AV9" s="63">
        <v>0.1126812240481352</v>
      </c>
      <c r="AW9" s="63">
        <v>9.9319799901352077E-2</v>
      </c>
      <c r="AX9" s="63">
        <v>7.4552882959385836E-2</v>
      </c>
      <c r="AY9" s="63">
        <v>0.1045368756921657</v>
      </c>
      <c r="AZ9" s="251">
        <v>3.4530344594310598E-2</v>
      </c>
      <c r="BA9" s="251">
        <v>4.6250226933704203E-2</v>
      </c>
      <c r="BB9" s="251">
        <v>2.3914741451667436E-2</v>
      </c>
      <c r="BC9" s="251">
        <v>5.710700979484571E-2</v>
      </c>
      <c r="BD9" s="251">
        <v>9.2063378963905138E-2</v>
      </c>
      <c r="BE9" s="251">
        <v>5.48325978314496E-2</v>
      </c>
      <c r="BF9" s="251">
        <v>3.5284655760118869E-2</v>
      </c>
      <c r="BG9" s="251">
        <v>3.9847124141581279E-2</v>
      </c>
      <c r="BH9" s="251">
        <v>8.0472028814239094E-2</v>
      </c>
      <c r="BI9" s="251">
        <v>4.5542979398022682E-2</v>
      </c>
      <c r="BJ9" s="251">
        <v>7.1505308338697185E-2</v>
      </c>
      <c r="BK9" s="398">
        <v>1.2878215875273092E-2</v>
      </c>
    </row>
    <row r="10" spans="1:63" ht="15.75" x14ac:dyDescent="0.25">
      <c r="A10" s="240"/>
      <c r="B10" s="405" t="s">
        <v>126</v>
      </c>
      <c r="C10" s="414">
        <v>3.9844671912392993E-6</v>
      </c>
      <c r="D10" s="251">
        <v>5.3679542118596488E-6</v>
      </c>
      <c r="E10" s="251">
        <v>3.0496348225787229E-6</v>
      </c>
      <c r="F10" s="251">
        <v>2.081144262836742E-6</v>
      </c>
      <c r="G10" s="415">
        <v>4.193942606191196E-6</v>
      </c>
      <c r="H10" s="251">
        <v>2.2402367090589448E-6</v>
      </c>
      <c r="I10" s="251">
        <v>2.4377588343227515E-6</v>
      </c>
      <c r="J10" s="251">
        <v>7.1978026653246806E-7</v>
      </c>
      <c r="K10" s="251">
        <v>1.8675514519663317E-7</v>
      </c>
      <c r="L10" s="251">
        <v>3.3259403452114409E-6</v>
      </c>
      <c r="M10" s="251">
        <v>1.6294799307519023E-6</v>
      </c>
      <c r="N10" s="251">
        <v>3.2212951637712264E-6</v>
      </c>
      <c r="O10" s="251">
        <v>1.6278305063486854E-6</v>
      </c>
      <c r="P10" s="251">
        <v>3.6358772212199051E-6</v>
      </c>
      <c r="Q10" s="251">
        <v>2.3257538389438525E-6</v>
      </c>
      <c r="R10" s="251">
        <v>1.9933480138153726E-6</v>
      </c>
      <c r="S10" s="251">
        <v>1.6816076328198439E-6</v>
      </c>
      <c r="T10" s="251">
        <v>1.6652487076098888E-6</v>
      </c>
      <c r="U10" s="251">
        <v>4.1344933116635003E-6</v>
      </c>
      <c r="V10" s="251">
        <v>2.7301241441356513E-6</v>
      </c>
      <c r="W10" s="251">
        <v>9.6899139177836395E-7</v>
      </c>
      <c r="X10" s="251">
        <v>2.0609589533612599E-6</v>
      </c>
      <c r="Y10" s="251">
        <v>4.5914950629807245E-6</v>
      </c>
      <c r="Z10" s="251">
        <v>1.9389300228413646E-6</v>
      </c>
      <c r="AA10" s="251">
        <v>2.0395262414167194E-6</v>
      </c>
      <c r="AB10" s="251">
        <v>2.2088830955625823E-6</v>
      </c>
      <c r="AC10" s="251">
        <v>1.2960666013815757E-6</v>
      </c>
      <c r="AD10" s="251">
        <f>'User Add-in Location'!E17</f>
        <v>0</v>
      </c>
      <c r="AE10" s="251">
        <f>'User Add-in Location'!F17</f>
        <v>0</v>
      </c>
      <c r="AF10" s="251">
        <v>2.8819706899720092E-6</v>
      </c>
      <c r="AG10" s="251">
        <v>1.3692505497912178E-6</v>
      </c>
      <c r="AH10" s="415">
        <v>1.3083072199810211E-6</v>
      </c>
      <c r="AI10" s="414">
        <v>1.3187677539104922E-6</v>
      </c>
      <c r="AJ10" s="251">
        <v>1.0082638253813441E-6</v>
      </c>
      <c r="AK10" s="251">
        <v>2.0010805187900611E-6</v>
      </c>
      <c r="AL10" s="251">
        <v>2.8556164571339406E-6</v>
      </c>
      <c r="AM10" s="251">
        <v>1.2298446663305767E-6</v>
      </c>
      <c r="AN10" s="251">
        <v>2.9806234964604357E-6</v>
      </c>
      <c r="AO10" s="251">
        <v>4.4534166813778303E-6</v>
      </c>
      <c r="AP10" s="251">
        <v>4.8014200204234738E-6</v>
      </c>
      <c r="AQ10" s="251">
        <v>3.8463067766826763E-6</v>
      </c>
      <c r="AR10" s="63">
        <v>3.1308166501517669E-6</v>
      </c>
      <c r="AS10" s="63">
        <v>3.5390684945318761E-6</v>
      </c>
      <c r="AT10" s="63">
        <v>3.858109524633655E-6</v>
      </c>
      <c r="AU10" s="63">
        <v>4.4928088950590028E-6</v>
      </c>
      <c r="AV10" s="63">
        <v>5.5665818857766196E-6</v>
      </c>
      <c r="AW10" s="63">
        <v>6.2116433041667913E-6</v>
      </c>
      <c r="AX10" s="63">
        <v>4.6005148397095658E-6</v>
      </c>
      <c r="AY10" s="63">
        <v>4.1704437042737018E-6</v>
      </c>
      <c r="AZ10" s="251">
        <v>4.1775025405008422E-7</v>
      </c>
      <c r="BA10" s="251">
        <v>2.0853725404787738E-6</v>
      </c>
      <c r="BB10" s="251">
        <v>9.5798751860098683E-7</v>
      </c>
      <c r="BC10" s="251">
        <v>3.2138449297191164E-6</v>
      </c>
      <c r="BD10" s="251">
        <v>6.1035302189351619E-6</v>
      </c>
      <c r="BE10" s="251">
        <v>5.9483538414180635E-6</v>
      </c>
      <c r="BF10" s="251">
        <v>6.4397198230137634E-7</v>
      </c>
      <c r="BG10" s="251">
        <v>3.1145426089143271E-6</v>
      </c>
      <c r="BH10" s="251">
        <v>4.7300983296760416E-6</v>
      </c>
      <c r="BI10" s="251">
        <v>1.2912414195330423E-6</v>
      </c>
      <c r="BJ10" s="251">
        <v>4.5503360818303686E-6</v>
      </c>
      <c r="BK10" s="398">
        <v>4.7893132702769365E-7</v>
      </c>
    </row>
    <row r="11" spans="1:63" ht="15.75" x14ac:dyDescent="0.25">
      <c r="A11" s="240" t="s">
        <v>272</v>
      </c>
      <c r="B11" s="405" t="s">
        <v>127</v>
      </c>
      <c r="C11" s="414">
        <v>2.7780829482348879E-6</v>
      </c>
      <c r="D11" s="251">
        <v>5.5504449457968682E-7</v>
      </c>
      <c r="E11" s="251">
        <v>1.8496784512683512E-6</v>
      </c>
      <c r="F11" s="251">
        <v>1.7782278298085872E-6</v>
      </c>
      <c r="G11" s="415">
        <v>1.7780267837500628E-5</v>
      </c>
      <c r="H11" s="251">
        <v>4.0931507530068123E-6</v>
      </c>
      <c r="I11" s="251">
        <v>1.3061710720904574E-5</v>
      </c>
      <c r="J11" s="251">
        <v>1.5612237972114559E-7</v>
      </c>
      <c r="K11" s="251">
        <v>1.0344624781933716E-7</v>
      </c>
      <c r="L11" s="251">
        <v>5.4337862535978185E-6</v>
      </c>
      <c r="M11" s="251">
        <v>4.4809739978487443E-6</v>
      </c>
      <c r="N11" s="251">
        <v>1.2232676989088516E-7</v>
      </c>
      <c r="O11" s="251">
        <v>1.341599133807886E-6</v>
      </c>
      <c r="P11" s="251">
        <v>1.4698208653380114E-5</v>
      </c>
      <c r="Q11" s="251">
        <v>5.5168629273140412E-6</v>
      </c>
      <c r="R11" s="251">
        <v>6.9656864965044346E-6</v>
      </c>
      <c r="S11" s="251">
        <v>5.3223086145695669E-6</v>
      </c>
      <c r="T11" s="251">
        <v>4.1366269207376926E-6</v>
      </c>
      <c r="U11" s="251">
        <v>1.4118522267089934E-6</v>
      </c>
      <c r="V11" s="251">
        <v>1.9832297788475316E-6</v>
      </c>
      <c r="W11" s="251">
        <v>2.7108949089888651E-6</v>
      </c>
      <c r="X11" s="251">
        <v>7.1501684113607018E-6</v>
      </c>
      <c r="Y11" s="251">
        <v>1.0843795694182746E-5</v>
      </c>
      <c r="Z11" s="251">
        <v>8.9154482816713646E-6</v>
      </c>
      <c r="AA11" s="251">
        <v>3.8654694820573938E-6</v>
      </c>
      <c r="AB11" s="251">
        <v>6.4219514311895026E-6</v>
      </c>
      <c r="AC11" s="251">
        <v>1.4768827532482865E-6</v>
      </c>
      <c r="AD11" s="251">
        <f>'User Add-in Location'!E18</f>
        <v>0</v>
      </c>
      <c r="AE11" s="251">
        <f>'User Add-in Location'!F18</f>
        <v>0</v>
      </c>
      <c r="AF11" s="251">
        <v>1.8519884637777403E-6</v>
      </c>
      <c r="AG11" s="251">
        <v>3.6668619231397104E-7</v>
      </c>
      <c r="AH11" s="415">
        <v>9.1135803276627073E-6</v>
      </c>
      <c r="AI11" s="414">
        <v>6.2925845750860121E-6</v>
      </c>
      <c r="AJ11" s="251">
        <v>4.6432393378457887E-7</v>
      </c>
      <c r="AK11" s="251">
        <v>1.0586055149391405E-5</v>
      </c>
      <c r="AL11" s="251">
        <v>8.3063529416653055E-6</v>
      </c>
      <c r="AM11" s="251">
        <v>7.3010197799476892E-6</v>
      </c>
      <c r="AN11" s="251">
        <v>1.1692872829109013E-5</v>
      </c>
      <c r="AO11" s="251">
        <v>7.3885361188936625E-6</v>
      </c>
      <c r="AP11" s="251">
        <v>1.1531294601547208E-5</v>
      </c>
      <c r="AQ11" s="251">
        <v>6.4728734295185557E-6</v>
      </c>
      <c r="AR11" s="63">
        <v>1.8028225460424809E-5</v>
      </c>
      <c r="AS11" s="63">
        <v>8.6673666596298229E-6</v>
      </c>
      <c r="AT11" s="63">
        <v>1.3601661094145397E-5</v>
      </c>
      <c r="AU11" s="63">
        <v>9.3174599372561351E-6</v>
      </c>
      <c r="AV11" s="63">
        <v>2.8288508586297782E-5</v>
      </c>
      <c r="AW11" s="63">
        <v>1.0356864810127016E-5</v>
      </c>
      <c r="AX11" s="63">
        <v>1.1736211549029712E-5</v>
      </c>
      <c r="AY11" s="63">
        <v>1.7662852393718056E-5</v>
      </c>
      <c r="AZ11" s="251">
        <v>1.5343578268517299E-6</v>
      </c>
      <c r="BA11" s="251">
        <v>1.1949188813357907E-5</v>
      </c>
      <c r="BB11" s="251">
        <v>1.740175205665568E-6</v>
      </c>
      <c r="BC11" s="251">
        <v>3.5213723370472405E-6</v>
      </c>
      <c r="BD11" s="251">
        <v>8.6889518750459907E-6</v>
      </c>
      <c r="BE11" s="251">
        <v>3.7768127835977921E-6</v>
      </c>
      <c r="BF11" s="251">
        <v>1.9546209107029113E-6</v>
      </c>
      <c r="BG11" s="251">
        <v>4.9441738108785499E-6</v>
      </c>
      <c r="BH11" s="251">
        <v>1.0546943735086183E-5</v>
      </c>
      <c r="BI11" s="251">
        <v>1.0424250465991273E-6</v>
      </c>
      <c r="BJ11" s="251">
        <v>1.8756683047508187E-5</v>
      </c>
      <c r="BK11" s="398">
        <v>5.7492773672904494E-8</v>
      </c>
    </row>
    <row r="12" spans="1:63" x14ac:dyDescent="0.2">
      <c r="A12" s="238"/>
      <c r="B12" s="405" t="s">
        <v>391</v>
      </c>
      <c r="C12" s="414">
        <v>7.2341660955292673E-6</v>
      </c>
      <c r="D12" s="251">
        <v>4.3226780554418885E-6</v>
      </c>
      <c r="E12" s="251">
        <v>1.017155603126265E-5</v>
      </c>
      <c r="F12" s="251">
        <v>9.8033883837224191E-6</v>
      </c>
      <c r="G12" s="415">
        <v>4.6888739468354465E-5</v>
      </c>
      <c r="H12" s="251">
        <v>6.8025409051298367E-6</v>
      </c>
      <c r="I12" s="251">
        <v>4.1786326687499937E-5</v>
      </c>
      <c r="J12" s="251">
        <v>2.3564011502409111E-6</v>
      </c>
      <c r="K12" s="251">
        <v>2.4539225755509983E-8</v>
      </c>
      <c r="L12" s="251">
        <v>2.7116977170809129E-5</v>
      </c>
      <c r="M12" s="251">
        <v>1.9785690236570134E-5</v>
      </c>
      <c r="N12" s="251">
        <v>2.300660684932496E-6</v>
      </c>
      <c r="O12" s="251">
        <v>3.76491820443282E-6</v>
      </c>
      <c r="P12" s="251">
        <v>4.2197477548645345E-5</v>
      </c>
      <c r="Q12" s="251">
        <v>8.4581522806581093E-6</v>
      </c>
      <c r="R12" s="251">
        <v>7.9687882968391129E-6</v>
      </c>
      <c r="S12" s="251">
        <v>9.2003784545248835E-6</v>
      </c>
      <c r="T12" s="251">
        <v>1.1551264932119801E-5</v>
      </c>
      <c r="U12" s="251">
        <v>3.2421517361479283E-6</v>
      </c>
      <c r="V12" s="251">
        <v>7.4979673879824375E-6</v>
      </c>
      <c r="W12" s="251">
        <v>1.0132486136699708E-5</v>
      </c>
      <c r="X12" s="251">
        <v>3.7446325146233973E-5</v>
      </c>
      <c r="Y12" s="251">
        <v>1.2028991139025999E-5</v>
      </c>
      <c r="Z12" s="251">
        <v>2.9011968679779399E-5</v>
      </c>
      <c r="AA12" s="251">
        <v>2.4064288175134707E-5</v>
      </c>
      <c r="AB12" s="251">
        <v>1.8183359516190474E-5</v>
      </c>
      <c r="AC12" s="251">
        <v>2.3559364221526916E-6</v>
      </c>
      <c r="AD12" s="251">
        <f>'User Add-in Location'!E19</f>
        <v>0</v>
      </c>
      <c r="AE12" s="251">
        <f>'User Add-in Location'!F19</f>
        <v>0</v>
      </c>
      <c r="AF12" s="251">
        <v>1.2669798758788341E-5</v>
      </c>
      <c r="AG12" s="251">
        <v>4.3874474203314399E-6</v>
      </c>
      <c r="AH12" s="415">
        <v>1.2032717348589417E-5</v>
      </c>
      <c r="AI12" s="414">
        <v>1.5870548760811649E-5</v>
      </c>
      <c r="AJ12" s="251">
        <v>1.8750578717326842E-6</v>
      </c>
      <c r="AK12" s="251">
        <v>2.1667000249837265E-5</v>
      </c>
      <c r="AL12" s="251">
        <v>3.3986960937438443E-5</v>
      </c>
      <c r="AM12" s="251">
        <v>1.0588669953132183E-6</v>
      </c>
      <c r="AN12" s="251">
        <v>2.691764981244567E-5</v>
      </c>
      <c r="AO12" s="251">
        <v>8.2604904887731769E-6</v>
      </c>
      <c r="AP12" s="251">
        <v>2.6630552895425367E-5</v>
      </c>
      <c r="AQ12" s="251">
        <v>3.2214622622442441E-5</v>
      </c>
      <c r="AR12" s="63">
        <v>5.062535678854967E-5</v>
      </c>
      <c r="AS12" s="63">
        <v>3.2082746888726961E-5</v>
      </c>
      <c r="AT12" s="63">
        <v>3.8748329411297077E-5</v>
      </c>
      <c r="AU12" s="63">
        <v>3.4520581969541807E-5</v>
      </c>
      <c r="AV12" s="63">
        <v>5.8023336809001279E-5</v>
      </c>
      <c r="AW12" s="63">
        <v>3.044685528759466E-5</v>
      </c>
      <c r="AX12" s="63">
        <v>2.1895625630112413E-5</v>
      </c>
      <c r="AY12" s="63">
        <v>4.6226528692249797E-5</v>
      </c>
      <c r="AZ12" s="251">
        <v>1.000572460081287E-5</v>
      </c>
      <c r="BA12" s="251">
        <v>2.8274053145410006E-5</v>
      </c>
      <c r="BB12" s="251">
        <v>2.6997610050187638E-6</v>
      </c>
      <c r="BC12" s="251">
        <v>1.4949833144720238E-5</v>
      </c>
      <c r="BD12" s="251">
        <v>3.1283072493456088E-5</v>
      </c>
      <c r="BE12" s="251">
        <v>7.7842834650050566E-6</v>
      </c>
      <c r="BF12" s="251">
        <v>2.3921661544144765E-6</v>
      </c>
      <c r="BG12" s="251">
        <v>1.4822080419022971E-5</v>
      </c>
      <c r="BH12" s="251">
        <v>2.3722235149822534E-5</v>
      </c>
      <c r="BI12" s="251">
        <v>2.8027427589870468E-6</v>
      </c>
      <c r="BJ12" s="251">
        <v>5.1991092082889549E-5</v>
      </c>
      <c r="BK12" s="398">
        <v>6.2087256427327057E-7</v>
      </c>
    </row>
    <row r="13" spans="1:63" x14ac:dyDescent="0.2">
      <c r="A13" s="238"/>
      <c r="B13" s="405" t="s">
        <v>392</v>
      </c>
      <c r="C13" s="414">
        <v>2.331501257684339E-7</v>
      </c>
      <c r="D13" s="251">
        <v>0</v>
      </c>
      <c r="E13" s="251">
        <v>3.777686222093818E-5</v>
      </c>
      <c r="F13" s="251">
        <v>3.5680311906698674E-5</v>
      </c>
      <c r="G13" s="415">
        <v>8.705084288222852E-5</v>
      </c>
      <c r="H13" s="251">
        <v>3.0148279219081514E-5</v>
      </c>
      <c r="I13" s="251">
        <v>1.956271921526493E-5</v>
      </c>
      <c r="J13" s="251">
        <v>1.073164478282736E-4</v>
      </c>
      <c r="K13" s="251">
        <v>7.7705091280527789E-8</v>
      </c>
      <c r="L13" s="251">
        <v>5.9153120158772195E-5</v>
      </c>
      <c r="M13" s="251">
        <v>1.1565294163293144E-4</v>
      </c>
      <c r="N13" s="251">
        <v>0</v>
      </c>
      <c r="O13" s="251">
        <v>1.0854186029507253E-7</v>
      </c>
      <c r="P13" s="251">
        <v>5.1208136706509897E-5</v>
      </c>
      <c r="Q13" s="251">
        <v>2.2915085241197947E-5</v>
      </c>
      <c r="R13" s="251">
        <v>6.5699961632646067E-5</v>
      </c>
      <c r="S13" s="251">
        <v>1.0773771307033799E-4</v>
      </c>
      <c r="T13" s="251">
        <v>3.4245516494058489E-5</v>
      </c>
      <c r="U13" s="251">
        <v>6.8714675678490612E-8</v>
      </c>
      <c r="V13" s="251">
        <v>3.5796334672869993E-7</v>
      </c>
      <c r="W13" s="251">
        <v>2.2611180944925556E-6</v>
      </c>
      <c r="X13" s="251">
        <v>9.0278094365856565E-6</v>
      </c>
      <c r="Y13" s="251">
        <v>4.2940616112256283E-6</v>
      </c>
      <c r="Z13" s="251">
        <v>5.6483542292343934E-6</v>
      </c>
      <c r="AA13" s="251">
        <v>1.7303049555126604E-5</v>
      </c>
      <c r="AB13" s="251">
        <v>1.0712285354795054E-4</v>
      </c>
      <c r="AC13" s="251">
        <v>2.8262817641583823E-8</v>
      </c>
      <c r="AD13" s="251">
        <f>'User Add-in Location'!E20</f>
        <v>0</v>
      </c>
      <c r="AE13" s="251">
        <f>'User Add-in Location'!F20</f>
        <v>0</v>
      </c>
      <c r="AF13" s="251">
        <v>1.0631934010925978E-6</v>
      </c>
      <c r="AG13" s="251">
        <v>1.0101723567287452E-6</v>
      </c>
      <c r="AH13" s="415">
        <v>2.2700831140046786E-6</v>
      </c>
      <c r="AI13" s="414">
        <v>7.1798151968595901E-6</v>
      </c>
      <c r="AJ13" s="251">
        <v>9.0747418937028192E-8</v>
      </c>
      <c r="AK13" s="251">
        <v>1.5700269507336365E-5</v>
      </c>
      <c r="AL13" s="251">
        <v>7.2535820830331029E-5</v>
      </c>
      <c r="AM13" s="251">
        <v>0</v>
      </c>
      <c r="AN13" s="251">
        <v>6.9388481482841763E-5</v>
      </c>
      <c r="AO13" s="251">
        <v>1.6470821462021507E-6</v>
      </c>
      <c r="AP13" s="251">
        <v>8.2172771698615923E-5</v>
      </c>
      <c r="AQ13" s="251">
        <v>4.367195823242419E-5</v>
      </c>
      <c r="AR13" s="63">
        <v>3.3240482854893595E-5</v>
      </c>
      <c r="AS13" s="63">
        <v>6.3979439323305889E-5</v>
      </c>
      <c r="AT13" s="63">
        <v>4.6193889363824505E-5</v>
      </c>
      <c r="AU13" s="63">
        <v>1.0581326412144452E-4</v>
      </c>
      <c r="AV13" s="63">
        <v>8.3340200960328536E-5</v>
      </c>
      <c r="AW13" s="63">
        <v>6.5729122192479707E-5</v>
      </c>
      <c r="AX13" s="63">
        <v>6.4003962447937215E-5</v>
      </c>
      <c r="AY13" s="63">
        <v>8.5448928831540841E-5</v>
      </c>
      <c r="AZ13" s="251">
        <v>7.2960925373433621E-5</v>
      </c>
      <c r="BA13" s="251">
        <v>2.9921588453571536E-5</v>
      </c>
      <c r="BB13" s="251">
        <v>0</v>
      </c>
      <c r="BC13" s="251">
        <v>3.8010024107545892E-5</v>
      </c>
      <c r="BD13" s="251">
        <v>2.3921544274493073E-5</v>
      </c>
      <c r="BE13" s="251">
        <v>2.7445307119101027E-5</v>
      </c>
      <c r="BF13" s="251">
        <v>2.9925511949678369E-6</v>
      </c>
      <c r="BG13" s="251">
        <v>3.3274284402099048E-7</v>
      </c>
      <c r="BH13" s="251">
        <v>3.0982585731872255E-5</v>
      </c>
      <c r="BI13" s="251">
        <v>1.2723924310261358E-5</v>
      </c>
      <c r="BJ13" s="251">
        <v>5.6503977716101329E-5</v>
      </c>
      <c r="BK13" s="398">
        <v>6.3977095189615993E-8</v>
      </c>
    </row>
    <row r="14" spans="1:63" x14ac:dyDescent="0.2">
      <c r="A14" s="238"/>
      <c r="B14" s="405" t="s">
        <v>393</v>
      </c>
      <c r="C14" s="414">
        <v>0</v>
      </c>
      <c r="D14" s="251">
        <v>0</v>
      </c>
      <c r="E14" s="251">
        <v>0</v>
      </c>
      <c r="F14" s="251">
        <v>0</v>
      </c>
      <c r="G14" s="415">
        <v>0</v>
      </c>
      <c r="H14" s="251">
        <v>0</v>
      </c>
      <c r="I14" s="251">
        <v>0</v>
      </c>
      <c r="J14" s="251">
        <v>0</v>
      </c>
      <c r="K14" s="251">
        <v>0</v>
      </c>
      <c r="L14" s="251">
        <v>0</v>
      </c>
      <c r="M14" s="251">
        <v>0</v>
      </c>
      <c r="N14" s="251">
        <v>0</v>
      </c>
      <c r="O14" s="251">
        <v>0</v>
      </c>
      <c r="P14" s="251">
        <v>0</v>
      </c>
      <c r="Q14" s="251">
        <v>0</v>
      </c>
      <c r="R14" s="251">
        <v>0</v>
      </c>
      <c r="S14" s="251">
        <v>0</v>
      </c>
      <c r="T14" s="251">
        <v>0</v>
      </c>
      <c r="U14" s="251">
        <v>0</v>
      </c>
      <c r="V14" s="251">
        <v>0</v>
      </c>
      <c r="W14" s="251">
        <v>0</v>
      </c>
      <c r="X14" s="251">
        <v>0</v>
      </c>
      <c r="Y14" s="251">
        <v>0</v>
      </c>
      <c r="Z14" s="251">
        <v>0</v>
      </c>
      <c r="AA14" s="251">
        <v>0</v>
      </c>
      <c r="AB14" s="251">
        <v>0</v>
      </c>
      <c r="AC14" s="251">
        <v>0</v>
      </c>
      <c r="AD14" s="251">
        <f>'User Add-in Location'!E21</f>
        <v>0</v>
      </c>
      <c r="AE14" s="251">
        <f>'User Add-in Location'!F21</f>
        <v>0</v>
      </c>
      <c r="AF14" s="251">
        <v>0</v>
      </c>
      <c r="AG14" s="251">
        <v>0</v>
      </c>
      <c r="AH14" s="415">
        <v>0</v>
      </c>
      <c r="AI14" s="414">
        <v>0</v>
      </c>
      <c r="AJ14" s="251">
        <v>0</v>
      </c>
      <c r="AK14" s="251">
        <v>0</v>
      </c>
      <c r="AL14" s="251">
        <v>0</v>
      </c>
      <c r="AM14" s="251">
        <v>0</v>
      </c>
      <c r="AN14" s="251">
        <v>0</v>
      </c>
      <c r="AO14" s="251">
        <v>0</v>
      </c>
      <c r="AP14" s="251">
        <v>0</v>
      </c>
      <c r="AQ14" s="251">
        <v>0</v>
      </c>
      <c r="AR14" s="63">
        <v>0</v>
      </c>
      <c r="AS14" s="63">
        <v>0</v>
      </c>
      <c r="AT14" s="63">
        <v>0</v>
      </c>
      <c r="AU14" s="63">
        <v>0</v>
      </c>
      <c r="AV14" s="63">
        <v>0</v>
      </c>
      <c r="AW14" s="63">
        <v>0</v>
      </c>
      <c r="AX14" s="63">
        <v>0</v>
      </c>
      <c r="AY14" s="63">
        <v>0</v>
      </c>
      <c r="AZ14" s="251">
        <v>0</v>
      </c>
      <c r="BA14" s="251">
        <v>0</v>
      </c>
      <c r="BB14" s="251">
        <v>0</v>
      </c>
      <c r="BC14" s="251">
        <v>0</v>
      </c>
      <c r="BD14" s="251">
        <v>0</v>
      </c>
      <c r="BE14" s="251">
        <v>0</v>
      </c>
      <c r="BF14" s="251">
        <v>0</v>
      </c>
      <c r="BG14" s="251">
        <v>0</v>
      </c>
      <c r="BH14" s="251">
        <v>0</v>
      </c>
      <c r="BI14" s="251">
        <v>0</v>
      </c>
      <c r="BJ14" s="251">
        <v>0</v>
      </c>
      <c r="BK14" s="398">
        <v>0</v>
      </c>
    </row>
    <row r="15" spans="1:63" x14ac:dyDescent="0.2">
      <c r="A15" s="238"/>
      <c r="B15" s="405" t="s">
        <v>57</v>
      </c>
      <c r="C15" s="414">
        <v>5.1517314870977243E-2</v>
      </c>
      <c r="D15" s="251">
        <v>3.388593286839775E-2</v>
      </c>
      <c r="E15" s="251">
        <v>6.0152475884850891E-2</v>
      </c>
      <c r="F15" s="251">
        <v>5.2782504169541063E-2</v>
      </c>
      <c r="G15" s="415">
        <v>5.4664994023726016E-2</v>
      </c>
      <c r="H15" s="251">
        <v>6.0187624312412931E-2</v>
      </c>
      <c r="I15" s="251">
        <v>6.3782118324936216E-2</v>
      </c>
      <c r="J15" s="251">
        <v>5.3631392701569476E-2</v>
      </c>
      <c r="K15" s="251">
        <v>3.6620652641390597E-2</v>
      </c>
      <c r="L15" s="251">
        <v>5.7249167414994494E-2</v>
      </c>
      <c r="M15" s="251">
        <v>5.6783139810532006E-2</v>
      </c>
      <c r="N15" s="251">
        <v>5.2539360928616913E-2</v>
      </c>
      <c r="O15" s="251">
        <v>5.0392534485901926E-2</v>
      </c>
      <c r="P15" s="251">
        <v>5.7170542545634064E-2</v>
      </c>
      <c r="Q15" s="251">
        <v>5.0766264580870898E-2</v>
      </c>
      <c r="R15" s="251">
        <v>5.4870442760017527E-2</v>
      </c>
      <c r="S15" s="251">
        <v>5.2046170631749815E-2</v>
      </c>
      <c r="T15" s="251">
        <v>5.2943060038488567E-2</v>
      </c>
      <c r="U15" s="251">
        <v>4.2265205651584759E-2</v>
      </c>
      <c r="V15" s="251">
        <v>4.7920720803871601E-2</v>
      </c>
      <c r="W15" s="251">
        <v>6.3486884048966671E-2</v>
      </c>
      <c r="X15" s="251">
        <v>6.1393594989202799E-2</v>
      </c>
      <c r="Y15" s="251">
        <v>5.3424680863370967E-2</v>
      </c>
      <c r="Z15" s="251">
        <v>6.0797694202014849E-2</v>
      </c>
      <c r="AA15" s="251">
        <v>4.2580435454532425E-2</v>
      </c>
      <c r="AB15" s="251">
        <v>5.7018038806482749E-2</v>
      </c>
      <c r="AC15" s="251">
        <v>4.8751360187561196E-2</v>
      </c>
      <c r="AD15" s="251">
        <f>'User Add-in Location'!E22</f>
        <v>0</v>
      </c>
      <c r="AE15" s="251">
        <f>'User Add-in Location'!F22</f>
        <v>0</v>
      </c>
      <c r="AF15" s="251">
        <v>5.7081970598769689E-2</v>
      </c>
      <c r="AG15" s="251">
        <v>6.5924996741678829E-2</v>
      </c>
      <c r="AH15" s="415">
        <v>6.7813294507360955E-2</v>
      </c>
      <c r="AI15" s="414">
        <v>6.1364830571379404E-2</v>
      </c>
      <c r="AJ15" s="251">
        <v>4.9395718589083142E-2</v>
      </c>
      <c r="AK15" s="251">
        <v>5.6978335369398767E-2</v>
      </c>
      <c r="AL15" s="251">
        <v>5.8318236546108987E-2</v>
      </c>
      <c r="AM15" s="251">
        <v>7.3692523564438062E-2</v>
      </c>
      <c r="AN15" s="251">
        <v>5.5523368168586239E-2</v>
      </c>
      <c r="AO15" s="251">
        <v>5.0376189061209636E-2</v>
      </c>
      <c r="AP15" s="251">
        <v>6.0655390297972178E-2</v>
      </c>
      <c r="AQ15" s="251">
        <v>5.5942850944967287E-2</v>
      </c>
      <c r="AR15" s="63">
        <v>5.6611626650121039E-2</v>
      </c>
      <c r="AS15" s="63">
        <v>5.6858255990427237E-2</v>
      </c>
      <c r="AT15" s="63">
        <v>5.3069085970248127E-2</v>
      </c>
      <c r="AU15" s="63">
        <v>5.5241184036554758E-2</v>
      </c>
      <c r="AV15" s="63">
        <v>5.4082856068770634E-2</v>
      </c>
      <c r="AW15" s="63">
        <v>5.0845976561434671E-2</v>
      </c>
      <c r="AX15" s="63">
        <v>5.4183658668227552E-2</v>
      </c>
      <c r="AY15" s="63">
        <v>5.4811177897901721E-2</v>
      </c>
      <c r="AZ15" s="251">
        <v>6.1195772124155869E-2</v>
      </c>
      <c r="BA15" s="251">
        <v>5.4355315834110608E-2</v>
      </c>
      <c r="BB15" s="251">
        <v>5.867416831082467E-2</v>
      </c>
      <c r="BC15" s="251">
        <v>5.6024578439501489E-2</v>
      </c>
      <c r="BD15" s="251">
        <v>5.1987111926268065E-2</v>
      </c>
      <c r="BE15" s="251">
        <v>5.4170049877078866E-2</v>
      </c>
      <c r="BF15" s="251">
        <v>4.7722950963471476E-2</v>
      </c>
      <c r="BG15" s="251">
        <v>5.3216695346586136E-2</v>
      </c>
      <c r="BH15" s="251">
        <v>5.5436207344943048E-2</v>
      </c>
      <c r="BI15" s="251">
        <v>4.9936402176162555E-2</v>
      </c>
      <c r="BJ15" s="251">
        <v>5.5792454312052757E-2</v>
      </c>
      <c r="BK15" s="398">
        <v>5.3894521333387499E-2</v>
      </c>
    </row>
    <row r="16" spans="1:63" x14ac:dyDescent="0.2">
      <c r="A16" s="238"/>
      <c r="B16" s="405" t="s">
        <v>394</v>
      </c>
      <c r="C16" s="414">
        <v>0.14455980955014475</v>
      </c>
      <c r="D16" s="251">
        <v>0.15720647676773289</v>
      </c>
      <c r="E16" s="251">
        <v>0.1429309740192358</v>
      </c>
      <c r="F16" s="251">
        <v>0.14056884541213366</v>
      </c>
      <c r="G16" s="415">
        <v>0.12152409406741757</v>
      </c>
      <c r="H16" s="251">
        <v>0.13006843063159609</v>
      </c>
      <c r="I16" s="251">
        <v>0.13295333477030294</v>
      </c>
      <c r="J16" s="251">
        <v>0.1465683898013504</v>
      </c>
      <c r="K16" s="251">
        <v>7.8435877280753394E-2</v>
      </c>
      <c r="L16" s="251">
        <v>0.13173153011942923</v>
      </c>
      <c r="M16" s="251">
        <v>0.13449948255807148</v>
      </c>
      <c r="N16" s="251">
        <v>0.14117137416376177</v>
      </c>
      <c r="O16" s="251">
        <v>0.15434594433223031</v>
      </c>
      <c r="P16" s="251">
        <v>0.11892557921875564</v>
      </c>
      <c r="Q16" s="251">
        <v>0.14733748433797611</v>
      </c>
      <c r="R16" s="251">
        <v>0.15358163748512957</v>
      </c>
      <c r="S16" s="251">
        <v>0.14585784867142138</v>
      </c>
      <c r="T16" s="251">
        <v>0.14461201831536047</v>
      </c>
      <c r="U16" s="251">
        <v>0.14430087817171586</v>
      </c>
      <c r="V16" s="251">
        <v>0.14813392197792941</v>
      </c>
      <c r="W16" s="251">
        <v>0.12542879336818208</v>
      </c>
      <c r="X16" s="251">
        <v>0.12127029487293506</v>
      </c>
      <c r="Y16" s="251">
        <v>0.13153657458221751</v>
      </c>
      <c r="Z16" s="251">
        <v>0.13205129199884252</v>
      </c>
      <c r="AA16" s="251">
        <v>0.15764594540637136</v>
      </c>
      <c r="AB16" s="251">
        <v>0.13875843596159768</v>
      </c>
      <c r="AC16" s="251">
        <v>0.14822980996845364</v>
      </c>
      <c r="AD16" s="251">
        <f>'User Add-in Location'!E23</f>
        <v>0</v>
      </c>
      <c r="AE16" s="251">
        <f>'User Add-in Location'!F23</f>
        <v>0</v>
      </c>
      <c r="AF16" s="251">
        <v>0.14938480255776712</v>
      </c>
      <c r="AG16" s="251">
        <v>0.15353683490397568</v>
      </c>
      <c r="AH16" s="415">
        <v>0.15504929940014386</v>
      </c>
      <c r="AI16" s="414">
        <v>0.12758497418275377</v>
      </c>
      <c r="AJ16" s="251">
        <v>0.15925288664445048</v>
      </c>
      <c r="AK16" s="251">
        <v>0.11274356487052085</v>
      </c>
      <c r="AL16" s="251">
        <v>0.13958153850720773</v>
      </c>
      <c r="AM16" s="251">
        <v>0.16034882599129938</v>
      </c>
      <c r="AN16" s="251">
        <v>0.14156306107556882</v>
      </c>
      <c r="AO16" s="251">
        <v>0.13966956198971819</v>
      </c>
      <c r="AP16" s="251">
        <v>0.13637556085762356</v>
      </c>
      <c r="AQ16" s="251">
        <v>0.13135531786142243</v>
      </c>
      <c r="AR16" s="63">
        <v>0.11589734154474352</v>
      </c>
      <c r="AS16" s="63">
        <v>0.12576914845278794</v>
      </c>
      <c r="AT16" s="63">
        <v>0.12730817913531273</v>
      </c>
      <c r="AU16" s="63">
        <v>0.12846331526849544</v>
      </c>
      <c r="AV16" s="63">
        <v>0.12514663113904448</v>
      </c>
      <c r="AW16" s="63">
        <v>0.12599986113882305</v>
      </c>
      <c r="AX16" s="63">
        <v>0.13321497570961774</v>
      </c>
      <c r="AY16" s="63">
        <v>0.12182596077986531</v>
      </c>
      <c r="AZ16" s="251">
        <v>0.13057935660384629</v>
      </c>
      <c r="BA16" s="251">
        <v>0.15180625017442093</v>
      </c>
      <c r="BB16" s="251">
        <v>0.15465633792922079</v>
      </c>
      <c r="BC16" s="251">
        <v>0.14279459134331618</v>
      </c>
      <c r="BD16" s="251">
        <v>0.12575962830603604</v>
      </c>
      <c r="BE16" s="251">
        <v>0.14540551614530148</v>
      </c>
      <c r="BF16" s="251">
        <v>0.14683259571744953</v>
      </c>
      <c r="BG16" s="251">
        <v>0.13298307262261541</v>
      </c>
      <c r="BH16" s="251">
        <v>0.13632550210312955</v>
      </c>
      <c r="BI16" s="251">
        <v>0.15343232353423492</v>
      </c>
      <c r="BJ16" s="251">
        <v>0.14272739074129762</v>
      </c>
      <c r="BK16" s="398">
        <v>0.16449207901688295</v>
      </c>
    </row>
    <row r="17" spans="1:63" x14ac:dyDescent="0.2">
      <c r="A17" s="238"/>
      <c r="B17" s="405" t="s">
        <v>128</v>
      </c>
      <c r="C17" s="414">
        <v>4.9892233419390933E-2</v>
      </c>
      <c r="D17" s="251">
        <v>5.4077835052452609E-2</v>
      </c>
      <c r="E17" s="251">
        <v>4.4924012214104303E-2</v>
      </c>
      <c r="F17" s="251">
        <v>5.1561845800130852E-2</v>
      </c>
      <c r="G17" s="415">
        <v>3.5521218881090562E-2</v>
      </c>
      <c r="H17" s="251">
        <v>4.2065774615973654E-2</v>
      </c>
      <c r="I17" s="251">
        <v>3.3750954001341905E-2</v>
      </c>
      <c r="J17" s="251">
        <v>3.6319924091568499E-2</v>
      </c>
      <c r="K17" s="251">
        <v>4.00862623375184E-2</v>
      </c>
      <c r="L17" s="251">
        <v>3.8460469753082815E-2</v>
      </c>
      <c r="M17" s="251">
        <v>4.5148168891234255E-2</v>
      </c>
      <c r="N17" s="251">
        <v>4.6395571986556895E-2</v>
      </c>
      <c r="O17" s="251">
        <v>4.3592470875773622E-2</v>
      </c>
      <c r="P17" s="251">
        <v>4.1505858685416515E-2</v>
      </c>
      <c r="Q17" s="251">
        <v>4.3781129975485354E-2</v>
      </c>
      <c r="R17" s="251">
        <v>4.4498849226495642E-2</v>
      </c>
      <c r="S17" s="251">
        <v>4.2822703358874323E-2</v>
      </c>
      <c r="T17" s="251">
        <v>4.1961935397275739E-2</v>
      </c>
      <c r="U17" s="251">
        <v>4.2004551339172788E-2</v>
      </c>
      <c r="V17" s="251">
        <v>3.8265640649805178E-2</v>
      </c>
      <c r="W17" s="251">
        <v>4.2394783253903334E-2</v>
      </c>
      <c r="X17" s="251">
        <v>3.4852929035940922E-2</v>
      </c>
      <c r="Y17" s="251">
        <v>4.2988986947236595E-2</v>
      </c>
      <c r="Z17" s="251">
        <v>4.3243358852092857E-2</v>
      </c>
      <c r="AA17" s="251">
        <v>4.8279777078213681E-2</v>
      </c>
      <c r="AB17" s="251">
        <v>4.4980859507569818E-2</v>
      </c>
      <c r="AC17" s="251">
        <v>5.6833074414941613E-2</v>
      </c>
      <c r="AD17" s="251">
        <f>'User Add-in Location'!E24</f>
        <v>0</v>
      </c>
      <c r="AE17" s="251">
        <f>'User Add-in Location'!F24</f>
        <v>0</v>
      </c>
      <c r="AF17" s="251">
        <v>4.8599821537639774E-2</v>
      </c>
      <c r="AG17" s="251">
        <v>4.086755760696778E-2</v>
      </c>
      <c r="AH17" s="415">
        <v>3.4033642588148817E-2</v>
      </c>
      <c r="AI17" s="414">
        <v>3.4668103380025003E-2</v>
      </c>
      <c r="AJ17" s="251">
        <v>4.4648295128421243E-2</v>
      </c>
      <c r="AK17" s="251">
        <v>4.1565103845487922E-2</v>
      </c>
      <c r="AL17" s="251">
        <v>3.6341843395293109E-2</v>
      </c>
      <c r="AM17" s="251">
        <v>5.7306452280065458E-2</v>
      </c>
      <c r="AN17" s="251">
        <v>4.0688780033493299E-2</v>
      </c>
      <c r="AO17" s="251">
        <v>5.3660468058389171E-2</v>
      </c>
      <c r="AP17" s="251">
        <v>4.8576270358522813E-2</v>
      </c>
      <c r="AQ17" s="251">
        <v>4.1739120865702743E-2</v>
      </c>
      <c r="AR17" s="63">
        <v>3.9203215824673607E-2</v>
      </c>
      <c r="AS17" s="63">
        <v>4.0812001872886146E-2</v>
      </c>
      <c r="AT17" s="63">
        <v>4.2768266510770529E-2</v>
      </c>
      <c r="AU17" s="63">
        <v>4.3892708820981008E-2</v>
      </c>
      <c r="AV17" s="63">
        <v>4.1652970743182478E-2</v>
      </c>
      <c r="AW17" s="63">
        <v>4.7509274797619155E-2</v>
      </c>
      <c r="AX17" s="63">
        <v>4.510009150477854E-2</v>
      </c>
      <c r="AY17" s="63">
        <v>3.5830045218002968E-2</v>
      </c>
      <c r="AZ17" s="251">
        <v>3.4482787060423931E-2</v>
      </c>
      <c r="BA17" s="251">
        <v>4.5423082551707933E-2</v>
      </c>
      <c r="BB17" s="251">
        <v>5.0135051987065339E-2</v>
      </c>
      <c r="BC17" s="251">
        <v>4.5347239921915715E-2</v>
      </c>
      <c r="BD17" s="251">
        <v>4.6179428734864671E-2</v>
      </c>
      <c r="BE17" s="251">
        <v>4.2290512982141169E-2</v>
      </c>
      <c r="BF17" s="251">
        <v>4.3087128544052694E-2</v>
      </c>
      <c r="BG17" s="251">
        <v>4.0945458174975816E-2</v>
      </c>
      <c r="BH17" s="251">
        <v>4.2624824920151197E-2</v>
      </c>
      <c r="BI17" s="251">
        <v>5.7172549440854641E-2</v>
      </c>
      <c r="BJ17" s="251">
        <v>4.2284871432644922E-2</v>
      </c>
      <c r="BK17" s="398">
        <v>6.0951322020066957E-2</v>
      </c>
    </row>
    <row r="18" spans="1:63" x14ac:dyDescent="0.2">
      <c r="A18" s="238"/>
      <c r="B18" s="405" t="s">
        <v>395</v>
      </c>
      <c r="C18" s="414">
        <v>8.8493752937156736E-2</v>
      </c>
      <c r="D18" s="251">
        <v>8.6871417685160338E-2</v>
      </c>
      <c r="E18" s="416">
        <v>0.10514834370659053</v>
      </c>
      <c r="F18" s="251">
        <v>7.4604257524265929E-2</v>
      </c>
      <c r="G18" s="415">
        <v>9.0216612820972611E-2</v>
      </c>
      <c r="H18" s="251">
        <v>0.10220577840299747</v>
      </c>
      <c r="I18" s="251">
        <v>9.9701542688621331E-2</v>
      </c>
      <c r="J18" s="251">
        <v>9.7293298480475021E-2</v>
      </c>
      <c r="K18" s="251">
        <v>0.12447620726845764</v>
      </c>
      <c r="L18" s="251">
        <v>0.10284439749275284</v>
      </c>
      <c r="M18" s="251">
        <v>9.6344133686661337E-2</v>
      </c>
      <c r="N18" s="251">
        <v>0.10783489083351751</v>
      </c>
      <c r="O18" s="251">
        <v>8.6178991915356759E-2</v>
      </c>
      <c r="P18" s="251">
        <v>0.10422177939223454</v>
      </c>
      <c r="Q18" s="251">
        <v>9.0253922862093605E-2</v>
      </c>
      <c r="R18" s="251">
        <v>7.5148206116143132E-2</v>
      </c>
      <c r="S18" s="251">
        <v>8.1102408876114127E-2</v>
      </c>
      <c r="T18" s="251">
        <v>7.8070166737653393E-2</v>
      </c>
      <c r="U18" s="251">
        <v>6.7075823842745477E-2</v>
      </c>
      <c r="V18" s="251">
        <v>8.6849015136553312E-2</v>
      </c>
      <c r="W18" s="251">
        <v>0.10295989247250983</v>
      </c>
      <c r="X18" s="251">
        <v>0.10839693598624885</v>
      </c>
      <c r="Y18" s="251">
        <v>0.1054800320640556</v>
      </c>
      <c r="Z18" s="251">
        <v>9.5302820815189912E-2</v>
      </c>
      <c r="AA18" s="251">
        <v>7.0669813899818704E-2</v>
      </c>
      <c r="AB18" s="251">
        <v>8.5343064329116466E-2</v>
      </c>
      <c r="AC18" s="251">
        <v>0.10481999696047056</v>
      </c>
      <c r="AD18" s="251">
        <f>'User Add-in Location'!E25</f>
        <v>0</v>
      </c>
      <c r="AE18" s="251">
        <f>'User Add-in Location'!F25</f>
        <v>0</v>
      </c>
      <c r="AF18" s="251">
        <v>7.8495689864422638E-2</v>
      </c>
      <c r="AG18" s="251">
        <v>9.1413096681192255E-2</v>
      </c>
      <c r="AH18" s="415">
        <v>0.11180604051283986</v>
      </c>
      <c r="AI18" s="414">
        <v>0.10289291889623164</v>
      </c>
      <c r="AJ18" s="251">
        <v>8.7040308692021146E-2</v>
      </c>
      <c r="AK18" s="251">
        <v>0.10789943113377169</v>
      </c>
      <c r="AL18" s="251">
        <v>9.326444489750485E-2</v>
      </c>
      <c r="AM18" s="251">
        <v>7.5223339362273378E-2</v>
      </c>
      <c r="AN18" s="251">
        <v>8.9638698065852729E-2</v>
      </c>
      <c r="AO18" s="251">
        <v>7.3665833264516339E-2</v>
      </c>
      <c r="AP18" s="251">
        <v>9.4877968494108039E-2</v>
      </c>
      <c r="AQ18" s="251">
        <v>9.1952735184967035E-2</v>
      </c>
      <c r="AR18" s="63">
        <v>0.10326831864874399</v>
      </c>
      <c r="AS18" s="63">
        <v>9.3942773669492718E-2</v>
      </c>
      <c r="AT18" s="63">
        <v>9.6469508746126767E-2</v>
      </c>
      <c r="AU18" s="63">
        <v>9.5621891964577252E-2</v>
      </c>
      <c r="AV18" s="63">
        <v>9.2019133367630485E-2</v>
      </c>
      <c r="AW18" s="63">
        <v>8.9422625445109385E-2</v>
      </c>
      <c r="AX18" s="63">
        <v>9.4826292521915351E-2</v>
      </c>
      <c r="AY18" s="63">
        <v>9.041258087224098E-2</v>
      </c>
      <c r="AZ18" s="251">
        <v>0.10004372040310071</v>
      </c>
      <c r="BA18" s="251">
        <v>0.10337401441021063</v>
      </c>
      <c r="BB18" s="251">
        <v>8.7631935920268356E-2</v>
      </c>
      <c r="BC18" s="251">
        <v>9.3292873910798421E-2</v>
      </c>
      <c r="BD18" s="251">
        <v>9.7113830633277665E-2</v>
      </c>
      <c r="BE18" s="251">
        <v>9.268767860596154E-2</v>
      </c>
      <c r="BF18" s="251">
        <v>8.4932687790283401E-2</v>
      </c>
      <c r="BG18" s="251">
        <v>0.10098631030792314</v>
      </c>
      <c r="BH18" s="251">
        <v>9.7960942555169225E-2</v>
      </c>
      <c r="BI18" s="251">
        <v>6.7329437747364343E-2</v>
      </c>
      <c r="BJ18" s="251">
        <v>8.3710224328135949E-2</v>
      </c>
      <c r="BK18" s="251">
        <v>9.9243866288189875E-2</v>
      </c>
    </row>
    <row r="19" spans="1:63" x14ac:dyDescent="0.2">
      <c r="A19" s="238"/>
      <c r="B19" s="405" t="s">
        <v>396</v>
      </c>
      <c r="C19" s="414">
        <v>4.0429124733503477E-2</v>
      </c>
      <c r="D19" s="251">
        <v>3.1047292480135887E-2</v>
      </c>
      <c r="E19" s="416">
        <v>3.9112048485629915E-2</v>
      </c>
      <c r="F19" s="251">
        <v>3.6229765994552195E-2</v>
      </c>
      <c r="G19" s="415">
        <v>3.9959127385769483E-2</v>
      </c>
      <c r="H19" s="251">
        <v>4.2919538117590257E-2</v>
      </c>
      <c r="I19" s="251">
        <v>4.5212492370641365E-2</v>
      </c>
      <c r="J19" s="251">
        <v>5.0651238189564685E-2</v>
      </c>
      <c r="K19" s="251">
        <v>4.5698493276333449E-2</v>
      </c>
      <c r="L19" s="251">
        <v>4.0809406801293538E-2</v>
      </c>
      <c r="M19" s="251">
        <v>3.9382397861287881E-2</v>
      </c>
      <c r="N19" s="251">
        <v>3.1259924986225283E-2</v>
      </c>
      <c r="O19" s="251">
        <v>3.9074467744667579E-2</v>
      </c>
      <c r="P19" s="251">
        <v>4.7177765273924102E-2</v>
      </c>
      <c r="Q19" s="251">
        <v>3.3101938577265094E-2</v>
      </c>
      <c r="R19" s="251">
        <v>4.3318284244647516E-2</v>
      </c>
      <c r="S19" s="251">
        <v>4.0986040324556543E-2</v>
      </c>
      <c r="T19" s="251">
        <v>3.735820316585637E-2</v>
      </c>
      <c r="U19" s="251">
        <v>3.1570729465260419E-2</v>
      </c>
      <c r="V19" s="251">
        <v>3.5050275743007314E-2</v>
      </c>
      <c r="W19" s="251">
        <v>3.9897906565862729E-2</v>
      </c>
      <c r="X19" s="251">
        <v>4.4116602628192197E-2</v>
      </c>
      <c r="Y19" s="251">
        <v>3.7903737054866292E-2</v>
      </c>
      <c r="Z19" s="251">
        <v>4.3781152630198265E-2</v>
      </c>
      <c r="AA19" s="251">
        <v>3.8108490888685218E-2</v>
      </c>
      <c r="AB19" s="251">
        <v>4.0470677221506553E-2</v>
      </c>
      <c r="AC19" s="251">
        <v>3.7873081791888225E-2</v>
      </c>
      <c r="AD19" s="251">
        <f>'User Add-in Location'!E26</f>
        <v>0</v>
      </c>
      <c r="AE19" s="251">
        <f>'User Add-in Location'!F26</f>
        <v>0</v>
      </c>
      <c r="AF19" s="251">
        <v>4.1457351832615709E-2</v>
      </c>
      <c r="AG19" s="251">
        <v>4.7551037265629155E-2</v>
      </c>
      <c r="AH19" s="415">
        <v>3.5657364126858854E-2</v>
      </c>
      <c r="AI19" s="414">
        <v>4.2829898545809771E-2</v>
      </c>
      <c r="AJ19" s="251">
        <v>3.5106805408552835E-2</v>
      </c>
      <c r="AK19" s="251">
        <v>4.783486666260417E-2</v>
      </c>
      <c r="AL19" s="251">
        <v>4.2776501724313083E-2</v>
      </c>
      <c r="AM19" s="251">
        <v>4.1464541950774592E-2</v>
      </c>
      <c r="AN19" s="251">
        <v>3.6911318212337736E-2</v>
      </c>
      <c r="AO19" s="251">
        <v>3.651188229680067E-2</v>
      </c>
      <c r="AP19" s="251">
        <v>3.3302946213655052E-2</v>
      </c>
      <c r="AQ19" s="251">
        <v>3.6987407365307749E-2</v>
      </c>
      <c r="AR19" s="63">
        <v>4.5737269717990227E-2</v>
      </c>
      <c r="AS19" s="63">
        <v>3.9691220976035592E-2</v>
      </c>
      <c r="AT19" s="63">
        <v>3.8549733205430467E-2</v>
      </c>
      <c r="AU19" s="63">
        <v>3.766657762999865E-2</v>
      </c>
      <c r="AV19" s="63">
        <v>3.9208358401658906E-2</v>
      </c>
      <c r="AW19" s="63">
        <v>3.7385932060044202E-2</v>
      </c>
      <c r="AX19" s="63">
        <v>3.816009106203902E-2</v>
      </c>
      <c r="AY19" s="63">
        <v>3.9654786302128764E-2</v>
      </c>
      <c r="AZ19" s="251">
        <v>4.7447940979991346E-2</v>
      </c>
      <c r="BA19" s="251">
        <v>3.7484736514023696E-2</v>
      </c>
      <c r="BB19" s="251">
        <v>4.6686255091284865E-2</v>
      </c>
      <c r="BC19" s="251">
        <v>3.8926538633082201E-2</v>
      </c>
      <c r="BD19" s="251">
        <v>3.9779209491089741E-2</v>
      </c>
      <c r="BE19" s="251">
        <v>4.2981606358706244E-2</v>
      </c>
      <c r="BF19" s="251">
        <v>3.7161623829910756E-2</v>
      </c>
      <c r="BG19" s="251">
        <v>3.6382365480308751E-2</v>
      </c>
      <c r="BH19" s="251">
        <v>3.9319588035487574E-2</v>
      </c>
      <c r="BI19" s="251">
        <v>2.8787512491671805E-2</v>
      </c>
      <c r="BJ19" s="251">
        <v>3.8877345427600594E-2</v>
      </c>
      <c r="BK19" s="251">
        <v>4.1801593602487329E-2</v>
      </c>
    </row>
    <row r="20" spans="1:63" x14ac:dyDescent="0.2">
      <c r="A20" s="238"/>
      <c r="B20" s="405" t="s">
        <v>397</v>
      </c>
      <c r="C20" s="414">
        <v>7.9424091945324311E-3</v>
      </c>
      <c r="D20" s="251">
        <v>5.3908208554732757E-3</v>
      </c>
      <c r="E20" s="416">
        <v>1.0955734870280023E-2</v>
      </c>
      <c r="F20" s="251">
        <v>8.84337102957794E-3</v>
      </c>
      <c r="G20" s="415">
        <v>1.1542902445382443E-2</v>
      </c>
      <c r="H20" s="251">
        <v>1.2164050035365338E-2</v>
      </c>
      <c r="I20" s="251">
        <v>1.3775210956660261E-2</v>
      </c>
      <c r="J20" s="251">
        <v>1.3175593947124734E-2</v>
      </c>
      <c r="K20" s="251">
        <v>1.4122097368282748E-2</v>
      </c>
      <c r="L20" s="251">
        <v>1.2719162155934055E-2</v>
      </c>
      <c r="M20" s="251">
        <v>9.8753944451454179E-3</v>
      </c>
      <c r="N20" s="251">
        <v>8.6048576716266853E-3</v>
      </c>
      <c r="O20" s="251">
        <v>1.0077425207945105E-2</v>
      </c>
      <c r="P20" s="251">
        <v>1.2297847879479984E-2</v>
      </c>
      <c r="Q20" s="251">
        <v>7.0523428671024017E-3</v>
      </c>
      <c r="R20" s="251">
        <v>6.6127816264576374E-3</v>
      </c>
      <c r="S20" s="251">
        <v>7.5788315756529561E-3</v>
      </c>
      <c r="T20" s="251">
        <v>7.409594823616754E-3</v>
      </c>
      <c r="U20" s="251">
        <v>7.7899031982586698E-3</v>
      </c>
      <c r="V20" s="251">
        <v>1.1056550722201568E-2</v>
      </c>
      <c r="W20" s="251">
        <v>1.1291471844157054E-2</v>
      </c>
      <c r="X20" s="251">
        <v>1.338584662937671E-2</v>
      </c>
      <c r="Y20" s="251">
        <v>1.0766519207853412E-2</v>
      </c>
      <c r="Z20" s="251">
        <v>1.1706891132214901E-2</v>
      </c>
      <c r="AA20" s="251">
        <v>7.4411846985326068E-3</v>
      </c>
      <c r="AB20" s="251">
        <v>1.1236043929302072E-2</v>
      </c>
      <c r="AC20" s="251">
        <v>6.8757207680782521E-3</v>
      </c>
      <c r="AD20" s="251">
        <f>'User Add-in Location'!E27</f>
        <v>0</v>
      </c>
      <c r="AE20" s="251">
        <f>'User Add-in Location'!F27</f>
        <v>0</v>
      </c>
      <c r="AF20" s="251">
        <v>1.0402347220513601E-2</v>
      </c>
      <c r="AG20" s="251">
        <v>1.4668579845841365E-2</v>
      </c>
      <c r="AH20" s="415">
        <v>1.17698115809625E-2</v>
      </c>
      <c r="AI20" s="414">
        <v>1.3356763002750306E-2</v>
      </c>
      <c r="AJ20" s="251">
        <v>1.0115983881484096E-2</v>
      </c>
      <c r="AK20" s="251">
        <v>1.3121645988055049E-2</v>
      </c>
      <c r="AL20" s="251">
        <v>1.1410185937411478E-2</v>
      </c>
      <c r="AM20" s="251">
        <v>7.5666839179505049E-3</v>
      </c>
      <c r="AN20" s="251">
        <v>1.0892909565272824E-2</v>
      </c>
      <c r="AO20" s="251">
        <v>8.1965531820529722E-3</v>
      </c>
      <c r="AP20" s="251">
        <v>1.0884366048641797E-2</v>
      </c>
      <c r="AQ20" s="251">
        <v>1.2648558446507394E-2</v>
      </c>
      <c r="AR20" s="63">
        <v>1.2676704291247613E-2</v>
      </c>
      <c r="AS20" s="63">
        <v>1.2910410195690367E-2</v>
      </c>
      <c r="AT20" s="63">
        <v>1.2603494947658849E-2</v>
      </c>
      <c r="AU20" s="63">
        <v>9.7823184107567428E-3</v>
      </c>
      <c r="AV20" s="63">
        <v>1.1002456776056326E-2</v>
      </c>
      <c r="AW20" s="63">
        <v>8.3542260811588515E-3</v>
      </c>
      <c r="AX20" s="63">
        <v>9.8364179018021296E-3</v>
      </c>
      <c r="AY20" s="63">
        <v>1.1512795704572726E-2</v>
      </c>
      <c r="AZ20" s="251">
        <v>1.1725852341156948E-2</v>
      </c>
      <c r="BA20" s="251">
        <v>8.5488665418992082E-3</v>
      </c>
      <c r="BB20" s="251">
        <v>6.3399605872190472E-3</v>
      </c>
      <c r="BC20" s="251">
        <v>8.6959151142193946E-3</v>
      </c>
      <c r="BD20" s="251">
        <v>7.650701244807768E-3</v>
      </c>
      <c r="BE20" s="251">
        <v>1.1386080565877262E-2</v>
      </c>
      <c r="BF20" s="251">
        <v>6.3715145262244191E-3</v>
      </c>
      <c r="BG20" s="251">
        <v>1.1392129983695952E-2</v>
      </c>
      <c r="BH20" s="251">
        <v>9.7439618369657682E-3</v>
      </c>
      <c r="BI20" s="251">
        <v>8.4906618347676509E-3</v>
      </c>
      <c r="BJ20" s="251">
        <v>1.0180385890130039E-2</v>
      </c>
      <c r="BK20" s="251">
        <v>4.8872204419087547E-3</v>
      </c>
    </row>
    <row r="21" spans="1:63" x14ac:dyDescent="0.2">
      <c r="A21" s="238"/>
      <c r="B21" s="405" t="s">
        <v>398</v>
      </c>
      <c r="C21" s="414">
        <v>1.3630947013843992E-3</v>
      </c>
      <c r="D21" s="251">
        <v>9.6805880874287155E-4</v>
      </c>
      <c r="E21" s="416">
        <v>1.6030980393924388E-3</v>
      </c>
      <c r="F21" s="251">
        <v>1.2206216182129566E-3</v>
      </c>
      <c r="G21" s="415">
        <v>1.4464881357903261E-3</v>
      </c>
      <c r="H21" s="251">
        <v>1.4141353527826169E-3</v>
      </c>
      <c r="I21" s="251">
        <v>1.6879739259011933E-3</v>
      </c>
      <c r="J21" s="251">
        <v>1.5548421678261766E-3</v>
      </c>
      <c r="K21" s="251">
        <v>1.9475890198023147E-3</v>
      </c>
      <c r="L21" s="251">
        <v>1.5428225881903156E-3</v>
      </c>
      <c r="M21" s="251">
        <v>1.5942102531650202E-3</v>
      </c>
      <c r="N21" s="251">
        <v>1.2220149896754998E-3</v>
      </c>
      <c r="O21" s="251">
        <v>1.4608701550426527E-3</v>
      </c>
      <c r="P21" s="251">
        <v>1.5339858856759023E-3</v>
      </c>
      <c r="Q21" s="251">
        <v>1.3390703180036698E-3</v>
      </c>
      <c r="R21" s="251">
        <v>1.1839741050730034E-3</v>
      </c>
      <c r="S21" s="251">
        <v>1.3403456600589558E-3</v>
      </c>
      <c r="T21" s="251">
        <v>1.5373566470278915E-3</v>
      </c>
      <c r="U21" s="251">
        <v>1.2142346700828863E-3</v>
      </c>
      <c r="V21" s="251">
        <v>1.4015819744077453E-3</v>
      </c>
      <c r="W21" s="251">
        <v>1.5712023791520796E-3</v>
      </c>
      <c r="X21" s="251">
        <v>1.5947000606999938E-3</v>
      </c>
      <c r="Y21" s="251">
        <v>1.5335291094999166E-3</v>
      </c>
      <c r="Z21" s="251">
        <v>1.3528981245268493E-3</v>
      </c>
      <c r="AA21" s="251">
        <v>1.3273377529785101E-3</v>
      </c>
      <c r="AB21" s="251">
        <v>1.4360413253043714E-3</v>
      </c>
      <c r="AC21" s="251">
        <v>1.3758239504467278E-3</v>
      </c>
      <c r="AD21" s="251">
        <f>'User Add-in Location'!E28</f>
        <v>0</v>
      </c>
      <c r="AE21" s="251">
        <f>'User Add-in Location'!F28</f>
        <v>0</v>
      </c>
      <c r="AF21" s="251">
        <v>1.2146849731809383E-3</v>
      </c>
      <c r="AG21" s="251">
        <v>1.4148360620330747E-3</v>
      </c>
      <c r="AH21" s="415">
        <v>1.8193322662335525E-3</v>
      </c>
      <c r="AI21" s="414">
        <v>1.6110345736045826E-3</v>
      </c>
      <c r="AJ21" s="251">
        <v>1.0667931071333967E-3</v>
      </c>
      <c r="AK21" s="251">
        <v>1.5338634657161493E-3</v>
      </c>
      <c r="AL21" s="251">
        <v>1.1824097448280778E-3</v>
      </c>
      <c r="AM21" s="251">
        <v>1.0793264740074757E-3</v>
      </c>
      <c r="AN21" s="251">
        <v>1.5067564967164674E-3</v>
      </c>
      <c r="AO21" s="251">
        <v>1.7891132090781965E-3</v>
      </c>
      <c r="AP21" s="251">
        <v>1.2261054608109717E-3</v>
      </c>
      <c r="AQ21" s="251">
        <v>1.3788373303534596E-3</v>
      </c>
      <c r="AR21" s="63">
        <v>1.488482059944316E-3</v>
      </c>
      <c r="AS21" s="63">
        <v>1.4657745907203164E-3</v>
      </c>
      <c r="AT21" s="63">
        <v>1.4600997174714881E-3</v>
      </c>
      <c r="AU21" s="63">
        <v>1.4910891533041755E-3</v>
      </c>
      <c r="AV21" s="63">
        <v>1.398437482722341E-3</v>
      </c>
      <c r="AW21" s="63">
        <v>1.2126073959333392E-3</v>
      </c>
      <c r="AX21" s="63">
        <v>1.2291439992252876E-3</v>
      </c>
      <c r="AY21" s="63">
        <v>1.4379740742720042E-3</v>
      </c>
      <c r="AZ21" s="251">
        <v>1.7206693125114512E-3</v>
      </c>
      <c r="BA21" s="251">
        <v>1.4133040317870075E-3</v>
      </c>
      <c r="BB21" s="251">
        <v>1.0451775346964922E-3</v>
      </c>
      <c r="BC21" s="251">
        <v>1.5622320680666092E-3</v>
      </c>
      <c r="BD21" s="251">
        <v>1.2060508980303731E-3</v>
      </c>
      <c r="BE21" s="251">
        <v>1.27055945076306E-3</v>
      </c>
      <c r="BF21" s="251">
        <v>1.3701965165121958E-3</v>
      </c>
      <c r="BG21" s="251">
        <v>1.5838976497936504E-3</v>
      </c>
      <c r="BH21" s="251">
        <v>1.2195254847716674E-3</v>
      </c>
      <c r="BI21" s="251">
        <v>1.5681696490381636E-3</v>
      </c>
      <c r="BJ21" s="251">
        <v>1.1687472268571797E-3</v>
      </c>
      <c r="BK21" s="251">
        <v>1.4562353787145915E-3</v>
      </c>
    </row>
    <row r="22" spans="1:63" x14ac:dyDescent="0.2">
      <c r="A22" s="238"/>
      <c r="B22" s="405" t="s">
        <v>399</v>
      </c>
      <c r="C22" s="414">
        <v>1.6152597758099121E-4</v>
      </c>
      <c r="D22" s="251">
        <v>1.4698067032883688E-4</v>
      </c>
      <c r="E22" s="416">
        <v>1.6899942008191665E-4</v>
      </c>
      <c r="F22" s="251">
        <v>9.5918741810552017E-5</v>
      </c>
      <c r="G22" s="415">
        <v>1.5102379164112965E-4</v>
      </c>
      <c r="H22" s="251">
        <v>1.6654859891369574E-4</v>
      </c>
      <c r="I22" s="251">
        <v>1.5884291979939078E-4</v>
      </c>
      <c r="J22" s="251">
        <v>1.4908050068206718E-4</v>
      </c>
      <c r="K22" s="251">
        <v>2.1435944773129969E-4</v>
      </c>
      <c r="L22" s="251">
        <v>1.5719354484847428E-4</v>
      </c>
      <c r="M22" s="251">
        <v>1.3776150758920659E-4</v>
      </c>
      <c r="N22" s="251">
        <v>9.5719863167889876E-5</v>
      </c>
      <c r="O22" s="251">
        <v>1.7284010669581126E-4</v>
      </c>
      <c r="P22" s="251">
        <v>1.4413331263859308E-4</v>
      </c>
      <c r="Q22" s="251">
        <v>1.3140084845276505E-4</v>
      </c>
      <c r="R22" s="251">
        <v>8.5521158742678206E-5</v>
      </c>
      <c r="S22" s="251">
        <v>1.3265541186466669E-4</v>
      </c>
      <c r="T22" s="251">
        <v>9.2977822280789833E-5</v>
      </c>
      <c r="U22" s="251">
        <v>1.6178110445347313E-4</v>
      </c>
      <c r="V22" s="251">
        <v>1.2760290851755049E-4</v>
      </c>
      <c r="W22" s="251">
        <v>1.7725218023966245E-4</v>
      </c>
      <c r="X22" s="251">
        <v>1.6725188100377708E-4</v>
      </c>
      <c r="Y22" s="251">
        <v>1.5651864007180165E-4</v>
      </c>
      <c r="Z22" s="251">
        <v>1.351550757539791E-4</v>
      </c>
      <c r="AA22" s="251">
        <v>1.2132910476940268E-4</v>
      </c>
      <c r="AB22" s="251">
        <v>1.3134384487199156E-4</v>
      </c>
      <c r="AC22" s="251">
        <v>1.4728537300593184E-4</v>
      </c>
      <c r="AD22" s="251">
        <f>'User Add-in Location'!E29</f>
        <v>0</v>
      </c>
      <c r="AE22" s="251">
        <f>'User Add-in Location'!F29</f>
        <v>0</v>
      </c>
      <c r="AF22" s="251">
        <v>1.1795733853792767E-4</v>
      </c>
      <c r="AG22" s="251">
        <v>1.7273641208960226E-4</v>
      </c>
      <c r="AH22" s="415">
        <v>1.5236123695817698E-4</v>
      </c>
      <c r="AI22" s="414">
        <v>1.6349907353935982E-4</v>
      </c>
      <c r="AJ22" s="251">
        <v>1.5120302106627466E-4</v>
      </c>
      <c r="AK22" s="251">
        <v>1.5788359800680493E-4</v>
      </c>
      <c r="AL22" s="251">
        <v>1.082847614428243E-4</v>
      </c>
      <c r="AM22" s="251">
        <v>9.6616877044408057E-5</v>
      </c>
      <c r="AN22" s="251">
        <v>1.4675531306321848E-4</v>
      </c>
      <c r="AO22" s="251">
        <v>1.0947445221238499E-4</v>
      </c>
      <c r="AP22" s="251">
        <v>1.5403750053497031E-4</v>
      </c>
      <c r="AQ22" s="251">
        <v>1.509765636287536E-4</v>
      </c>
      <c r="AR22" s="63">
        <v>1.5563710312563667E-4</v>
      </c>
      <c r="AS22" s="63">
        <v>1.4905475897175738E-4</v>
      </c>
      <c r="AT22" s="63">
        <v>1.495693497363636E-4</v>
      </c>
      <c r="AU22" s="63">
        <v>1.3610982492637778E-4</v>
      </c>
      <c r="AV22" s="63">
        <v>1.4119478357697309E-4</v>
      </c>
      <c r="AW22" s="63">
        <v>1.3994432413276642E-4</v>
      </c>
      <c r="AX22" s="63">
        <v>1.5184694040901609E-4</v>
      </c>
      <c r="AY22" s="63">
        <v>1.5139400580824566E-4</v>
      </c>
      <c r="AZ22" s="251">
        <v>1.4984974853234691E-4</v>
      </c>
      <c r="BA22" s="251">
        <v>1.5328635667460628E-4</v>
      </c>
      <c r="BB22" s="251">
        <v>1.1051742935879022E-4</v>
      </c>
      <c r="BC22" s="251">
        <v>1.3310647723670114E-4</v>
      </c>
      <c r="BD22" s="251">
        <v>1.4436909838153088E-4</v>
      </c>
      <c r="BE22" s="251">
        <v>1.5918340601005958E-4</v>
      </c>
      <c r="BF22" s="251">
        <v>1.2862285654987292E-4</v>
      </c>
      <c r="BG22" s="251">
        <v>1.6188532745421526E-4</v>
      </c>
      <c r="BH22" s="251">
        <v>1.5918051165843847E-4</v>
      </c>
      <c r="BI22" s="251">
        <v>1.3399719287840751E-4</v>
      </c>
      <c r="BJ22" s="251">
        <v>1.3892301104019184E-4</v>
      </c>
      <c r="BK22" s="251">
        <v>1.4186651532151564E-4</v>
      </c>
    </row>
    <row r="23" spans="1:63" x14ac:dyDescent="0.2">
      <c r="A23" s="238"/>
      <c r="B23" s="405" t="s">
        <v>400</v>
      </c>
      <c r="C23" s="414">
        <v>0.54667696844211444</v>
      </c>
      <c r="D23" s="251">
        <v>0.56269624758156955</v>
      </c>
      <c r="E23" s="416">
        <v>0.54738703118022758</v>
      </c>
      <c r="F23" s="251">
        <v>0.56614237071653595</v>
      </c>
      <c r="G23" s="415">
        <v>0.52949749577597627</v>
      </c>
      <c r="H23" s="251">
        <v>0.56021573673417924</v>
      </c>
      <c r="I23" s="251">
        <v>0.55597188984799129</v>
      </c>
      <c r="J23" s="251">
        <v>0.53810214228129305</v>
      </c>
      <c r="K23" s="251">
        <v>0.64050543231213697</v>
      </c>
      <c r="L23" s="251">
        <v>0.5506902007156802</v>
      </c>
      <c r="M23" s="251">
        <v>0.55314197241568941</v>
      </c>
      <c r="N23" s="251">
        <v>0.54335850790659568</v>
      </c>
      <c r="O23" s="251">
        <v>0.56201519063571326</v>
      </c>
      <c r="P23" s="251">
        <v>0.53540037502735394</v>
      </c>
      <c r="Q23" s="251">
        <v>0.55826208314914638</v>
      </c>
      <c r="R23" s="251">
        <v>0.55655024922605256</v>
      </c>
      <c r="S23" s="251">
        <v>0.57203876920401719</v>
      </c>
      <c r="T23" s="251">
        <v>0.56052009075063036</v>
      </c>
      <c r="U23" s="251">
        <v>0.56023560093966041</v>
      </c>
      <c r="V23" s="251">
        <v>0.56629123653773461</v>
      </c>
      <c r="W23" s="251">
        <v>0.56694648532713743</v>
      </c>
      <c r="X23" s="251">
        <v>0.55578120640326656</v>
      </c>
      <c r="Y23" s="251">
        <v>0.52618723782852028</v>
      </c>
      <c r="Z23" s="251">
        <v>0.53426729852534027</v>
      </c>
      <c r="AA23" s="251">
        <v>0.56311641236793974</v>
      </c>
      <c r="AB23" s="251">
        <v>0.55374899628465546</v>
      </c>
      <c r="AC23" s="251">
        <v>0.55895049161838994</v>
      </c>
      <c r="AD23" s="251">
        <f>'User Add-in Location'!E30</f>
        <v>0</v>
      </c>
      <c r="AE23" s="251">
        <f>'User Add-in Location'!F30</f>
        <v>0</v>
      </c>
      <c r="AF23" s="251">
        <v>0.55566775803653568</v>
      </c>
      <c r="AG23" s="251">
        <v>0.5494637847632825</v>
      </c>
      <c r="AH23" s="415">
        <v>0.54249100520488824</v>
      </c>
      <c r="AI23" s="414">
        <v>0.53230629660963202</v>
      </c>
      <c r="AJ23" s="251">
        <v>0.57742955171915078</v>
      </c>
      <c r="AK23" s="251">
        <v>0.5597757763343244</v>
      </c>
      <c r="AL23" s="251">
        <v>0.54769089772005786</v>
      </c>
      <c r="AM23" s="251">
        <v>0.54700334838122888</v>
      </c>
      <c r="AN23" s="251">
        <v>0.54706043765793766</v>
      </c>
      <c r="AO23" s="251">
        <v>0.57423962307288279</v>
      </c>
      <c r="AP23" s="251">
        <v>0.53311813297125243</v>
      </c>
      <c r="AQ23" s="251">
        <v>0.5495390491117067</v>
      </c>
      <c r="AR23" s="63">
        <v>0.54471613568733446</v>
      </c>
      <c r="AS23" s="63">
        <v>0.53294605056923394</v>
      </c>
      <c r="AT23" s="63">
        <v>0.55037202359039483</v>
      </c>
      <c r="AU23" s="63">
        <v>0.53404910451627374</v>
      </c>
      <c r="AV23" s="63">
        <v>0.51122807220822319</v>
      </c>
      <c r="AW23" s="63">
        <v>0.52911081225755074</v>
      </c>
      <c r="AX23" s="63">
        <v>0.53487118303173375</v>
      </c>
      <c r="AY23" s="63">
        <v>0.52949602679302987</v>
      </c>
      <c r="AZ23" s="251">
        <v>0.57019191654582246</v>
      </c>
      <c r="BA23" s="251">
        <v>0.53939107650801188</v>
      </c>
      <c r="BB23" s="251">
        <v>0.55653895632616102</v>
      </c>
      <c r="BC23" s="251">
        <v>0.54600649392781764</v>
      </c>
      <c r="BD23" s="251">
        <v>0.52910034682646612</v>
      </c>
      <c r="BE23" s="251">
        <v>0.54584979321121541</v>
      </c>
      <c r="BF23" s="251">
        <v>0.57926080744999098</v>
      </c>
      <c r="BG23" s="251">
        <v>0.5712920121081192</v>
      </c>
      <c r="BH23" s="251">
        <v>0.52537579187030348</v>
      </c>
      <c r="BI23" s="251">
        <v>0.57460366595962153</v>
      </c>
      <c r="BJ23" s="251">
        <v>0.5393700497290852</v>
      </c>
      <c r="BK23" s="251">
        <v>0.5459316058457665</v>
      </c>
    </row>
    <row r="24" spans="1:63" x14ac:dyDescent="0.2">
      <c r="A24" s="238"/>
      <c r="B24" s="405" t="s">
        <v>58</v>
      </c>
      <c r="C24" s="414">
        <v>8.1773356556666451E-3</v>
      </c>
      <c r="D24" s="251">
        <v>8.3618123805277202E-3</v>
      </c>
      <c r="E24" s="416">
        <v>6.9976231820356163E-3</v>
      </c>
      <c r="F24" s="251">
        <v>8.420743004598415E-3</v>
      </c>
      <c r="G24" s="415">
        <v>6.1320477983645861E-3</v>
      </c>
      <c r="H24" s="251">
        <v>6.7948650703618819E-3</v>
      </c>
      <c r="I24" s="251">
        <v>7.182193574281525E-3</v>
      </c>
      <c r="J24" s="251">
        <v>7.8610627453254041E-3</v>
      </c>
      <c r="K24" s="251">
        <v>8.7271011946147264E-3</v>
      </c>
      <c r="L24" s="251">
        <v>6.2518295098203495E-3</v>
      </c>
      <c r="M24" s="251">
        <v>6.5461657852488716E-3</v>
      </c>
      <c r="N24" s="251">
        <v>7.5329226837517523E-3</v>
      </c>
      <c r="O24" s="251">
        <v>7.9750336944395227E-3</v>
      </c>
      <c r="P24" s="251">
        <v>6.5957805435120174E-3</v>
      </c>
      <c r="Q24" s="251">
        <v>7.3365546883396044E-3</v>
      </c>
      <c r="R24" s="251">
        <v>7.9844746613374727E-3</v>
      </c>
      <c r="S24" s="251">
        <v>8.0828624737383295E-3</v>
      </c>
      <c r="T24" s="251">
        <v>8.1196052181710127E-3</v>
      </c>
      <c r="U24" s="251">
        <v>7.8561511987330634E-3</v>
      </c>
      <c r="V24" s="251">
        <v>7.5729124457122919E-3</v>
      </c>
      <c r="W24" s="251">
        <v>7.3780013978543514E-3</v>
      </c>
      <c r="X24" s="251">
        <v>6.7977835838979993E-3</v>
      </c>
      <c r="Y24" s="251">
        <v>6.7000024324091493E-3</v>
      </c>
      <c r="Z24" s="251">
        <v>6.7203892185841415E-3</v>
      </c>
      <c r="AA24" s="251">
        <v>8.862389193548011E-3</v>
      </c>
      <c r="AB24" s="251">
        <v>7.2885145676819035E-3</v>
      </c>
      <c r="AC24" s="251">
        <v>8.0454431864509166E-3</v>
      </c>
      <c r="AD24" s="251">
        <f>'User Add-in Location'!E31</f>
        <v>0</v>
      </c>
      <c r="AE24" s="251">
        <f>'User Add-in Location'!F31</f>
        <v>0</v>
      </c>
      <c r="AF24" s="251">
        <v>7.7919500184515768E-3</v>
      </c>
      <c r="AG24" s="251">
        <v>7.8980974797847794E-3</v>
      </c>
      <c r="AH24" s="415">
        <v>7.5861722252291812E-3</v>
      </c>
      <c r="AI24" s="414">
        <v>6.8019659107817652E-3</v>
      </c>
      <c r="AJ24" s="251">
        <v>8.7288596438842084E-3</v>
      </c>
      <c r="AK24" s="251">
        <v>6.8460447870547399E-3</v>
      </c>
      <c r="AL24" s="251">
        <v>7.0056550166663961E-3</v>
      </c>
      <c r="AM24" s="251">
        <v>8.6305107516317838E-3</v>
      </c>
      <c r="AN24" s="251">
        <v>6.9050264550763931E-3</v>
      </c>
      <c r="AO24" s="251">
        <v>7.972212292750646E-3</v>
      </c>
      <c r="AP24" s="251">
        <v>6.9147326136443739E-3</v>
      </c>
      <c r="AQ24" s="251">
        <v>6.9719222509674857E-3</v>
      </c>
      <c r="AR24" s="63">
        <v>6.4126474028706549E-3</v>
      </c>
      <c r="AS24" s="63">
        <v>6.6067357174959237E-3</v>
      </c>
      <c r="AT24" s="63">
        <v>6.6098410460959153E-3</v>
      </c>
      <c r="AU24" s="63">
        <v>6.4250966912267823E-3</v>
      </c>
      <c r="AV24" s="63">
        <v>6.2291490488441056E-3</v>
      </c>
      <c r="AW24" s="63">
        <v>6.4494332528924709E-3</v>
      </c>
      <c r="AX24" s="63">
        <v>6.6528089934500901E-3</v>
      </c>
      <c r="AY24" s="63">
        <v>6.1527361741206179E-3</v>
      </c>
      <c r="AZ24" s="251">
        <v>7.4209403758234817E-3</v>
      </c>
      <c r="BA24" s="251">
        <v>7.7409228200918858E-3</v>
      </c>
      <c r="BB24" s="251">
        <v>8.3259275034416325E-3</v>
      </c>
      <c r="BC24" s="251">
        <v>7.1303056709642937E-3</v>
      </c>
      <c r="BD24" s="251">
        <v>6.2763367603682115E-3</v>
      </c>
      <c r="BE24" s="251">
        <v>6.6528717387124344E-3</v>
      </c>
      <c r="BF24" s="251">
        <v>7.933545667442414E-3</v>
      </c>
      <c r="BG24" s="251">
        <v>7.3256900447843925E-3</v>
      </c>
      <c r="BH24" s="251">
        <v>6.7410867764523879E-3</v>
      </c>
      <c r="BI24" s="251">
        <v>9.689801727135022E-3</v>
      </c>
      <c r="BJ24" s="251">
        <v>7.3794907009424133E-3</v>
      </c>
      <c r="BK24" s="251">
        <v>1.0660955731015364E-2</v>
      </c>
    </row>
    <row r="25" spans="1:63" x14ac:dyDescent="0.2">
      <c r="A25" s="238"/>
      <c r="B25" s="405" t="s">
        <v>401</v>
      </c>
      <c r="C25" s="414">
        <v>0</v>
      </c>
      <c r="D25" s="251">
        <v>0</v>
      </c>
      <c r="E25" s="250">
        <v>0</v>
      </c>
      <c r="F25" s="251">
        <v>0</v>
      </c>
      <c r="G25" s="415">
        <v>0</v>
      </c>
      <c r="H25" s="251">
        <v>0</v>
      </c>
      <c r="I25" s="251">
        <v>0</v>
      </c>
      <c r="J25" s="251">
        <v>0</v>
      </c>
      <c r="K25" s="251">
        <v>0</v>
      </c>
      <c r="L25" s="251">
        <v>0</v>
      </c>
      <c r="M25" s="251">
        <v>0</v>
      </c>
      <c r="N25" s="251">
        <v>0</v>
      </c>
      <c r="O25" s="251">
        <v>0</v>
      </c>
      <c r="P25" s="251">
        <v>0</v>
      </c>
      <c r="Q25" s="251">
        <v>0</v>
      </c>
      <c r="R25" s="251">
        <v>0</v>
      </c>
      <c r="S25" s="251">
        <v>0</v>
      </c>
      <c r="T25" s="251">
        <v>0</v>
      </c>
      <c r="U25" s="251">
        <v>0</v>
      </c>
      <c r="V25" s="251">
        <v>0</v>
      </c>
      <c r="W25" s="251">
        <v>0</v>
      </c>
      <c r="X25" s="251">
        <v>0</v>
      </c>
      <c r="Y25" s="251">
        <v>0</v>
      </c>
      <c r="Z25" s="251">
        <v>0</v>
      </c>
      <c r="AA25" s="251">
        <v>0</v>
      </c>
      <c r="AB25" s="251">
        <v>0</v>
      </c>
      <c r="AC25" s="251">
        <v>0</v>
      </c>
      <c r="AD25" s="251">
        <f>'User Add-in Location'!E32</f>
        <v>0</v>
      </c>
      <c r="AE25" s="251">
        <f>'User Add-in Location'!F32</f>
        <v>0</v>
      </c>
      <c r="AF25" s="251">
        <v>0</v>
      </c>
      <c r="AG25" s="251">
        <v>0</v>
      </c>
      <c r="AH25" s="415">
        <v>0</v>
      </c>
      <c r="AI25" s="414">
        <v>0</v>
      </c>
      <c r="AJ25" s="251">
        <v>0</v>
      </c>
      <c r="AK25" s="251">
        <v>0</v>
      </c>
      <c r="AL25" s="251">
        <v>0</v>
      </c>
      <c r="AM25" s="251">
        <v>0</v>
      </c>
      <c r="AN25" s="251">
        <v>0</v>
      </c>
      <c r="AO25" s="251">
        <v>0</v>
      </c>
      <c r="AP25" s="251">
        <v>0</v>
      </c>
      <c r="AQ25" s="251">
        <v>0</v>
      </c>
      <c r="AR25" s="63">
        <v>0</v>
      </c>
      <c r="AS25" s="63">
        <v>0</v>
      </c>
      <c r="AT25" s="63">
        <v>0</v>
      </c>
      <c r="AU25" s="63">
        <v>0</v>
      </c>
      <c r="AV25" s="63">
        <v>0</v>
      </c>
      <c r="AW25" s="63">
        <v>0</v>
      </c>
      <c r="AX25" s="63">
        <v>0</v>
      </c>
      <c r="AY25" s="63">
        <v>0</v>
      </c>
      <c r="AZ25" s="251">
        <v>0</v>
      </c>
      <c r="BA25" s="251">
        <v>0</v>
      </c>
      <c r="BB25" s="251">
        <v>0</v>
      </c>
      <c r="BC25" s="251">
        <v>0</v>
      </c>
      <c r="BD25" s="251">
        <v>0</v>
      </c>
      <c r="BE25" s="251">
        <v>0</v>
      </c>
      <c r="BF25" s="251">
        <v>0</v>
      </c>
      <c r="BG25" s="251">
        <v>0</v>
      </c>
      <c r="BH25" s="251">
        <v>0</v>
      </c>
      <c r="BI25" s="251">
        <v>0</v>
      </c>
      <c r="BJ25" s="251">
        <v>0</v>
      </c>
      <c r="BK25" s="251">
        <v>0</v>
      </c>
    </row>
    <row r="26" spans="1:63" ht="15.75" x14ac:dyDescent="0.25">
      <c r="A26" s="240" t="s">
        <v>273</v>
      </c>
      <c r="B26" s="6" t="s">
        <v>4</v>
      </c>
      <c r="C26" s="14">
        <f>SUM(C4:C25)</f>
        <v>1</v>
      </c>
      <c r="D26" s="14">
        <f t="shared" ref="D26:BK26" si="0">SUM(D4:D25)</f>
        <v>0.99999999999999989</v>
      </c>
      <c r="E26" s="14">
        <f t="shared" si="0"/>
        <v>1</v>
      </c>
      <c r="F26" s="14">
        <f t="shared" si="0"/>
        <v>0.99999999999999989</v>
      </c>
      <c r="G26" s="14">
        <f t="shared" si="0"/>
        <v>1</v>
      </c>
      <c r="H26" s="14">
        <f t="shared" si="0"/>
        <v>0.99999999999999989</v>
      </c>
      <c r="I26" s="14">
        <f t="shared" si="0"/>
        <v>1</v>
      </c>
      <c r="J26" s="14">
        <f t="shared" si="0"/>
        <v>0.99999999999999989</v>
      </c>
      <c r="K26" s="14">
        <f t="shared" si="0"/>
        <v>1</v>
      </c>
      <c r="L26" s="14">
        <f t="shared" si="0"/>
        <v>1</v>
      </c>
      <c r="M26" s="14">
        <f t="shared" si="0"/>
        <v>1</v>
      </c>
      <c r="N26" s="14">
        <f t="shared" si="0"/>
        <v>1</v>
      </c>
      <c r="O26" s="14">
        <f t="shared" si="0"/>
        <v>1</v>
      </c>
      <c r="P26" s="14">
        <f t="shared" si="0"/>
        <v>0.99999999999999989</v>
      </c>
      <c r="Q26" s="14">
        <f t="shared" si="0"/>
        <v>0.99999999999999989</v>
      </c>
      <c r="R26" s="14">
        <f t="shared" si="0"/>
        <v>0.99999999999999989</v>
      </c>
      <c r="S26" s="14">
        <f t="shared" si="0"/>
        <v>1</v>
      </c>
      <c r="T26" s="14">
        <f t="shared" si="0"/>
        <v>1.0000000000000002</v>
      </c>
      <c r="U26" s="14">
        <f t="shared" si="0"/>
        <v>0.99999999999999989</v>
      </c>
      <c r="V26" s="14">
        <f t="shared" si="0"/>
        <v>1</v>
      </c>
      <c r="W26" s="14">
        <f t="shared" si="0"/>
        <v>1</v>
      </c>
      <c r="X26" s="14">
        <f t="shared" si="0"/>
        <v>1</v>
      </c>
      <c r="Y26" s="14">
        <f t="shared" si="0"/>
        <v>1</v>
      </c>
      <c r="Z26" s="14">
        <f t="shared" si="0"/>
        <v>0.99999999999999978</v>
      </c>
      <c r="AA26" s="14">
        <f t="shared" si="0"/>
        <v>0.99999999999999989</v>
      </c>
      <c r="AB26" s="14">
        <f t="shared" si="0"/>
        <v>0.99999999999999989</v>
      </c>
      <c r="AC26" s="14">
        <f t="shared" si="0"/>
        <v>1</v>
      </c>
      <c r="AD26" s="14">
        <f t="shared" si="0"/>
        <v>0</v>
      </c>
      <c r="AE26" s="14">
        <f t="shared" si="0"/>
        <v>1</v>
      </c>
      <c r="AF26" s="14">
        <f t="shared" si="0"/>
        <v>1</v>
      </c>
      <c r="AG26" s="14">
        <f t="shared" si="0"/>
        <v>0.99999999999999989</v>
      </c>
      <c r="AH26" s="14">
        <f t="shared" si="0"/>
        <v>1.0000000000000002</v>
      </c>
      <c r="AI26" s="14">
        <f t="shared" si="0"/>
        <v>0.99999999999999989</v>
      </c>
      <c r="AJ26" s="14">
        <f t="shared" si="0"/>
        <v>1</v>
      </c>
      <c r="AK26" s="14">
        <f t="shared" si="0"/>
        <v>1</v>
      </c>
      <c r="AL26" s="14">
        <f t="shared" si="0"/>
        <v>1</v>
      </c>
      <c r="AM26" s="14">
        <f t="shared" si="0"/>
        <v>1</v>
      </c>
      <c r="AN26" s="14">
        <f t="shared" si="0"/>
        <v>1</v>
      </c>
      <c r="AO26" s="14">
        <f t="shared" si="0"/>
        <v>1.0000000000000002</v>
      </c>
      <c r="AP26" s="14">
        <f t="shared" si="0"/>
        <v>1</v>
      </c>
      <c r="AQ26" s="14">
        <f t="shared" si="0"/>
        <v>1</v>
      </c>
      <c r="AR26" s="14">
        <f t="shared" ref="AR26:AY26" si="1">SUM(AR4:AR25)</f>
        <v>1</v>
      </c>
      <c r="AS26" s="14">
        <f t="shared" si="1"/>
        <v>1</v>
      </c>
      <c r="AT26" s="14">
        <f t="shared" si="1"/>
        <v>1</v>
      </c>
      <c r="AU26" s="14">
        <f t="shared" si="1"/>
        <v>1</v>
      </c>
      <c r="AV26" s="14">
        <f t="shared" si="1"/>
        <v>1</v>
      </c>
      <c r="AW26" s="14">
        <f t="shared" si="1"/>
        <v>0.99999999999999989</v>
      </c>
      <c r="AX26" s="14">
        <f t="shared" si="1"/>
        <v>1</v>
      </c>
      <c r="AY26" s="14">
        <f t="shared" si="1"/>
        <v>0.99999999999999989</v>
      </c>
      <c r="AZ26" s="14">
        <f t="shared" si="0"/>
        <v>1</v>
      </c>
      <c r="BA26" s="14">
        <f t="shared" si="0"/>
        <v>0.99999999999999989</v>
      </c>
      <c r="BB26" s="14">
        <f t="shared" si="0"/>
        <v>0.99999999999999989</v>
      </c>
      <c r="BC26" s="14">
        <f t="shared" si="0"/>
        <v>1</v>
      </c>
      <c r="BD26" s="14">
        <f t="shared" si="0"/>
        <v>1.0000000000000002</v>
      </c>
      <c r="BE26" s="14">
        <f t="shared" si="0"/>
        <v>1</v>
      </c>
      <c r="BF26" s="14">
        <f t="shared" si="0"/>
        <v>0.99999999999999989</v>
      </c>
      <c r="BG26" s="14">
        <f t="shared" si="0"/>
        <v>0.99999999999999989</v>
      </c>
      <c r="BH26" s="14">
        <f t="shared" si="0"/>
        <v>1</v>
      </c>
      <c r="BI26" s="14">
        <f t="shared" si="0"/>
        <v>1</v>
      </c>
      <c r="BJ26" s="14">
        <f t="shared" si="0"/>
        <v>0.99999999999999989</v>
      </c>
      <c r="BK26" s="14">
        <f t="shared" si="0"/>
        <v>1</v>
      </c>
    </row>
    <row r="27" spans="1:63" x14ac:dyDescent="0.2">
      <c r="A27" s="238"/>
    </row>
    <row r="28" spans="1:63" ht="12.75" customHeight="1" x14ac:dyDescent="0.2">
      <c r="A28" s="238"/>
      <c r="B28" s="173" t="str">
        <f>CONCATENATE("Source:  All values are averages for all income classes and are derived from IMPLAN™ using ", C2," state data.")</f>
        <v>Source:  All values are averages for all income classes and are derived from IMPLAN™ using 2008 state data.</v>
      </c>
      <c r="H28" s="63"/>
    </row>
    <row r="29" spans="1:63" ht="17.850000000000001" customHeight="1" x14ac:dyDescent="0.2">
      <c r="A29" s="238"/>
      <c r="B29" s="173"/>
    </row>
    <row r="30" spans="1:63" x14ac:dyDescent="0.2">
      <c r="A30" s="238"/>
      <c r="B30" s="147"/>
    </row>
    <row r="31" spans="1:63" x14ac:dyDescent="0.2">
      <c r="A31" s="238"/>
    </row>
    <row r="32" spans="1:63" x14ac:dyDescent="0.2">
      <c r="A32" s="238"/>
    </row>
    <row r="33" spans="1:1" x14ac:dyDescent="0.2">
      <c r="A33" s="238"/>
    </row>
    <row r="34" spans="1:1" x14ac:dyDescent="0.2">
      <c r="A34" s="238"/>
    </row>
    <row r="35" spans="1:1" x14ac:dyDescent="0.2">
      <c r="A35" s="238"/>
    </row>
    <row r="36" spans="1:1" x14ac:dyDescent="0.2">
      <c r="A36" s="238"/>
    </row>
    <row r="37" spans="1:1" x14ac:dyDescent="0.2">
      <c r="A37" s="238"/>
    </row>
    <row r="38" spans="1:1" x14ac:dyDescent="0.2">
      <c r="A38" s="238"/>
    </row>
    <row r="39" spans="1:1" x14ac:dyDescent="0.2">
      <c r="A39" s="238"/>
    </row>
    <row r="40" spans="1:1" x14ac:dyDescent="0.2">
      <c r="A40" s="238"/>
    </row>
    <row r="41" spans="1:1" x14ac:dyDescent="0.2">
      <c r="A41" s="238"/>
    </row>
    <row r="42" spans="1:1" x14ac:dyDescent="0.2">
      <c r="A42" s="238"/>
    </row>
    <row r="43" spans="1:1" x14ac:dyDescent="0.2">
      <c r="A43" s="238"/>
    </row>
    <row r="44" spans="1:1" x14ac:dyDescent="0.2">
      <c r="A44" s="238"/>
    </row>
    <row r="45" spans="1:1" x14ac:dyDescent="0.2">
      <c r="A45" s="238"/>
    </row>
    <row r="46" spans="1:1" x14ac:dyDescent="0.2">
      <c r="A46" s="238"/>
    </row>
    <row r="47" spans="1:1" x14ac:dyDescent="0.2">
      <c r="A47" s="238"/>
    </row>
    <row r="48" spans="1:1" x14ac:dyDescent="0.2">
      <c r="A48" s="238"/>
    </row>
    <row r="49" spans="1:1" x14ac:dyDescent="0.2">
      <c r="A49" s="238"/>
    </row>
    <row r="50" spans="1:1" x14ac:dyDescent="0.2">
      <c r="A50" s="238"/>
    </row>
    <row r="51" spans="1:1" x14ac:dyDescent="0.2">
      <c r="A51" s="238"/>
    </row>
    <row r="52" spans="1:1" x14ac:dyDescent="0.2">
      <c r="A52" s="238"/>
    </row>
    <row r="53" spans="1:1" x14ac:dyDescent="0.2">
      <c r="A53" s="238"/>
    </row>
    <row r="54" spans="1:1" x14ac:dyDescent="0.2">
      <c r="A54" s="238"/>
    </row>
    <row r="55" spans="1:1" x14ac:dyDescent="0.2">
      <c r="A55" s="238"/>
    </row>
    <row r="56" spans="1:1" x14ac:dyDescent="0.2">
      <c r="A56" s="238"/>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L255"/>
  <sheetViews>
    <sheetView workbookViewId="0">
      <selection activeCell="B4" sqref="B4"/>
    </sheetView>
  </sheetViews>
  <sheetFormatPr defaultRowHeight="12.75" x14ac:dyDescent="0.2"/>
  <cols>
    <col min="1" max="1" width="173.85546875" style="242" customWidth="1"/>
    <col min="2" max="2" width="10.140625" style="243" customWidth="1"/>
    <col min="3" max="3" width="27.42578125" customWidth="1"/>
    <col min="4" max="4" width="8.28515625" customWidth="1"/>
    <col min="25" max="25" width="13.85546875" customWidth="1"/>
    <col min="27" max="27" width="9.7109375" customWidth="1"/>
    <col min="28" max="28" width="10.28515625" customWidth="1"/>
    <col min="45" max="46" width="10.140625" customWidth="1"/>
    <col min="47" max="47" width="9.85546875" customWidth="1"/>
    <col min="48" max="48" width="10" customWidth="1"/>
    <col min="49" max="50" width="9.85546875" customWidth="1"/>
    <col min="51" max="51" width="10" customWidth="1"/>
    <col min="52" max="52" width="9.7109375" customWidth="1"/>
  </cols>
  <sheetData>
    <row r="1" spans="1:64" ht="15.75" x14ac:dyDescent="0.25">
      <c r="A1" s="238"/>
      <c r="C1" s="83" t="s">
        <v>157</v>
      </c>
    </row>
    <row r="2" spans="1:64" x14ac:dyDescent="0.2">
      <c r="A2" s="238"/>
      <c r="C2" s="1" t="s">
        <v>215</v>
      </c>
      <c r="D2" s="1">
        <v>2008</v>
      </c>
    </row>
    <row r="3" spans="1:64" x14ac:dyDescent="0.2">
      <c r="A3" s="238"/>
      <c r="C3" s="17" t="s">
        <v>178</v>
      </c>
    </row>
    <row r="4" spans="1:64" x14ac:dyDescent="0.2">
      <c r="A4" s="238"/>
      <c r="C4" s="116" t="s">
        <v>183</v>
      </c>
      <c r="D4" t="s">
        <v>60</v>
      </c>
      <c r="E4" t="s">
        <v>61</v>
      </c>
      <c r="F4" t="s">
        <v>62</v>
      </c>
      <c r="G4" t="s">
        <v>63</v>
      </c>
      <c r="H4" t="s">
        <v>64</v>
      </c>
      <c r="I4" t="s">
        <v>65</v>
      </c>
      <c r="J4" t="s">
        <v>66</v>
      </c>
      <c r="K4" t="s">
        <v>67</v>
      </c>
      <c r="L4" t="s">
        <v>68</v>
      </c>
      <c r="M4" t="s">
        <v>69</v>
      </c>
      <c r="N4" t="s">
        <v>70</v>
      </c>
      <c r="O4" t="s">
        <v>71</v>
      </c>
      <c r="P4" t="s">
        <v>72</v>
      </c>
      <c r="Q4" t="s">
        <v>73</v>
      </c>
      <c r="R4" t="s">
        <v>74</v>
      </c>
      <c r="S4" t="s">
        <v>75</v>
      </c>
      <c r="T4" t="s">
        <v>76</v>
      </c>
      <c r="U4" t="s">
        <v>77</v>
      </c>
      <c r="V4" t="s">
        <v>78</v>
      </c>
      <c r="W4" t="s">
        <v>79</v>
      </c>
      <c r="X4" t="s">
        <v>80</v>
      </c>
      <c r="Y4" t="s">
        <v>81</v>
      </c>
      <c r="Z4" t="s">
        <v>82</v>
      </c>
      <c r="AA4" t="s">
        <v>83</v>
      </c>
      <c r="AB4" t="s">
        <v>84</v>
      </c>
      <c r="AC4" t="s">
        <v>85</v>
      </c>
      <c r="AD4" t="s">
        <v>86</v>
      </c>
      <c r="AE4" s="38" t="s">
        <v>208</v>
      </c>
      <c r="AF4" s="38" t="s">
        <v>207</v>
      </c>
      <c r="AG4" t="s">
        <v>87</v>
      </c>
      <c r="AH4" t="s">
        <v>88</v>
      </c>
      <c r="AI4" t="s">
        <v>89</v>
      </c>
      <c r="AJ4" t="s">
        <v>90</v>
      </c>
      <c r="AK4" t="s">
        <v>91</v>
      </c>
      <c r="AL4" t="s">
        <v>92</v>
      </c>
      <c r="AM4" t="s">
        <v>93</v>
      </c>
      <c r="AN4" t="s">
        <v>94</v>
      </c>
      <c r="AO4" t="s">
        <v>95</v>
      </c>
      <c r="AP4" t="s">
        <v>96</v>
      </c>
      <c r="AQ4" t="s">
        <v>97</v>
      </c>
      <c r="AR4" t="s">
        <v>98</v>
      </c>
      <c r="AS4" s="442" t="s">
        <v>451</v>
      </c>
      <c r="AT4" s="442" t="s">
        <v>452</v>
      </c>
      <c r="AU4" s="442" t="s">
        <v>453</v>
      </c>
      <c r="AV4" s="442" t="s">
        <v>454</v>
      </c>
      <c r="AW4" s="442" t="s">
        <v>455</v>
      </c>
      <c r="AX4" s="442" t="s">
        <v>456</v>
      </c>
      <c r="AY4" s="442" t="s">
        <v>457</v>
      </c>
      <c r="AZ4" s="442" t="s">
        <v>458</v>
      </c>
      <c r="BA4" t="s">
        <v>99</v>
      </c>
      <c r="BB4" t="s">
        <v>100</v>
      </c>
      <c r="BC4" t="s">
        <v>101</v>
      </c>
      <c r="BD4" t="s">
        <v>102</v>
      </c>
      <c r="BE4" t="s">
        <v>103</v>
      </c>
      <c r="BF4" t="s">
        <v>104</v>
      </c>
      <c r="BG4" t="s">
        <v>105</v>
      </c>
      <c r="BH4" t="s">
        <v>106</v>
      </c>
      <c r="BI4" t="s">
        <v>107</v>
      </c>
      <c r="BJ4" t="s">
        <v>108</v>
      </c>
      <c r="BK4" t="s">
        <v>109</v>
      </c>
      <c r="BL4" t="s">
        <v>59</v>
      </c>
    </row>
    <row r="5" spans="1:64" ht="23.25" x14ac:dyDescent="0.35">
      <c r="A5" s="239" t="s">
        <v>269</v>
      </c>
      <c r="B5" s="244"/>
      <c r="C5" s="404" t="s">
        <v>388</v>
      </c>
      <c r="D5" s="407">
        <v>8.7312231063842773</v>
      </c>
      <c r="E5" s="407">
        <v>22.529073715209961</v>
      </c>
      <c r="F5" s="407">
        <v>7.9331831932067871</v>
      </c>
      <c r="G5" s="407">
        <v>6.5550050735473633</v>
      </c>
      <c r="H5" s="407">
        <v>10.144342422485352</v>
      </c>
      <c r="I5" s="407">
        <v>6.5817203521728516</v>
      </c>
      <c r="J5" s="407">
        <v>10.762331008911133</v>
      </c>
      <c r="K5" s="407">
        <v>3.6117410659789999</v>
      </c>
      <c r="L5" s="407">
        <v>17.708915710449219</v>
      </c>
      <c r="M5" s="407">
        <v>15.382487297058105</v>
      </c>
      <c r="N5" s="407">
        <v>7.324221134185791</v>
      </c>
      <c r="O5" s="407">
        <v>19.763933181762695</v>
      </c>
      <c r="P5" s="407">
        <v>5.3921937942504883</v>
      </c>
      <c r="Q5" s="407">
        <v>5.8561367988586426</v>
      </c>
      <c r="R5" s="407">
        <v>7.13732481002807</v>
      </c>
      <c r="S5" s="407">
        <v>4.5361623764038086</v>
      </c>
      <c r="T5" s="407">
        <v>5.6666674613952637</v>
      </c>
      <c r="U5" s="407">
        <v>18.854028701782227</v>
      </c>
      <c r="V5" s="407">
        <v>11.195134162902832</v>
      </c>
      <c r="W5" s="407">
        <v>11.673153877258301</v>
      </c>
      <c r="X5" s="407">
        <v>9.0935745239257812</v>
      </c>
      <c r="Y5" s="407">
        <v>15.719013214111328</v>
      </c>
      <c r="Z5" s="407">
        <v>10.876359939575195</v>
      </c>
      <c r="AA5" s="407">
        <v>6.5254287719726563</v>
      </c>
      <c r="AB5" s="407">
        <v>8.9067859649658203</v>
      </c>
      <c r="AC5" s="407">
        <v>13.102677345275801</v>
      </c>
      <c r="AD5" s="407">
        <v>9.8802299499511719</v>
      </c>
      <c r="AE5" s="38">
        <f>'User Add-in Location'!B11</f>
        <v>0</v>
      </c>
      <c r="AF5" s="38">
        <f>'User Add-in Location'!C11</f>
        <v>0</v>
      </c>
      <c r="AG5" s="407">
        <v>3.7413449287414551</v>
      </c>
      <c r="AH5" s="407">
        <v>5.3288297653198242</v>
      </c>
      <c r="AI5" s="407">
        <v>10.863437652587891</v>
      </c>
      <c r="AJ5" s="407">
        <v>15.966694831848145</v>
      </c>
      <c r="AK5" s="407">
        <v>7.7406249046325684</v>
      </c>
      <c r="AL5" s="407">
        <v>10.439345359802246</v>
      </c>
      <c r="AM5" s="407">
        <v>7.9003996849060059</v>
      </c>
      <c r="AN5" s="409">
        <v>5.1057968139648437</v>
      </c>
      <c r="AO5" s="409">
        <v>11.234920501708984</v>
      </c>
      <c r="AP5" s="409">
        <v>15.318502426147461</v>
      </c>
      <c r="AQ5" s="409">
        <v>9.6423978805541992</v>
      </c>
      <c r="AR5" s="409">
        <v>11.90473461151123</v>
      </c>
      <c r="AS5" s="409">
        <v>11.462001800537109</v>
      </c>
      <c r="AT5" s="409">
        <v>12.001064300537109</v>
      </c>
      <c r="AU5" s="409">
        <v>9.691105842590332</v>
      </c>
      <c r="AV5" s="409">
        <v>12.527859687805176</v>
      </c>
      <c r="AW5" s="409">
        <v>7.1750645637512207</v>
      </c>
      <c r="AX5" s="409">
        <v>11.939104080200195</v>
      </c>
      <c r="AY5" s="409">
        <v>6.640805721282959</v>
      </c>
      <c r="AZ5" s="409">
        <v>10.302038192749023</v>
      </c>
      <c r="BA5" s="409">
        <v>20.091514587402344</v>
      </c>
      <c r="BB5" s="409">
        <v>10.443019866943359</v>
      </c>
      <c r="BC5" s="409">
        <v>4.4371914863586426</v>
      </c>
      <c r="BD5" s="409">
        <v>20.705955505371094</v>
      </c>
      <c r="BE5" s="409">
        <v>13.766683578491211</v>
      </c>
      <c r="BF5" s="407">
        <v>8.9199304580688477</v>
      </c>
      <c r="BG5" s="407">
        <v>10.251119613647461</v>
      </c>
      <c r="BH5" s="407">
        <v>13.894363403320313</v>
      </c>
      <c r="BI5" s="407">
        <v>9.4663734436035156</v>
      </c>
      <c r="BJ5" s="407">
        <v>14.750985145568848</v>
      </c>
      <c r="BK5" s="407">
        <v>10.103619575500488</v>
      </c>
      <c r="BL5" s="407">
        <v>11.217341423034668</v>
      </c>
    </row>
    <row r="6" spans="1:64" x14ac:dyDescent="0.2">
      <c r="A6" s="238"/>
      <c r="C6" s="404" t="s">
        <v>124</v>
      </c>
      <c r="D6" s="407">
        <v>2.2182066440582275</v>
      </c>
      <c r="E6" s="407">
        <v>1.6945459842681885</v>
      </c>
      <c r="F6" s="407">
        <v>2.0583631992340088</v>
      </c>
      <c r="G6" s="407">
        <v>2.6338551044464111</v>
      </c>
      <c r="H6" s="407">
        <v>1.832433819770813</v>
      </c>
      <c r="I6" s="407">
        <v>1.5345443487167358</v>
      </c>
      <c r="J6" s="407">
        <v>2.1056957244873047</v>
      </c>
      <c r="K6" s="407">
        <v>1.3215571641921997</v>
      </c>
      <c r="L6" s="407">
        <v>2.2205426692962646</v>
      </c>
      <c r="M6" s="407">
        <v>2.5393877029418945</v>
      </c>
      <c r="N6" s="407">
        <v>3.5245375633239746</v>
      </c>
      <c r="O6" s="407">
        <v>2.4317011833190918</v>
      </c>
      <c r="P6" s="407">
        <v>2.6321206092834473</v>
      </c>
      <c r="Q6" s="407">
        <v>1.2085417509078979</v>
      </c>
      <c r="R6" s="407">
        <v>2.4735326766967773</v>
      </c>
      <c r="S6" s="407">
        <v>3.6944153308868408</v>
      </c>
      <c r="T6" s="407">
        <v>2.6029372215270996</v>
      </c>
      <c r="U6" s="407">
        <v>2.844367504119873</v>
      </c>
      <c r="V6" s="407">
        <v>1.7832268476486206</v>
      </c>
      <c r="W6" s="407">
        <v>3.1436889171600342</v>
      </c>
      <c r="X6" s="407">
        <v>2.846630334854126</v>
      </c>
      <c r="Y6" s="407">
        <v>1.3521687984466553</v>
      </c>
      <c r="Z6" s="407">
        <v>2.4881031513214111</v>
      </c>
      <c r="AA6" s="407">
        <v>1.8717443943023682</v>
      </c>
      <c r="AB6" s="407">
        <v>1.9339450597763062</v>
      </c>
      <c r="AC6" s="407">
        <v>2.7274422645568848</v>
      </c>
      <c r="AD6" s="407">
        <v>2.1346414089202881</v>
      </c>
      <c r="AE6" s="38">
        <f>'User Add-in Location'!B12</f>
        <v>0</v>
      </c>
      <c r="AF6" s="38">
        <f>'User Add-in Location'!C12</f>
        <v>0</v>
      </c>
      <c r="AG6" s="407">
        <v>2.1255087852478027</v>
      </c>
      <c r="AH6" s="407">
        <v>1.8400555849075317</v>
      </c>
      <c r="AI6" s="407">
        <v>3.9851129055023193</v>
      </c>
      <c r="AJ6" s="407">
        <v>2.5844948291778564</v>
      </c>
      <c r="AK6" s="407">
        <v>2.3683156967163086</v>
      </c>
      <c r="AL6" s="407">
        <v>1.152624249458313</v>
      </c>
      <c r="AM6" s="407">
        <v>3.6972293853759766</v>
      </c>
      <c r="AN6" s="409">
        <v>2.2663779258728027</v>
      </c>
      <c r="AO6" s="409">
        <v>2.7224321365356445</v>
      </c>
      <c r="AP6" s="409">
        <v>1.7702529430389404</v>
      </c>
      <c r="AQ6" s="409">
        <v>3.7168195247650146</v>
      </c>
      <c r="AR6" s="409">
        <v>2.4144606590270996</v>
      </c>
      <c r="AS6" s="409">
        <v>1.4321908950805664</v>
      </c>
      <c r="AT6" s="409">
        <v>2.4986917972564697</v>
      </c>
      <c r="AU6" s="409">
        <v>2.6357491016387939</v>
      </c>
      <c r="AV6" s="409">
        <v>2.5928783416748047</v>
      </c>
      <c r="AW6" s="409">
        <v>2.0466809272766113</v>
      </c>
      <c r="AX6" s="409">
        <v>1.3033218383789063</v>
      </c>
      <c r="AY6" s="409">
        <v>2.001035213470459</v>
      </c>
      <c r="AZ6" s="409">
        <v>1.8369537591934204</v>
      </c>
      <c r="BA6" s="409">
        <v>4.3455400466918945</v>
      </c>
      <c r="BB6" s="409">
        <v>3.6022429466247559</v>
      </c>
      <c r="BC6" s="409">
        <v>3.2243857383728027</v>
      </c>
      <c r="BD6" s="409">
        <v>2.9894828796386719</v>
      </c>
      <c r="BE6" s="409">
        <v>1.0973029136657715</v>
      </c>
      <c r="BF6" s="407">
        <v>2.2900698184967041</v>
      </c>
      <c r="BG6" s="407">
        <v>4.4365205764770508</v>
      </c>
      <c r="BH6" s="407">
        <v>2.1766111850738525</v>
      </c>
      <c r="BI6" s="407">
        <v>2.9546070098876953</v>
      </c>
      <c r="BJ6" s="407">
        <v>2.5804040431976318</v>
      </c>
      <c r="BK6" s="407">
        <v>4.0026626586914062</v>
      </c>
      <c r="BL6" s="407">
        <v>2.1222472190856934</v>
      </c>
    </row>
    <row r="7" spans="1:64" ht="15.75" x14ac:dyDescent="0.25">
      <c r="A7" s="240" t="s">
        <v>270</v>
      </c>
      <c r="B7" s="245"/>
      <c r="C7" s="404" t="s">
        <v>56</v>
      </c>
      <c r="D7" s="407">
        <v>7.89642333984375</v>
      </c>
      <c r="E7" s="407">
        <v>6.1056385040283203</v>
      </c>
      <c r="F7" s="407">
        <v>7.0700345039367676</v>
      </c>
      <c r="G7" s="407">
        <v>8.3024168014526367</v>
      </c>
      <c r="H7" s="407">
        <v>6.3053059577941895</v>
      </c>
      <c r="I7" s="407">
        <v>7.051023006439209</v>
      </c>
      <c r="J7" s="407">
        <v>6.6880755424499512</v>
      </c>
      <c r="K7" s="407">
        <v>7.1505579948425293</v>
      </c>
      <c r="L7" s="407">
        <v>6.5006742477416992</v>
      </c>
      <c r="M7" s="407">
        <v>7.4718527793884277</v>
      </c>
      <c r="N7" s="407">
        <v>7.7595915794372559</v>
      </c>
      <c r="O7" s="407">
        <v>6.3178472518920898</v>
      </c>
      <c r="P7" s="407">
        <v>8.1611394882202148</v>
      </c>
      <c r="Q7" s="407">
        <v>6.5250816345214844</v>
      </c>
      <c r="R7" s="407">
        <v>7.3011269569396973</v>
      </c>
      <c r="S7" s="407">
        <v>7.6169061660766602</v>
      </c>
      <c r="T7" s="407">
        <v>7.5618462562561035</v>
      </c>
      <c r="U7" s="407">
        <v>7.8429841995239258</v>
      </c>
      <c r="V7" s="407">
        <v>7.435145378112793</v>
      </c>
      <c r="W7" s="407">
        <v>8.3036880493164062</v>
      </c>
      <c r="X7" s="407">
        <v>6.704352855682373</v>
      </c>
      <c r="Y7" s="407">
        <v>6.6714959144592285</v>
      </c>
      <c r="Z7" s="407">
        <v>7.2575383186340332</v>
      </c>
      <c r="AA7" s="407">
        <v>7.1418323516845703</v>
      </c>
      <c r="AB7" s="407">
        <v>8.2030344009399414</v>
      </c>
      <c r="AC7" s="407">
        <v>7.3660273551940918</v>
      </c>
      <c r="AD7" s="407">
        <v>8.052800178527832</v>
      </c>
      <c r="AE7" s="38">
        <f>'User Add-in Location'!B13</f>
        <v>0</v>
      </c>
      <c r="AF7" s="38">
        <f>'User Add-in Location'!C13</f>
        <v>0</v>
      </c>
      <c r="AG7" s="407">
        <v>7.4824051856994629</v>
      </c>
      <c r="AH7" s="407">
        <v>6.2471632957458496</v>
      </c>
      <c r="AI7" s="407">
        <v>7.4539570808410645</v>
      </c>
      <c r="AJ7" s="407">
        <v>6.4180173873901367</v>
      </c>
      <c r="AK7" s="407">
        <v>7.7444195747375488</v>
      </c>
      <c r="AL7" s="407">
        <v>6.6420154571533203</v>
      </c>
      <c r="AM7" s="407">
        <v>8.0205450057983398</v>
      </c>
      <c r="AN7" s="409">
        <v>7.4622287750244141</v>
      </c>
      <c r="AO7" s="409">
        <v>7.5369510650634766</v>
      </c>
      <c r="AP7" s="409">
        <v>8.0916576385498047</v>
      </c>
      <c r="AQ7" s="409">
        <v>7.3135738372802734</v>
      </c>
      <c r="AR7" s="409">
        <v>6.980064868927002</v>
      </c>
      <c r="AS7" s="409">
        <v>6.8242373466491699</v>
      </c>
      <c r="AT7" s="409">
        <v>6.8101391792297363</v>
      </c>
      <c r="AU7" s="409">
        <v>7.4826145172119141</v>
      </c>
      <c r="AV7" s="409">
        <v>7.6946568489074707</v>
      </c>
      <c r="AW7" s="409">
        <v>7.1351180076599121</v>
      </c>
      <c r="AX7" s="409">
        <v>7.3831906318664551</v>
      </c>
      <c r="AY7" s="409">
        <v>7.1050519943237305</v>
      </c>
      <c r="AZ7" s="409">
        <v>6.3058319091796875</v>
      </c>
      <c r="BA7" s="409">
        <v>7.1638240814208984</v>
      </c>
      <c r="BB7" s="409">
        <v>7.9352455139160156</v>
      </c>
      <c r="BC7" s="409">
        <v>8.0423192977905273</v>
      </c>
      <c r="BD7" s="409">
        <v>7.8444795608520508</v>
      </c>
      <c r="BE7" s="409">
        <v>7.1931295394897461</v>
      </c>
      <c r="BF7" s="407">
        <v>7.5840086936950684</v>
      </c>
      <c r="BG7" s="407">
        <v>8.0917911529541016</v>
      </c>
      <c r="BH7" s="407">
        <v>7.3705472946166992</v>
      </c>
      <c r="BI7" s="407">
        <v>6.6825652122497559</v>
      </c>
      <c r="BJ7" s="407">
        <v>7.3652896881103516</v>
      </c>
      <c r="BK7" s="407">
        <v>7.1663203239440918</v>
      </c>
      <c r="BL7" s="407">
        <v>7.1359543800354004</v>
      </c>
    </row>
    <row r="8" spans="1:64" ht="15" x14ac:dyDescent="0.2">
      <c r="A8" s="241"/>
      <c r="B8" s="246"/>
      <c r="C8" s="404" t="s">
        <v>389</v>
      </c>
      <c r="D8" s="407">
        <v>10.89319896697998</v>
      </c>
      <c r="E8" s="407">
        <v>7.6340079307556152</v>
      </c>
      <c r="F8" s="407">
        <v>9.170013427734375</v>
      </c>
      <c r="G8" s="407">
        <v>11.585877418518066</v>
      </c>
      <c r="H8" s="407">
        <v>8.2257490158081055</v>
      </c>
      <c r="I8" s="407">
        <v>9.3868341445922852</v>
      </c>
      <c r="J8" s="407">
        <v>9.3058023452758789</v>
      </c>
      <c r="K8" s="407">
        <v>9.2044649124145508</v>
      </c>
      <c r="L8" s="407">
        <v>7.4889259338378906</v>
      </c>
      <c r="M8" s="407">
        <v>9.912480354309082</v>
      </c>
      <c r="N8" s="407">
        <v>10.641556739807129</v>
      </c>
      <c r="O8" s="407">
        <v>7.6414103507995605</v>
      </c>
      <c r="P8" s="407">
        <v>11.433850288391113</v>
      </c>
      <c r="Q8" s="407">
        <v>8.199162483215332</v>
      </c>
      <c r="R8" s="407">
        <v>9.558445930480957</v>
      </c>
      <c r="S8" s="407">
        <v>10.189511299133301</v>
      </c>
      <c r="T8" s="407">
        <v>9.8425254821777344</v>
      </c>
      <c r="U8" s="407">
        <v>10.69797420501709</v>
      </c>
      <c r="V8" s="407">
        <v>9.6240386962890625</v>
      </c>
      <c r="W8" s="407">
        <v>12.153678894042969</v>
      </c>
      <c r="X8" s="407">
        <v>8.5843915939331055</v>
      </c>
      <c r="Y8" s="407">
        <v>8.7261648178100586</v>
      </c>
      <c r="Z8" s="407">
        <v>9.9254083633422852</v>
      </c>
      <c r="AA8" s="407">
        <v>9.3339424133300781</v>
      </c>
      <c r="AB8" s="407">
        <v>11.4012451171875</v>
      </c>
      <c r="AC8" s="407">
        <v>9.679840087890625</v>
      </c>
      <c r="AD8" s="407">
        <v>10.914325714111328</v>
      </c>
      <c r="AE8" s="38">
        <f>'User Add-in Location'!B14</f>
        <v>0</v>
      </c>
      <c r="AF8" s="38">
        <f>'User Add-in Location'!C14</f>
        <v>0</v>
      </c>
      <c r="AG8" s="407">
        <v>9.2114782333374023</v>
      </c>
      <c r="AH8" s="407">
        <v>7.451848030090332</v>
      </c>
      <c r="AI8" s="407">
        <v>10.94298267364502</v>
      </c>
      <c r="AJ8" s="407">
        <v>8.340667724609375</v>
      </c>
      <c r="AK8" s="407">
        <v>10.119387626647949</v>
      </c>
      <c r="AL8" s="407">
        <v>8.2914752960205078</v>
      </c>
      <c r="AM8" s="407">
        <v>11.139887809753418</v>
      </c>
      <c r="AN8" s="409">
        <v>9.540557861328125</v>
      </c>
      <c r="AO8" s="409">
        <v>10.1600341796875</v>
      </c>
      <c r="AP8" s="409">
        <v>11.311372756958008</v>
      </c>
      <c r="AQ8" s="409">
        <v>9.5863151550292969</v>
      </c>
      <c r="AR8" s="409">
        <v>9.2138757705688477</v>
      </c>
      <c r="AS8" s="409">
        <v>8.8940877914428711</v>
      </c>
      <c r="AT8" s="409">
        <v>8.9154462814331055</v>
      </c>
      <c r="AU8" s="409">
        <v>9.9973554611206055</v>
      </c>
      <c r="AV8" s="409">
        <v>10.452150344848633</v>
      </c>
      <c r="AW8" s="409">
        <v>9.3715057373046875</v>
      </c>
      <c r="AX8" s="409">
        <v>9.7613544464111328</v>
      </c>
      <c r="AY8" s="409">
        <v>9.1673583984375</v>
      </c>
      <c r="AZ8" s="409">
        <v>8.199615478515625</v>
      </c>
      <c r="BA8" s="409">
        <v>9.5007553100585937</v>
      </c>
      <c r="BB8" s="409">
        <v>10.760540008544922</v>
      </c>
      <c r="BC8" s="409">
        <v>11.112085342407227</v>
      </c>
      <c r="BD8" s="409">
        <v>11.052839279174805</v>
      </c>
      <c r="BE8" s="409">
        <v>9.4682798385620117</v>
      </c>
      <c r="BF8" s="407">
        <v>10.111557960510254</v>
      </c>
      <c r="BG8" s="407">
        <v>11.753453254699707</v>
      </c>
      <c r="BH8" s="407">
        <v>9.8191347122192383</v>
      </c>
      <c r="BI8" s="407">
        <v>8.4247493743896484</v>
      </c>
      <c r="BJ8" s="407">
        <v>9.4717321395874023</v>
      </c>
      <c r="BK8" s="407">
        <v>9.4359598159790039</v>
      </c>
      <c r="BL8" s="407">
        <v>8.7314958572387695</v>
      </c>
    </row>
    <row r="9" spans="1:64" ht="15.75" x14ac:dyDescent="0.25">
      <c r="A9" s="240" t="s">
        <v>271</v>
      </c>
      <c r="B9" s="245"/>
      <c r="C9" s="404" t="s">
        <v>390</v>
      </c>
      <c r="D9" s="407">
        <v>12.820269584655762</v>
      </c>
      <c r="E9" s="407">
        <v>7.3872771263122559</v>
      </c>
      <c r="F9" s="407">
        <v>10.247089385986328</v>
      </c>
      <c r="G9" s="407">
        <v>14.66810131072998</v>
      </c>
      <c r="H9" s="407">
        <v>7.3984627723693848</v>
      </c>
      <c r="I9" s="407">
        <v>9.6430063247680664</v>
      </c>
      <c r="J9" s="407">
        <v>7.7853813171386719</v>
      </c>
      <c r="K9" s="407">
        <v>10.669205665588379</v>
      </c>
      <c r="L9" s="407">
        <v>9.6523275375366211</v>
      </c>
      <c r="M9" s="407">
        <v>11.69386100769043</v>
      </c>
      <c r="N9" s="407">
        <v>12.219625473022461</v>
      </c>
      <c r="O9" s="407">
        <v>8.5917139053344727</v>
      </c>
      <c r="P9" s="407">
        <v>13.966006278991699</v>
      </c>
      <c r="Q9" s="407">
        <v>8.5136051177978516</v>
      </c>
      <c r="R9" s="407">
        <v>10.903823852539063</v>
      </c>
      <c r="S9" s="407">
        <v>11.888293266296387</v>
      </c>
      <c r="T9" s="407">
        <v>11.907575607299805</v>
      </c>
      <c r="U9" s="407">
        <v>12.677489280700684</v>
      </c>
      <c r="V9" s="407">
        <v>12.084354400634766</v>
      </c>
      <c r="W9" s="407">
        <v>13.79194450378418</v>
      </c>
      <c r="X9" s="407">
        <v>9.0579042434692383</v>
      </c>
      <c r="Y9" s="407">
        <v>8.5295486450195313</v>
      </c>
      <c r="Z9" s="407">
        <v>9.9903326034545898</v>
      </c>
      <c r="AA9" s="407">
        <v>10.295928001403809</v>
      </c>
      <c r="AB9" s="407">
        <v>14.60428524017334</v>
      </c>
      <c r="AC9" s="407">
        <v>11.082014083862305</v>
      </c>
      <c r="AD9" s="407">
        <v>13.501100540161133</v>
      </c>
      <c r="AE9" s="38">
        <f>'User Add-in Location'!B15</f>
        <v>0</v>
      </c>
      <c r="AF9" s="38">
        <f>'User Add-in Location'!C15</f>
        <v>0</v>
      </c>
      <c r="AG9" s="407">
        <v>11.080647468566895</v>
      </c>
      <c r="AH9" s="407">
        <v>8.5784950256347656</v>
      </c>
      <c r="AI9" s="407">
        <v>9.6555423736572266</v>
      </c>
      <c r="AJ9" s="407">
        <v>7.838137149810791</v>
      </c>
      <c r="AK9" s="407">
        <v>13.377194404602051</v>
      </c>
      <c r="AL9" s="407">
        <v>9.2202568054199219</v>
      </c>
      <c r="AM9" s="407">
        <v>13.630451202392578</v>
      </c>
      <c r="AN9" s="409">
        <v>11.944449424743652</v>
      </c>
      <c r="AO9" s="409">
        <v>11.477286338806152</v>
      </c>
      <c r="AP9" s="409">
        <v>13.786341667175293</v>
      </c>
      <c r="AQ9" s="409">
        <v>11.026881217956543</v>
      </c>
      <c r="AR9" s="409">
        <v>9.483154296875</v>
      </c>
      <c r="AS9" s="409">
        <v>9.1591157913208008</v>
      </c>
      <c r="AT9" s="409">
        <v>8.9994316101074219</v>
      </c>
      <c r="AU9" s="409">
        <v>11.543773651123047</v>
      </c>
      <c r="AV9" s="409">
        <v>12.175820350646973</v>
      </c>
      <c r="AW9" s="409">
        <v>10.140518188476562</v>
      </c>
      <c r="AX9" s="409">
        <v>11.183996200561523</v>
      </c>
      <c r="AY9" s="409">
        <v>10.322514533996582</v>
      </c>
      <c r="AZ9" s="409">
        <v>7.4419040679931641</v>
      </c>
      <c r="BA9" s="409">
        <v>10.185911178588867</v>
      </c>
      <c r="BB9" s="409">
        <v>13.74366569519043</v>
      </c>
      <c r="BC9" s="409">
        <v>13.503007888793945</v>
      </c>
      <c r="BD9" s="409">
        <v>11.972393989562988</v>
      </c>
      <c r="BE9" s="409">
        <v>10.426164627075195</v>
      </c>
      <c r="BF9" s="407">
        <v>12.036825180053711</v>
      </c>
      <c r="BG9" s="407">
        <v>12.806589126586914</v>
      </c>
      <c r="BH9" s="407">
        <v>10.988531112670898</v>
      </c>
      <c r="BI9" s="407">
        <v>9.1415996551513672</v>
      </c>
      <c r="BJ9" s="407">
        <v>11.473381996154785</v>
      </c>
      <c r="BK9" s="407">
        <v>10.289335250854492</v>
      </c>
      <c r="BL9" s="407">
        <v>11.113761901855469</v>
      </c>
    </row>
    <row r="10" spans="1:64" ht="15.75" x14ac:dyDescent="0.25">
      <c r="A10" s="240"/>
      <c r="B10" s="245"/>
      <c r="C10" s="404" t="s">
        <v>125</v>
      </c>
      <c r="D10" s="407">
        <v>2.2347049713134766</v>
      </c>
      <c r="E10" s="407">
        <v>1.8911391496658325</v>
      </c>
      <c r="F10" s="407">
        <v>2.4944982528686523</v>
      </c>
      <c r="G10" s="407">
        <v>2.5679514408111572</v>
      </c>
      <c r="H10" s="407">
        <v>1.9072486162185669</v>
      </c>
      <c r="I10" s="407">
        <v>2.1919076442718506</v>
      </c>
      <c r="J10" s="407">
        <v>1.9860347509384155</v>
      </c>
      <c r="K10" s="407">
        <v>1.542394757270813</v>
      </c>
      <c r="L10" s="407">
        <v>1.5930415391921997</v>
      </c>
      <c r="M10" s="407">
        <v>2.5501842498779297</v>
      </c>
      <c r="N10" s="407">
        <v>2.3253662586212158</v>
      </c>
      <c r="O10" s="407">
        <v>2.3984134197235107</v>
      </c>
      <c r="P10" s="407">
        <v>2.253253698348999</v>
      </c>
      <c r="Q10" s="407">
        <v>2.0014317035675049</v>
      </c>
      <c r="R10" s="407">
        <v>2.1178793907165527</v>
      </c>
      <c r="S10" s="407">
        <v>2.2004923820495605</v>
      </c>
      <c r="T10" s="407">
        <v>1.7315537929534912</v>
      </c>
      <c r="U10" s="407">
        <v>2.0604777336120605</v>
      </c>
      <c r="V10" s="407">
        <v>0.89090746641159058</v>
      </c>
      <c r="W10" s="407">
        <v>2.5979578495025635</v>
      </c>
      <c r="X10" s="407">
        <v>2.2787494659423828</v>
      </c>
      <c r="Y10" s="407">
        <v>2.2429287433624268</v>
      </c>
      <c r="Z10" s="407">
        <v>2.071932315826416</v>
      </c>
      <c r="AA10" s="407">
        <v>2.4966201782226562</v>
      </c>
      <c r="AB10" s="407">
        <v>2.1496965885162354</v>
      </c>
      <c r="AC10" s="407">
        <v>2.0142960548400879</v>
      </c>
      <c r="AD10" s="407">
        <v>1.4116663932800293</v>
      </c>
      <c r="AE10" s="38">
        <f>'User Add-in Location'!B16</f>
        <v>0</v>
      </c>
      <c r="AF10" s="38">
        <f>'User Add-in Location'!C16</f>
        <v>0</v>
      </c>
      <c r="AG10" s="407">
        <v>2.2174642086029053</v>
      </c>
      <c r="AH10" s="407">
        <v>3.004692554473877</v>
      </c>
      <c r="AI10" s="407">
        <v>2.7112116813659668</v>
      </c>
      <c r="AJ10" s="407">
        <v>1.5801948308944702</v>
      </c>
      <c r="AK10" s="407">
        <v>1.9277204275131226</v>
      </c>
      <c r="AL10" s="407">
        <v>2.2324779033660889</v>
      </c>
      <c r="AM10" s="407">
        <v>2.3369383811950684</v>
      </c>
      <c r="AN10" s="409">
        <v>1.8229961395263672</v>
      </c>
      <c r="AO10" s="409">
        <v>2.2316069602966309</v>
      </c>
      <c r="AP10" s="409">
        <v>1.8402926921844482</v>
      </c>
      <c r="AQ10" s="409">
        <v>2.8426282405853271</v>
      </c>
      <c r="AR10" s="409">
        <v>2.1102759838104248</v>
      </c>
      <c r="AS10" s="409">
        <v>2.2657370567321777</v>
      </c>
      <c r="AT10" s="409">
        <v>1.8790868520736694</v>
      </c>
      <c r="AU10" s="409">
        <v>2.3638226985931396</v>
      </c>
      <c r="AV10" s="409">
        <v>2.3001587390899658</v>
      </c>
      <c r="AW10" s="409">
        <v>2.196134090423584</v>
      </c>
      <c r="AX10" s="409">
        <v>1.4344778060913086</v>
      </c>
      <c r="AY10" s="409">
        <v>2.0858547687530518</v>
      </c>
      <c r="AZ10" s="409">
        <v>1.9121967554092407</v>
      </c>
      <c r="BA10" s="409">
        <v>2.7870626449584961</v>
      </c>
      <c r="BB10" s="409">
        <v>2.4306671619415283</v>
      </c>
      <c r="BC10" s="409">
        <v>2.6849215030670166</v>
      </c>
      <c r="BD10" s="409">
        <v>2.3481307029724121</v>
      </c>
      <c r="BE10" s="409">
        <v>1.2696491479873657</v>
      </c>
      <c r="BF10" s="407">
        <v>2.1736602783203125</v>
      </c>
      <c r="BG10" s="407">
        <v>2.7579872608184814</v>
      </c>
      <c r="BH10" s="407">
        <v>2.4120807647705078</v>
      </c>
      <c r="BI10" s="407">
        <v>1.7536003589630127</v>
      </c>
      <c r="BJ10" s="407">
        <v>1.7152050733566284</v>
      </c>
      <c r="BK10" s="407">
        <v>2.5398969650268555</v>
      </c>
      <c r="BL10" s="407">
        <v>0.84556090831756592</v>
      </c>
    </row>
    <row r="11" spans="1:64" ht="15.75" x14ac:dyDescent="0.25">
      <c r="A11" s="240" t="s">
        <v>272</v>
      </c>
      <c r="B11" s="245"/>
      <c r="C11" s="404" t="s">
        <v>126</v>
      </c>
      <c r="D11" s="407">
        <v>3.3534204959869385</v>
      </c>
      <c r="E11" s="407">
        <v>3.6667056083679199</v>
      </c>
      <c r="F11" s="407">
        <v>3.3765463829040527</v>
      </c>
      <c r="G11" s="407">
        <v>3.3182456493377686</v>
      </c>
      <c r="H11" s="407">
        <v>3.1983325481414795</v>
      </c>
      <c r="I11" s="407">
        <v>3.2647478580474854</v>
      </c>
      <c r="J11" s="407">
        <v>3.1428418159484863</v>
      </c>
      <c r="K11" s="407">
        <v>3.1518285274505615</v>
      </c>
      <c r="L11" s="407">
        <v>3.3353447914123535</v>
      </c>
      <c r="M11" s="407">
        <v>3.4449741840362549</v>
      </c>
      <c r="N11" s="407">
        <v>3.4809505939483643</v>
      </c>
      <c r="O11" s="407">
        <v>3.4589469432830811</v>
      </c>
      <c r="P11" s="407">
        <v>3.4858801364898682</v>
      </c>
      <c r="Q11" s="407">
        <v>3.2480344772338867</v>
      </c>
      <c r="R11" s="407">
        <v>3.2036738395690918</v>
      </c>
      <c r="S11" s="407">
        <v>3.299919605255127</v>
      </c>
      <c r="T11" s="407">
        <v>3.4536032676696777</v>
      </c>
      <c r="U11" s="407">
        <v>3.435316801071167</v>
      </c>
      <c r="V11" s="407">
        <v>3.208369255065918</v>
      </c>
      <c r="W11" s="407">
        <v>3.413444995880127</v>
      </c>
      <c r="X11" s="407">
        <v>3.2976748943328857</v>
      </c>
      <c r="Y11" s="407">
        <v>3.1131377220153809</v>
      </c>
      <c r="Z11" s="407">
        <v>3.2419602870941162</v>
      </c>
      <c r="AA11" s="407">
        <v>3.2051773071289062</v>
      </c>
      <c r="AB11" s="407">
        <v>3.4468042850494385</v>
      </c>
      <c r="AC11" s="407">
        <v>3.3566033840179443</v>
      </c>
      <c r="AD11" s="407">
        <v>3.4379146099090576</v>
      </c>
      <c r="AE11" s="38">
        <f>'User Add-in Location'!B17</f>
        <v>0</v>
      </c>
      <c r="AF11" s="38">
        <f>'User Add-in Location'!C17</f>
        <v>0</v>
      </c>
      <c r="AG11" s="407">
        <v>3.276540994644165</v>
      </c>
      <c r="AH11" s="407">
        <v>3.2421572208404541</v>
      </c>
      <c r="AI11" s="407">
        <v>3.1779880523681641</v>
      </c>
      <c r="AJ11" s="407">
        <v>3.0088458061218262</v>
      </c>
      <c r="AK11" s="407">
        <v>3.6980717182159424</v>
      </c>
      <c r="AL11" s="407">
        <v>3.1393706798553467</v>
      </c>
      <c r="AM11" s="407">
        <v>3.3518474102020264</v>
      </c>
      <c r="AN11" s="409">
        <v>3.2671494483947754</v>
      </c>
      <c r="AO11" s="409">
        <v>3.2505888938903809</v>
      </c>
      <c r="AP11" s="409">
        <v>3.1859300136566162</v>
      </c>
      <c r="AQ11" s="409">
        <v>3.3507316112518311</v>
      </c>
      <c r="AR11" s="409">
        <v>3.1910297870635986</v>
      </c>
      <c r="AS11" s="409">
        <v>3.1736679077148437</v>
      </c>
      <c r="AT11" s="409">
        <v>3.1855275630950928</v>
      </c>
      <c r="AU11" s="409">
        <v>3.2271194458007813</v>
      </c>
      <c r="AV11" s="409">
        <v>3.3520009517669678</v>
      </c>
      <c r="AW11" s="409">
        <v>3.2458381652832031</v>
      </c>
      <c r="AX11" s="409">
        <v>3.1399135589599609</v>
      </c>
      <c r="AY11" s="409">
        <v>3.3292136192321777</v>
      </c>
      <c r="AZ11" s="409">
        <v>3.2031583786010742</v>
      </c>
      <c r="BA11" s="409">
        <v>3.2556142807006836</v>
      </c>
      <c r="BB11" s="409">
        <v>3.2616574764251709</v>
      </c>
      <c r="BC11" s="409">
        <v>3.2759120464324951</v>
      </c>
      <c r="BD11" s="409">
        <v>3.1253747940063477</v>
      </c>
      <c r="BE11" s="409">
        <v>3.0710442066192627</v>
      </c>
      <c r="BF11" s="407">
        <v>3.3369395732879639</v>
      </c>
      <c r="BG11" s="407">
        <v>3.3335411548614502</v>
      </c>
      <c r="BH11" s="407">
        <v>3.0715377330780029</v>
      </c>
      <c r="BI11" s="407">
        <v>3.2275893688201904</v>
      </c>
      <c r="BJ11" s="407">
        <v>3.4304540157318115</v>
      </c>
      <c r="BK11" s="407">
        <v>3.2645101547241211</v>
      </c>
      <c r="BL11" s="407">
        <v>3.4813811779022217</v>
      </c>
    </row>
    <row r="12" spans="1:64" x14ac:dyDescent="0.2">
      <c r="A12" s="238"/>
      <c r="C12" s="404" t="s">
        <v>127</v>
      </c>
      <c r="D12" s="407">
        <v>3.0873510837554932</v>
      </c>
      <c r="E12" s="407">
        <v>1.5651297569274902</v>
      </c>
      <c r="F12" s="407">
        <v>2.9491696357727051</v>
      </c>
      <c r="G12" s="407">
        <v>3.2417669296264648</v>
      </c>
      <c r="H12" s="407">
        <v>2.3301281929016113</v>
      </c>
      <c r="I12" s="407">
        <v>2.5189628601074219</v>
      </c>
      <c r="J12" s="407">
        <v>1.9936470985412598</v>
      </c>
      <c r="K12" s="407">
        <v>2.7844002246856689</v>
      </c>
      <c r="L12" s="407">
        <v>1.4964152574539185</v>
      </c>
      <c r="M12" s="407">
        <v>3.1298520565032959</v>
      </c>
      <c r="N12" s="407">
        <v>3.4702796936035156</v>
      </c>
      <c r="O12" s="407">
        <v>0</v>
      </c>
      <c r="P12" s="407">
        <v>3.5840644836425781</v>
      </c>
      <c r="Q12" s="407">
        <v>2.7270407676696777</v>
      </c>
      <c r="R12" s="407">
        <v>3.2768065929412842</v>
      </c>
      <c r="S12" s="407">
        <v>2.7741620540618896</v>
      </c>
      <c r="T12" s="407">
        <v>3.3818135261535645</v>
      </c>
      <c r="U12" s="407">
        <v>3.2195391654968262</v>
      </c>
      <c r="V12" s="407">
        <v>3.42423415184021</v>
      </c>
      <c r="W12" s="407">
        <v>2.5582036972045898</v>
      </c>
      <c r="X12" s="407">
        <v>3.5783467292785645</v>
      </c>
      <c r="Y12" s="407">
        <v>2.6384725570678711</v>
      </c>
      <c r="Z12" s="407">
        <v>3.2892708778381348</v>
      </c>
      <c r="AA12" s="407">
        <v>3.3181791305541992</v>
      </c>
      <c r="AB12" s="407">
        <v>3.0358765125274658</v>
      </c>
      <c r="AC12" s="407">
        <v>3.7329781055450439</v>
      </c>
      <c r="AD12" s="407">
        <v>3.782907247543335</v>
      </c>
      <c r="AE12" s="38">
        <f>'User Add-in Location'!B18</f>
        <v>0</v>
      </c>
      <c r="AF12" s="38">
        <f>'User Add-in Location'!C18</f>
        <v>0</v>
      </c>
      <c r="AG12" s="407">
        <v>3.0912656784057617</v>
      </c>
      <c r="AH12" s="407">
        <v>2.9693682193756104</v>
      </c>
      <c r="AI12" s="407">
        <v>3.2237274646759033</v>
      </c>
      <c r="AJ12" s="407">
        <v>3.2278556823730469</v>
      </c>
      <c r="AK12" s="407">
        <v>3.0435504913330078</v>
      </c>
      <c r="AL12" s="407">
        <v>2.6689376831054687</v>
      </c>
      <c r="AM12" s="407">
        <v>2.9409070014953613</v>
      </c>
      <c r="AN12" s="409">
        <v>1.7949380874633789</v>
      </c>
      <c r="AO12" s="409">
        <v>3.2542703151702881</v>
      </c>
      <c r="AP12" s="409">
        <v>3.2267117500305176</v>
      </c>
      <c r="AQ12" s="409">
        <v>3.5011289119720459</v>
      </c>
      <c r="AR12" s="409">
        <v>3.1785647869110107</v>
      </c>
      <c r="AS12" s="409">
        <v>2.5894463062286377</v>
      </c>
      <c r="AT12" s="409">
        <v>3.1785049438476562</v>
      </c>
      <c r="AU12" s="409">
        <v>2.8338639736175537</v>
      </c>
      <c r="AV12" s="409">
        <v>3.2333979606628418</v>
      </c>
      <c r="AW12" s="409">
        <v>3.1035232543945313</v>
      </c>
      <c r="AX12" s="409">
        <v>3.1737391948699951</v>
      </c>
      <c r="AY12" s="409">
        <v>3.1194643974304199</v>
      </c>
      <c r="AZ12" s="409">
        <v>2.3301281929016113</v>
      </c>
      <c r="BA12" s="409">
        <v>3.4337060451507568</v>
      </c>
      <c r="BB12" s="409">
        <v>2.4380121231079102</v>
      </c>
      <c r="BC12" s="409">
        <v>2.8767211437225342</v>
      </c>
      <c r="BD12" s="409">
        <v>3.2916274070739746</v>
      </c>
      <c r="BE12" s="409">
        <v>2.9234607219696045</v>
      </c>
      <c r="BF12" s="407">
        <v>3.2177243232727051</v>
      </c>
      <c r="BG12" s="407">
        <v>3.3958890438079834</v>
      </c>
      <c r="BH12" s="407">
        <v>3.3907980918884277</v>
      </c>
      <c r="BI12" s="407">
        <v>3.4831132888793945</v>
      </c>
      <c r="BJ12" s="407">
        <v>2.8476934432983398</v>
      </c>
      <c r="BK12" s="407">
        <v>3.3248152732849121</v>
      </c>
      <c r="BL12" s="407">
        <v>2.4831387996673584</v>
      </c>
    </row>
    <row r="13" spans="1:64" x14ac:dyDescent="0.2">
      <c r="A13" s="238"/>
      <c r="C13" s="404" t="s">
        <v>391</v>
      </c>
      <c r="D13" s="407">
        <v>3.3029532432556152</v>
      </c>
      <c r="E13" s="407">
        <v>2.9686794281005859</v>
      </c>
      <c r="F13" s="407">
        <v>3.2380983829498291</v>
      </c>
      <c r="G13" s="407">
        <v>3.3718812465667725</v>
      </c>
      <c r="H13" s="407">
        <v>2.8320331573486328</v>
      </c>
      <c r="I13" s="407">
        <v>3.1775212287902832</v>
      </c>
      <c r="J13" s="407">
        <v>2.2095754146575928</v>
      </c>
      <c r="K13" s="407">
        <v>2.3563022613525391</v>
      </c>
      <c r="L13" s="407">
        <v>0</v>
      </c>
      <c r="M13" s="407">
        <v>3.0681779384613037</v>
      </c>
      <c r="N13" s="407">
        <v>2.0516588687896729</v>
      </c>
      <c r="O13" s="407">
        <v>0</v>
      </c>
      <c r="P13" s="407">
        <v>2.9433770179748535</v>
      </c>
      <c r="Q13" s="407">
        <v>2.8229737281799316</v>
      </c>
      <c r="R13" s="407">
        <v>3.4313421249389648</v>
      </c>
      <c r="S13" s="407">
        <v>2.7095823287963867</v>
      </c>
      <c r="T13" s="407">
        <v>3.0618972778320312</v>
      </c>
      <c r="U13" s="407">
        <v>2.6693005561828613</v>
      </c>
      <c r="V13" s="407">
        <v>2.5345089435577393</v>
      </c>
      <c r="W13" s="407">
        <v>2.8248996734619141</v>
      </c>
      <c r="X13" s="407">
        <v>2.8150207996368408</v>
      </c>
      <c r="Y13" s="407">
        <v>2.4502899646759033</v>
      </c>
      <c r="Z13" s="407">
        <v>2.8532009124755859</v>
      </c>
      <c r="AA13" s="407">
        <v>3.0147209167480469</v>
      </c>
      <c r="AB13" s="407">
        <v>2.7051279544830322</v>
      </c>
      <c r="AC13" s="407">
        <v>3.044853687286377</v>
      </c>
      <c r="AD13" s="407">
        <v>3.7295713424682617</v>
      </c>
      <c r="AE13" s="38">
        <f>'User Add-in Location'!B19</f>
        <v>0</v>
      </c>
      <c r="AF13" s="38">
        <f>'User Add-in Location'!C19</f>
        <v>0</v>
      </c>
      <c r="AG13" s="407">
        <v>3.236788272857666</v>
      </c>
      <c r="AH13" s="407">
        <v>3.1395628452301025</v>
      </c>
      <c r="AI13" s="407">
        <v>2.9746043682098389</v>
      </c>
      <c r="AJ13" s="407">
        <v>2.7273516654968262</v>
      </c>
      <c r="AK13" s="407">
        <v>3.500687837600708</v>
      </c>
      <c r="AL13" s="407">
        <v>2.7830886840820313</v>
      </c>
      <c r="AM13" s="407">
        <v>2.9141438007354736</v>
      </c>
      <c r="AN13" s="409">
        <v>4.3304705619812012</v>
      </c>
      <c r="AO13" s="409">
        <v>2.869875431060791</v>
      </c>
      <c r="AP13" s="409">
        <v>3.3515586853027344</v>
      </c>
      <c r="AQ13" s="409">
        <v>3.1349525451660156</v>
      </c>
      <c r="AR13" s="409">
        <v>2.8318259716033936</v>
      </c>
      <c r="AS13" s="409">
        <v>2.5279560089111328</v>
      </c>
      <c r="AT13" s="409">
        <v>2.8035902976989746</v>
      </c>
      <c r="AU13" s="409">
        <v>2.8664278984069824</v>
      </c>
      <c r="AV13" s="409">
        <v>2.6460678577423096</v>
      </c>
      <c r="AW13" s="409">
        <v>2.7946746349334717</v>
      </c>
      <c r="AX13" s="409">
        <v>2.989755392074585</v>
      </c>
      <c r="AY13" s="409">
        <v>3.1023526191711426</v>
      </c>
      <c r="AZ13" s="409">
        <v>2.8320331573486328</v>
      </c>
      <c r="BA13" s="409">
        <v>3.0179357528686523</v>
      </c>
      <c r="BB13" s="409">
        <v>3.037738561630249</v>
      </c>
      <c r="BC13" s="409">
        <v>2.8401932716369629</v>
      </c>
      <c r="BD13" s="409">
        <v>2.6569859981536865</v>
      </c>
      <c r="BE13" s="409">
        <v>2.9080431461334229</v>
      </c>
      <c r="BF13" s="407">
        <v>3.3981180191040039</v>
      </c>
      <c r="BG13" s="407">
        <v>3.0228612422943115</v>
      </c>
      <c r="BH13" s="407">
        <v>2.5917048454284668</v>
      </c>
      <c r="BI13" s="407">
        <v>2.9479920864105225</v>
      </c>
      <c r="BJ13" s="407">
        <v>2.8299658298492432</v>
      </c>
      <c r="BK13" s="407">
        <v>2.5420622825622559</v>
      </c>
      <c r="BL13" s="407">
        <v>2.4505643844604492</v>
      </c>
    </row>
    <row r="14" spans="1:64" x14ac:dyDescent="0.2">
      <c r="A14" s="238"/>
      <c r="C14" s="404" t="s">
        <v>392</v>
      </c>
      <c r="D14" s="407">
        <v>0</v>
      </c>
      <c r="E14" s="407">
        <v>0</v>
      </c>
      <c r="F14" s="407">
        <v>3.1073329448699951</v>
      </c>
      <c r="G14" s="407">
        <v>2.890967845916748</v>
      </c>
      <c r="H14" s="407">
        <v>2.9137487411499023</v>
      </c>
      <c r="I14" s="407">
        <v>3.0769846439361572</v>
      </c>
      <c r="J14" s="407">
        <v>2.8365225791931152</v>
      </c>
      <c r="K14" s="407">
        <v>2.3607730865478516</v>
      </c>
      <c r="L14" s="407">
        <v>0</v>
      </c>
      <c r="M14" s="407">
        <v>2.7283613681793213</v>
      </c>
      <c r="N14" s="407">
        <v>2.5293161869049072</v>
      </c>
      <c r="O14" s="407">
        <v>0</v>
      </c>
      <c r="P14" s="407">
        <v>0</v>
      </c>
      <c r="Q14" s="407">
        <v>2.6859674453735352</v>
      </c>
      <c r="R14" s="407">
        <v>2.9844686985015869</v>
      </c>
      <c r="S14" s="407">
        <v>3.0178139209747314</v>
      </c>
      <c r="T14" s="407">
        <v>3.1180574893951416</v>
      </c>
      <c r="U14" s="407">
        <v>3.0809915065765381</v>
      </c>
      <c r="V14" s="407">
        <v>0</v>
      </c>
      <c r="W14" s="407">
        <v>0</v>
      </c>
      <c r="X14" s="407">
        <v>1.8621339797973633</v>
      </c>
      <c r="Y14" s="407">
        <v>0</v>
      </c>
      <c r="Z14" s="407">
        <v>2.515282154083252</v>
      </c>
      <c r="AA14" s="407">
        <v>2.7263557910919189</v>
      </c>
      <c r="AB14" s="407">
        <v>3.0752713680267334</v>
      </c>
      <c r="AC14" s="407">
        <v>3.0921318531036377</v>
      </c>
      <c r="AD14" s="407">
        <v>0</v>
      </c>
      <c r="AE14" s="38">
        <f>'User Add-in Location'!B20</f>
        <v>0</v>
      </c>
      <c r="AF14" s="38">
        <f>'User Add-in Location'!C20</f>
        <v>0</v>
      </c>
      <c r="AG14" s="407">
        <v>0</v>
      </c>
      <c r="AH14" s="407">
        <v>0</v>
      </c>
      <c r="AI14" s="407">
        <v>0</v>
      </c>
      <c r="AJ14" s="407">
        <v>2.6976773738861084</v>
      </c>
      <c r="AK14" s="407">
        <v>0</v>
      </c>
      <c r="AL14" s="407">
        <v>2.9966952800750732</v>
      </c>
      <c r="AM14" s="407">
        <v>2.9699878692626953</v>
      </c>
      <c r="AN14" s="409">
        <v>0</v>
      </c>
      <c r="AO14" s="409">
        <v>2.9440202713012695</v>
      </c>
      <c r="AP14" s="409">
        <v>3.2667768001556396</v>
      </c>
      <c r="AQ14" s="409">
        <v>3.0179979801177979</v>
      </c>
      <c r="AR14" s="409">
        <v>2.9757993221282959</v>
      </c>
      <c r="AS14" s="409">
        <v>2.9052150249481201</v>
      </c>
      <c r="AT14" s="409">
        <v>2.7187700271606445</v>
      </c>
      <c r="AU14" s="409">
        <v>2.957005500793457</v>
      </c>
      <c r="AV14" s="409">
        <v>2.6939756870269775</v>
      </c>
      <c r="AW14" s="409">
        <v>2.8742568492889404</v>
      </c>
      <c r="AX14" s="409">
        <v>3.0295531749725342</v>
      </c>
      <c r="AY14" s="409">
        <v>3.1061444282531738</v>
      </c>
      <c r="AZ14" s="409">
        <v>2.9137487411499023</v>
      </c>
      <c r="BA14" s="409">
        <v>2.8220045566558838</v>
      </c>
      <c r="BB14" s="409">
        <v>2.9454877376556396</v>
      </c>
      <c r="BC14" s="409">
        <v>0</v>
      </c>
      <c r="BD14" s="409">
        <v>3.0380127429962158</v>
      </c>
      <c r="BE14" s="409">
        <v>2.7687115669250488</v>
      </c>
      <c r="BF14" s="407">
        <v>3.221268892288208</v>
      </c>
      <c r="BG14" s="407">
        <v>0</v>
      </c>
      <c r="BH14" s="407">
        <v>0</v>
      </c>
      <c r="BI14" s="407">
        <v>3.1088669300079346</v>
      </c>
      <c r="BJ14" s="407">
        <v>2.8221135139465332</v>
      </c>
      <c r="BK14" s="407">
        <v>2.7233498096466064</v>
      </c>
      <c r="BL14" s="407">
        <v>0</v>
      </c>
    </row>
    <row r="15" spans="1:64" x14ac:dyDescent="0.2">
      <c r="A15" s="238"/>
      <c r="C15" s="404" t="s">
        <v>393</v>
      </c>
      <c r="D15" s="407">
        <v>1.8561393022537231</v>
      </c>
      <c r="E15" s="407">
        <v>0</v>
      </c>
      <c r="F15" s="407">
        <v>1.6455048322677612</v>
      </c>
      <c r="G15" s="407">
        <v>1.6893712282180786</v>
      </c>
      <c r="H15" s="407">
        <v>1.6214407682418823</v>
      </c>
      <c r="I15" s="407">
        <v>1.9037365913391113</v>
      </c>
      <c r="J15" s="407">
        <v>1.7024662494659424</v>
      </c>
      <c r="K15" s="407">
        <v>1.3916535377502441</v>
      </c>
      <c r="L15" s="407">
        <v>1.6887762546539307</v>
      </c>
      <c r="M15" s="407">
        <v>1.8862996101379395</v>
      </c>
      <c r="N15" s="407">
        <v>1.7561553716659546</v>
      </c>
      <c r="O15" s="407">
        <v>0</v>
      </c>
      <c r="P15" s="407">
        <v>1.8393107652664185</v>
      </c>
      <c r="Q15" s="407">
        <v>1.656528115272522</v>
      </c>
      <c r="R15" s="407">
        <v>1.7570312023162842</v>
      </c>
      <c r="S15" s="407">
        <v>1.7930729389190674</v>
      </c>
      <c r="T15" s="407">
        <v>0</v>
      </c>
      <c r="U15" s="407">
        <v>1.8323541879653931</v>
      </c>
      <c r="V15" s="407">
        <v>0</v>
      </c>
      <c r="W15" s="407">
        <v>1.8590364456176758</v>
      </c>
      <c r="X15" s="407">
        <v>1.5166918039321899</v>
      </c>
      <c r="Y15" s="407">
        <v>1.6950869560241699</v>
      </c>
      <c r="Z15" s="407">
        <v>1.5950270891189575</v>
      </c>
      <c r="AA15" s="407">
        <v>1.7859506607055664</v>
      </c>
      <c r="AB15" s="407">
        <v>1.7951072454452515</v>
      </c>
      <c r="AC15" s="407">
        <v>1.9436548948287964</v>
      </c>
      <c r="AD15" s="407">
        <v>1.8337991237640381</v>
      </c>
      <c r="AE15" s="38">
        <f>'User Add-in Location'!B21</f>
        <v>0</v>
      </c>
      <c r="AF15" s="38">
        <f>'User Add-in Location'!C21</f>
        <v>0</v>
      </c>
      <c r="AG15" s="407">
        <v>1.7464628219604492</v>
      </c>
      <c r="AH15" s="407">
        <v>1.7941426038742065</v>
      </c>
      <c r="AI15" s="407">
        <v>1.7411890029907227</v>
      </c>
      <c r="AJ15" s="407">
        <v>1.6392419338226318</v>
      </c>
      <c r="AK15" s="407">
        <v>1.9585371017456055</v>
      </c>
      <c r="AL15" s="407">
        <v>1.7895668745040894</v>
      </c>
      <c r="AM15" s="407">
        <v>1.7432410717010498</v>
      </c>
      <c r="AN15" s="409">
        <v>2.1041820049285889</v>
      </c>
      <c r="AO15" s="409">
        <v>1.875829815864563</v>
      </c>
      <c r="AP15" s="409">
        <v>1.8917605876922607</v>
      </c>
      <c r="AQ15" s="409">
        <v>1.7524104118347168</v>
      </c>
      <c r="AR15" s="409">
        <v>1.655768871307373</v>
      </c>
      <c r="AS15" s="409">
        <v>1.7240200042724609</v>
      </c>
      <c r="AT15" s="409">
        <v>1.6412491798400879</v>
      </c>
      <c r="AU15" s="409">
        <v>1.7263013124465942</v>
      </c>
      <c r="AV15" s="409">
        <v>1.8296234607696533</v>
      </c>
      <c r="AW15" s="409">
        <v>1.7189390659332275</v>
      </c>
      <c r="AX15" s="409">
        <v>1.6183633804321289</v>
      </c>
      <c r="AY15" s="409">
        <v>1.809542179107666</v>
      </c>
      <c r="AZ15" s="409">
        <v>1.6214407682418823</v>
      </c>
      <c r="BA15" s="409">
        <v>1.688678503036499</v>
      </c>
      <c r="BB15" s="409">
        <v>1.66773521900177</v>
      </c>
      <c r="BC15" s="409">
        <v>0</v>
      </c>
      <c r="BD15" s="409">
        <v>1.9306073188781738</v>
      </c>
      <c r="BE15" s="409">
        <v>1.5457806587219238</v>
      </c>
      <c r="BF15" s="407">
        <v>1.8751152753829956</v>
      </c>
      <c r="BG15" s="407">
        <v>1.7902227640151978</v>
      </c>
      <c r="BH15" s="407">
        <v>1.8025295734405518</v>
      </c>
      <c r="BI15" s="407">
        <v>1.824433445930481</v>
      </c>
      <c r="BJ15" s="407">
        <v>0</v>
      </c>
      <c r="BK15" s="407">
        <v>1.6113697290420532</v>
      </c>
      <c r="BL15" s="407">
        <v>1.9553004503250122</v>
      </c>
    </row>
    <row r="16" spans="1:64" x14ac:dyDescent="0.2">
      <c r="A16" s="238"/>
      <c r="C16" s="404" t="s">
        <v>57</v>
      </c>
      <c r="D16" s="407">
        <v>5.8458261489868164</v>
      </c>
      <c r="E16" s="407">
        <v>6.1866798400878906</v>
      </c>
      <c r="F16" s="407">
        <v>5.3119440078735352</v>
      </c>
      <c r="G16" s="407">
        <v>6.066288948059082</v>
      </c>
      <c r="H16" s="407">
        <v>4.9960136413574219</v>
      </c>
      <c r="I16" s="407">
        <v>4.8681735992431641</v>
      </c>
      <c r="J16" s="407">
        <v>4.1183762550354004</v>
      </c>
      <c r="K16" s="407">
        <v>4.5404834747314453</v>
      </c>
      <c r="L16" s="407">
        <v>3.5227208137512207</v>
      </c>
      <c r="M16" s="407">
        <v>5.4694910049438477</v>
      </c>
      <c r="N16" s="407">
        <v>4.9580674171447754</v>
      </c>
      <c r="O16" s="407">
        <v>6.9187078475952148</v>
      </c>
      <c r="P16" s="407">
        <v>6.8249359130859375</v>
      </c>
      <c r="Q16" s="407">
        <v>4.6864728927612305</v>
      </c>
      <c r="R16" s="407">
        <v>5.9077835083007813</v>
      </c>
      <c r="S16" s="407">
        <v>6.0554094314575195</v>
      </c>
      <c r="T16" s="407">
        <v>5.5720763206481934</v>
      </c>
      <c r="U16" s="407">
        <v>5.8288803100585937</v>
      </c>
      <c r="V16" s="407">
        <v>5.7762160301208496</v>
      </c>
      <c r="W16" s="407">
        <v>6.483431339263916</v>
      </c>
      <c r="X16" s="407">
        <v>4.7878665924072266</v>
      </c>
      <c r="Y16" s="407">
        <v>4.1897373199462891</v>
      </c>
      <c r="Z16" s="407">
        <v>5.0556516647338867</v>
      </c>
      <c r="AA16" s="407">
        <v>4.6773896217346191</v>
      </c>
      <c r="AB16" s="407">
        <v>6.4870748519897461</v>
      </c>
      <c r="AC16" s="407">
        <v>5.5066776275634766</v>
      </c>
      <c r="AD16" s="407">
        <v>6.8617110252380371</v>
      </c>
      <c r="AE16" s="38">
        <f>'User Add-in Location'!B22</f>
        <v>0</v>
      </c>
      <c r="AF16" s="38">
        <f>'User Add-in Location'!C22</f>
        <v>0</v>
      </c>
      <c r="AG16" s="407">
        <v>5.9468231201171875</v>
      </c>
      <c r="AH16" s="407">
        <v>5.4353737831115723</v>
      </c>
      <c r="AI16" s="407">
        <v>4.6163172721862793</v>
      </c>
      <c r="AJ16" s="407">
        <v>4.2405800819396973</v>
      </c>
      <c r="AK16" s="407">
        <v>7.2332239151000977</v>
      </c>
      <c r="AL16" s="407">
        <v>4.5740537643432617</v>
      </c>
      <c r="AM16" s="407">
        <v>5.6609640121459961</v>
      </c>
      <c r="AN16" s="409">
        <v>6.1321744918823242</v>
      </c>
      <c r="AO16" s="409">
        <v>5.5723104476928711</v>
      </c>
      <c r="AP16" s="409">
        <v>6.0858154296875</v>
      </c>
      <c r="AQ16" s="409">
        <v>5.110015869140625</v>
      </c>
      <c r="AR16" s="409">
        <v>5.0269765853881836</v>
      </c>
      <c r="AS16" s="409">
        <v>4.5106186866760254</v>
      </c>
      <c r="AT16" s="409">
        <v>4.6778593063354492</v>
      </c>
      <c r="AU16" s="409">
        <v>5.3197078704833984</v>
      </c>
      <c r="AV16" s="409">
        <v>5.4474577903747559</v>
      </c>
      <c r="AW16" s="409">
        <v>5.2058491706848145</v>
      </c>
      <c r="AX16" s="409">
        <v>5.1224656105041504</v>
      </c>
      <c r="AY16" s="409">
        <v>5.4134464263916016</v>
      </c>
      <c r="AZ16" s="409">
        <v>5.0342235565185547</v>
      </c>
      <c r="BA16" s="409">
        <v>5.0935578346252441</v>
      </c>
      <c r="BB16" s="409">
        <v>5.9384927749633789</v>
      </c>
      <c r="BC16" s="409">
        <v>6.4903883934020996</v>
      </c>
      <c r="BD16" s="409">
        <v>5.5797772407531738</v>
      </c>
      <c r="BE16" s="409">
        <v>4.7450227737426758</v>
      </c>
      <c r="BF16" s="407">
        <v>6.181757926940918</v>
      </c>
      <c r="BG16" s="407">
        <v>6.2826981544494629</v>
      </c>
      <c r="BH16" s="407">
        <v>5.0794939994812012</v>
      </c>
      <c r="BI16" s="407">
        <v>5.0370526313781738</v>
      </c>
      <c r="BJ16" s="407">
        <v>6.6744842529296875</v>
      </c>
      <c r="BK16" s="407">
        <v>5.8328299522399902</v>
      </c>
      <c r="BL16" s="407">
        <v>5.6322650909423828</v>
      </c>
    </row>
    <row r="17" spans="1:64" x14ac:dyDescent="0.2">
      <c r="A17" s="238"/>
      <c r="C17" s="404" t="s">
        <v>394</v>
      </c>
      <c r="D17" s="407">
        <v>15.973113059997559</v>
      </c>
      <c r="E17" s="407">
        <v>13.393263816833496</v>
      </c>
      <c r="F17" s="407">
        <v>13.661741256713867</v>
      </c>
      <c r="G17" s="407">
        <v>17.164703369140625</v>
      </c>
      <c r="H17" s="407">
        <v>11.86439323425293</v>
      </c>
      <c r="I17" s="407">
        <v>14.97709846496582</v>
      </c>
      <c r="J17" s="407">
        <v>11.160025596618652</v>
      </c>
      <c r="K17" s="407">
        <v>14.784741401672363</v>
      </c>
      <c r="L17" s="407">
        <v>12.435486793518066</v>
      </c>
      <c r="M17" s="407">
        <v>14.43109130859375</v>
      </c>
      <c r="N17" s="407">
        <v>15.113290786743164</v>
      </c>
      <c r="O17" s="407">
        <v>14.364054679870605</v>
      </c>
      <c r="P17" s="407">
        <v>15.790250778198242</v>
      </c>
      <c r="Q17" s="407">
        <v>14.553500175476074</v>
      </c>
      <c r="R17" s="407">
        <v>16.768032073974609</v>
      </c>
      <c r="S17" s="407">
        <v>17.517080307006836</v>
      </c>
      <c r="T17" s="407">
        <v>17.034393310546875</v>
      </c>
      <c r="U17" s="407">
        <v>16.502115249633789</v>
      </c>
      <c r="V17" s="407">
        <v>15.489014625549316</v>
      </c>
      <c r="W17" s="407">
        <v>15.072673797607422</v>
      </c>
      <c r="X17" s="407">
        <v>14.384554862976074</v>
      </c>
      <c r="Y17" s="407">
        <v>12.866336822509766</v>
      </c>
      <c r="Z17" s="407">
        <v>15.741476058959961</v>
      </c>
      <c r="AA17" s="407">
        <v>15.594871520996094</v>
      </c>
      <c r="AB17" s="407">
        <v>16.765504837036133</v>
      </c>
      <c r="AC17" s="407">
        <v>15.521662712097168</v>
      </c>
      <c r="AD17" s="407">
        <v>16.404932022094727</v>
      </c>
      <c r="AE17" s="38">
        <f>'User Add-in Location'!B23</f>
        <v>0</v>
      </c>
      <c r="AF17" s="38">
        <f>'User Add-in Location'!C23</f>
        <v>0</v>
      </c>
      <c r="AG17" s="407">
        <v>17.42411994934082</v>
      </c>
      <c r="AH17" s="407">
        <v>13.091983795166016</v>
      </c>
      <c r="AI17" s="407">
        <v>12.727972984313965</v>
      </c>
      <c r="AJ17" s="407">
        <v>11.496495246887207</v>
      </c>
      <c r="AK17" s="407">
        <v>15.530264854431152</v>
      </c>
      <c r="AL17" s="407">
        <v>12.115360260009766</v>
      </c>
      <c r="AM17" s="407">
        <v>15.535975456237793</v>
      </c>
      <c r="AN17" s="409">
        <v>17.111490249633789</v>
      </c>
      <c r="AO17" s="409">
        <v>15.82471752166748</v>
      </c>
      <c r="AP17" s="409">
        <v>15.677122116088867</v>
      </c>
      <c r="AQ17" s="409">
        <v>15.238935470581055</v>
      </c>
      <c r="AR17" s="409">
        <v>14.546686172485352</v>
      </c>
      <c r="AS17" s="409">
        <v>12.376419067382812</v>
      </c>
      <c r="AT17" s="409">
        <v>13.410333633422852</v>
      </c>
      <c r="AU17" s="409">
        <v>15.252147674560547</v>
      </c>
      <c r="AV17" s="409">
        <v>14.998880386352539</v>
      </c>
      <c r="AW17" s="409">
        <v>15.731701850891113</v>
      </c>
      <c r="AX17" s="409">
        <v>15.188411712646484</v>
      </c>
      <c r="AY17" s="409">
        <v>14.341322898864746</v>
      </c>
      <c r="AZ17" s="409">
        <v>11.949678421020508</v>
      </c>
      <c r="BA17" s="409">
        <v>13.636434555053711</v>
      </c>
      <c r="BB17" s="409">
        <v>15.823163032531738</v>
      </c>
      <c r="BC17" s="409">
        <v>17.210933685302734</v>
      </c>
      <c r="BD17" s="409">
        <v>14.379571914672852</v>
      </c>
      <c r="BE17" s="409">
        <v>14.765104293823242</v>
      </c>
      <c r="BF17" s="407">
        <v>14.820508003234863</v>
      </c>
      <c r="BG17" s="407">
        <v>13.735232353210449</v>
      </c>
      <c r="BH17" s="407">
        <v>15.42134952545166</v>
      </c>
      <c r="BI17" s="407">
        <v>11.687210083007812</v>
      </c>
      <c r="BJ17" s="407">
        <v>16.645603179931641</v>
      </c>
      <c r="BK17" s="407">
        <v>16.18714714050293</v>
      </c>
      <c r="BL17" s="407">
        <v>15.726678848266602</v>
      </c>
    </row>
    <row r="18" spans="1:64" ht="15.75" x14ac:dyDescent="0.25">
      <c r="A18" s="240" t="s">
        <v>273</v>
      </c>
      <c r="B18" s="245"/>
      <c r="C18" s="404" t="s">
        <v>128</v>
      </c>
      <c r="D18" s="407">
        <v>3.6273870468139648</v>
      </c>
      <c r="E18" s="407">
        <v>2.9293801784515381</v>
      </c>
      <c r="F18" s="407">
        <v>3.5699477195739746</v>
      </c>
      <c r="G18" s="407">
        <v>4.9304265975952148</v>
      </c>
      <c r="H18" s="407">
        <v>2.696735143661499</v>
      </c>
      <c r="I18" s="407">
        <v>3.4352211952209473</v>
      </c>
      <c r="J18" s="407">
        <v>2.1089768409729004</v>
      </c>
      <c r="K18" s="407">
        <v>2.9837186336517334</v>
      </c>
      <c r="L18" s="407">
        <v>1.9636026620864868</v>
      </c>
      <c r="M18" s="407">
        <v>3.6775879859924316</v>
      </c>
      <c r="N18" s="407">
        <v>3.5497274398803711</v>
      </c>
      <c r="O18" s="407">
        <v>3.064089298248291</v>
      </c>
      <c r="P18" s="407">
        <v>4.6561684608459473</v>
      </c>
      <c r="Q18" s="407">
        <v>3.5031189918518066</v>
      </c>
      <c r="R18" s="407">
        <v>4.1510586738586426</v>
      </c>
      <c r="S18" s="407">
        <v>4.7265276908874512</v>
      </c>
      <c r="T18" s="407">
        <v>3.4310855865478516</v>
      </c>
      <c r="U18" s="407">
        <v>4.3015785217285156</v>
      </c>
      <c r="V18" s="407">
        <v>2.9847674369812012</v>
      </c>
      <c r="W18" s="407">
        <v>4.236851692199707</v>
      </c>
      <c r="X18" s="407">
        <v>1.8148949146270752</v>
      </c>
      <c r="Y18" s="407">
        <v>2.5458605289459229</v>
      </c>
      <c r="Z18" s="407">
        <v>3.0828628540039062</v>
      </c>
      <c r="AA18" s="407">
        <v>3.4229164123535156</v>
      </c>
      <c r="AB18" s="407">
        <v>4.7239422798156738</v>
      </c>
      <c r="AC18" s="407">
        <v>3.967928409576416</v>
      </c>
      <c r="AD18" s="407">
        <v>3.0421614646911621</v>
      </c>
      <c r="AE18" s="38">
        <f>'User Add-in Location'!B24</f>
        <v>0</v>
      </c>
      <c r="AF18" s="38">
        <f>'User Add-in Location'!C24</f>
        <v>0</v>
      </c>
      <c r="AG18" s="407">
        <v>3.2093124389648437</v>
      </c>
      <c r="AH18" s="407">
        <v>3.4035029411315918</v>
      </c>
      <c r="AI18" s="407">
        <v>2.9123578071594238</v>
      </c>
      <c r="AJ18" s="407">
        <v>3.2833213806152344</v>
      </c>
      <c r="AK18" s="407">
        <v>3.7353935241699219</v>
      </c>
      <c r="AL18" s="407">
        <v>2.4450621604919434</v>
      </c>
      <c r="AM18" s="407">
        <v>4.2764892578125</v>
      </c>
      <c r="AN18" s="409">
        <v>3.1538441181182861</v>
      </c>
      <c r="AO18" s="409">
        <v>4.0913896560668945</v>
      </c>
      <c r="AP18" s="409">
        <v>2.8397588729858398</v>
      </c>
      <c r="AQ18" s="409">
        <v>3.7664284706115723</v>
      </c>
      <c r="AR18" s="409">
        <v>3.1958937644958496</v>
      </c>
      <c r="AS18" s="409">
        <v>2.5049064159393311</v>
      </c>
      <c r="AT18" s="409">
        <v>3.2314589023590088</v>
      </c>
      <c r="AU18" s="409">
        <v>3.13096022605896</v>
      </c>
      <c r="AV18" s="409">
        <v>3.9097673892974854</v>
      </c>
      <c r="AW18" s="409">
        <v>3.7741057872772217</v>
      </c>
      <c r="AX18" s="409">
        <v>2.8635833263397217</v>
      </c>
      <c r="AY18" s="409">
        <v>3.5123929977416992</v>
      </c>
      <c r="AZ18" s="409">
        <v>2.7136173248291016</v>
      </c>
      <c r="BA18" s="409">
        <v>2.3133745193481445</v>
      </c>
      <c r="BB18" s="409">
        <v>3.7438852787017822</v>
      </c>
      <c r="BC18" s="409">
        <v>4.1548504829406738</v>
      </c>
      <c r="BD18" s="409">
        <v>4.7089319229125977</v>
      </c>
      <c r="BE18" s="409">
        <v>2.4749751091003418</v>
      </c>
      <c r="BF18" s="407">
        <v>4.1898660659790039</v>
      </c>
      <c r="BG18" s="407">
        <v>3.1079103946685791</v>
      </c>
      <c r="BH18" s="407">
        <v>3.1303765773773193</v>
      </c>
      <c r="BI18" s="407">
        <v>3.4858152866363525</v>
      </c>
      <c r="BJ18" s="407">
        <v>3.3206655979156494</v>
      </c>
      <c r="BK18" s="407">
        <v>4.4454011917114258</v>
      </c>
      <c r="BL18" s="407">
        <v>3.2046477794647217</v>
      </c>
    </row>
    <row r="19" spans="1:64" ht="15.75" x14ac:dyDescent="0.25">
      <c r="A19" s="240"/>
      <c r="B19" s="245"/>
      <c r="C19" s="404" t="s">
        <v>395</v>
      </c>
      <c r="D19" s="407">
        <v>6.3883528709411621</v>
      </c>
      <c r="E19" s="407">
        <v>5.868079662322998</v>
      </c>
      <c r="F19" s="407">
        <v>6.3963165283203125</v>
      </c>
      <c r="G19" s="407">
        <v>8.1900167465209961</v>
      </c>
      <c r="H19" s="407">
        <v>5.1458125114440918</v>
      </c>
      <c r="I19" s="407">
        <v>4.97821044921875</v>
      </c>
      <c r="J19" s="407">
        <v>3.7264649868011475</v>
      </c>
      <c r="K19" s="407">
        <v>5.9192399978637695</v>
      </c>
      <c r="L19" s="407">
        <v>2.5393166542053223</v>
      </c>
      <c r="M19" s="407">
        <v>6.2679224014282227</v>
      </c>
      <c r="N19" s="407">
        <v>5.9884524345397949</v>
      </c>
      <c r="O19" s="407">
        <v>5.9690508842468262</v>
      </c>
      <c r="P19" s="407">
        <v>10.225924491882324</v>
      </c>
      <c r="Q19" s="407">
        <v>4.2719063758850098</v>
      </c>
      <c r="R19" s="407">
        <v>6.0330085754394531</v>
      </c>
      <c r="S19" s="407">
        <v>5.3889274597167969</v>
      </c>
      <c r="T19" s="407">
        <v>6.7643098831176758</v>
      </c>
      <c r="U19" s="407">
        <v>6.7732930183410645</v>
      </c>
      <c r="V19" s="407">
        <v>6.5921025276184082</v>
      </c>
      <c r="W19" s="407">
        <v>6.5722112655639648</v>
      </c>
      <c r="X19" s="407">
        <v>5.2089834213256836</v>
      </c>
      <c r="Y19" s="407">
        <v>3.812708854675293</v>
      </c>
      <c r="Z19" s="407">
        <v>4.4730734825134277</v>
      </c>
      <c r="AA19" s="407">
        <v>4.674415111541748</v>
      </c>
      <c r="AB19" s="407">
        <v>8.4546384811401367</v>
      </c>
      <c r="AC19" s="407">
        <v>6.9843902587890625</v>
      </c>
      <c r="AD19" s="407">
        <v>6.1833600997924805</v>
      </c>
      <c r="AE19" s="38">
        <f>'User Add-in Location'!B25</f>
        <v>0</v>
      </c>
      <c r="AF19" s="38">
        <f>'User Add-in Location'!C25</f>
        <v>0</v>
      </c>
      <c r="AG19" s="407">
        <v>5.8601794242858887</v>
      </c>
      <c r="AH19" s="407">
        <v>7.4485387802124023</v>
      </c>
      <c r="AI19" s="407">
        <v>4.9905447959899902</v>
      </c>
      <c r="AJ19" s="407">
        <v>4.8954496383666992</v>
      </c>
      <c r="AK19" s="407">
        <v>7.6634349822998047</v>
      </c>
      <c r="AL19" s="407">
        <v>3.6773355007171631</v>
      </c>
      <c r="AM19" s="407">
        <v>6.5504465103149414</v>
      </c>
      <c r="AN19" s="409">
        <v>6.7562823295593262</v>
      </c>
      <c r="AO19" s="409">
        <v>5.5546698570251465</v>
      </c>
      <c r="AP19" s="409">
        <v>7.8966207504272461</v>
      </c>
      <c r="AQ19" s="409">
        <v>5.8053717613220215</v>
      </c>
      <c r="AR19" s="409">
        <v>4.5833253860473633</v>
      </c>
      <c r="AS19" s="409">
        <v>3.8696565628051758</v>
      </c>
      <c r="AT19" s="409">
        <v>4.864835262298584</v>
      </c>
      <c r="AU19" s="409">
        <v>5.6791596412658691</v>
      </c>
      <c r="AV19" s="409">
        <v>6.2705402374267578</v>
      </c>
      <c r="AW19" s="409">
        <v>4.9160027503967285</v>
      </c>
      <c r="AX19" s="409">
        <v>5.752321720123291</v>
      </c>
      <c r="AY19" s="409">
        <v>6.1554384231567383</v>
      </c>
      <c r="AZ19" s="409">
        <v>5.1689267158508301</v>
      </c>
      <c r="BA19" s="409">
        <v>5.5517139434814453</v>
      </c>
      <c r="BB19" s="409">
        <v>7.303889274597168</v>
      </c>
      <c r="BC19" s="409">
        <v>6.0102200508117676</v>
      </c>
      <c r="BD19" s="409">
        <v>6.0016469955444336</v>
      </c>
      <c r="BE19" s="409">
        <v>5.0961103439331055</v>
      </c>
      <c r="BF19" s="407">
        <v>7.4195265769958496</v>
      </c>
      <c r="BG19" s="407">
        <v>6.702850341796875</v>
      </c>
      <c r="BH19" s="407">
        <v>5.3355522155761719</v>
      </c>
      <c r="BI19" s="407">
        <v>5.6235823631286621</v>
      </c>
      <c r="BJ19" s="407">
        <v>8.3757524490356445</v>
      </c>
      <c r="BK19" s="407">
        <v>5.5748672485351562</v>
      </c>
      <c r="BL19" s="407">
        <v>6.656836986541748</v>
      </c>
    </row>
    <row r="20" spans="1:64" ht="15.75" x14ac:dyDescent="0.25">
      <c r="A20" s="240"/>
      <c r="B20" s="245"/>
      <c r="C20" s="404" t="s">
        <v>396</v>
      </c>
      <c r="D20" s="407">
        <v>5.1010046005249023</v>
      </c>
      <c r="E20" s="407">
        <v>5.2175211906433105</v>
      </c>
      <c r="F20" s="407">
        <v>5.7219095230102539</v>
      </c>
      <c r="G20" s="407">
        <v>6.2353672981262207</v>
      </c>
      <c r="H20" s="407">
        <v>4.1027297973632812</v>
      </c>
      <c r="I20" s="407">
        <v>5.0540676116943359</v>
      </c>
      <c r="J20" s="407">
        <v>3.084709644317627</v>
      </c>
      <c r="K20" s="407">
        <v>4.2969355583190918</v>
      </c>
      <c r="L20" s="407">
        <v>3.0444276332855225</v>
      </c>
      <c r="M20" s="407">
        <v>5.4401965141296387</v>
      </c>
      <c r="N20" s="407">
        <v>4.5048747062683105</v>
      </c>
      <c r="O20" s="407">
        <v>5.9199328422546387</v>
      </c>
      <c r="P20" s="407">
        <v>6.0051627159118652</v>
      </c>
      <c r="Q20" s="407">
        <v>4.0389127731323242</v>
      </c>
      <c r="R20" s="407">
        <v>5.9061532020568848</v>
      </c>
      <c r="S20" s="407">
        <v>5.1183505058288574</v>
      </c>
      <c r="T20" s="407">
        <v>5.8028697967529297</v>
      </c>
      <c r="U20" s="407">
        <v>5.9522261619567871</v>
      </c>
      <c r="V20" s="407">
        <v>6.161435604095459</v>
      </c>
      <c r="W20" s="407">
        <v>5.7946591377258301</v>
      </c>
      <c r="X20" s="407">
        <v>4.9905776977539062</v>
      </c>
      <c r="Y20" s="407">
        <v>3.1308715343475342</v>
      </c>
      <c r="Z20" s="407">
        <v>4.9816827774047852</v>
      </c>
      <c r="AA20" s="407">
        <v>4.635169506072998</v>
      </c>
      <c r="AB20" s="407">
        <v>6.5579977035522461</v>
      </c>
      <c r="AC20" s="407">
        <v>5.727787971496582</v>
      </c>
      <c r="AD20" s="407">
        <v>6.0537095069885254</v>
      </c>
      <c r="AE20" s="38">
        <f>'User Add-in Location'!B26</f>
        <v>0</v>
      </c>
      <c r="AF20" s="38">
        <f>'User Add-in Location'!C26</f>
        <v>0</v>
      </c>
      <c r="AG20" s="407">
        <v>5.9940948486328125</v>
      </c>
      <c r="AH20" s="407">
        <v>5.5408444404602051</v>
      </c>
      <c r="AI20" s="407">
        <v>5.1646003723144531</v>
      </c>
      <c r="AJ20" s="407">
        <v>4.1333127021789551</v>
      </c>
      <c r="AK20" s="407">
        <v>6.1392974853515625</v>
      </c>
      <c r="AL20" s="407">
        <v>2.3240745067596436</v>
      </c>
      <c r="AM20" s="407">
        <v>4.1486086845397949</v>
      </c>
      <c r="AN20" s="409">
        <v>6.2262063026428223</v>
      </c>
      <c r="AO20" s="409">
        <v>5.4205951690673828</v>
      </c>
      <c r="AP20" s="409">
        <v>6.3567981719970703</v>
      </c>
      <c r="AQ20" s="409">
        <v>5.5226683616638184</v>
      </c>
      <c r="AR20" s="409">
        <v>4.7339529991149902</v>
      </c>
      <c r="AS20" s="409">
        <v>2.6298651695251465</v>
      </c>
      <c r="AT20" s="409">
        <v>4.4496159553527832</v>
      </c>
      <c r="AU20" s="409">
        <v>4.5049295425415039</v>
      </c>
      <c r="AV20" s="409">
        <v>5.210902214050293</v>
      </c>
      <c r="AW20" s="409">
        <v>4.778038501739502</v>
      </c>
      <c r="AX20" s="409">
        <v>5.3271737098693848</v>
      </c>
      <c r="AY20" s="409">
        <v>5.3949980735778809</v>
      </c>
      <c r="AZ20" s="409">
        <v>4.1372866630554199</v>
      </c>
      <c r="BA20" s="409">
        <v>4.3821086883544922</v>
      </c>
      <c r="BB20" s="409">
        <v>5.9376144409179687</v>
      </c>
      <c r="BC20" s="409">
        <v>6.5075478553771973</v>
      </c>
      <c r="BD20" s="409">
        <v>4.9215683937072754</v>
      </c>
      <c r="BE20" s="409">
        <v>4.9966707229614258</v>
      </c>
      <c r="BF20" s="407">
        <v>6.8541154861450195</v>
      </c>
      <c r="BG20" s="407">
        <v>4.7808809280395508</v>
      </c>
      <c r="BH20" s="407">
        <v>4.3720722198486328</v>
      </c>
      <c r="BI20" s="407">
        <v>3.9584038257598877</v>
      </c>
      <c r="BJ20" s="407">
        <v>6.3013310432434082</v>
      </c>
      <c r="BK20" s="407">
        <v>5.5664796829223633</v>
      </c>
      <c r="BL20" s="407">
        <v>5.6599907875061035</v>
      </c>
    </row>
    <row r="21" spans="1:64" ht="15.75" x14ac:dyDescent="0.25">
      <c r="A21" s="240"/>
      <c r="B21" s="245"/>
      <c r="C21" s="404" t="s">
        <v>397</v>
      </c>
      <c r="D21" s="407">
        <v>6.8010091781616211</v>
      </c>
      <c r="E21" s="407">
        <v>7.4262943267822266</v>
      </c>
      <c r="F21" s="407">
        <v>6.4543075561523437</v>
      </c>
      <c r="G21" s="407">
        <v>5.9605350494384766</v>
      </c>
      <c r="H21" s="407">
        <v>5.5323123931884766</v>
      </c>
      <c r="I21" s="407">
        <v>5.5152335166931152</v>
      </c>
      <c r="J21" s="407">
        <v>4.3357419967651367</v>
      </c>
      <c r="K21" s="407">
        <v>4.812408447265625</v>
      </c>
      <c r="L21" s="407">
        <v>3.6352221965789795</v>
      </c>
      <c r="M21" s="407">
        <v>6.2861523628234863</v>
      </c>
      <c r="N21" s="407">
        <v>5.8012232780456543</v>
      </c>
      <c r="O21" s="407">
        <v>6.5735588073730469</v>
      </c>
      <c r="P21" s="407">
        <v>6.5509843826293945</v>
      </c>
      <c r="Q21" s="407">
        <v>4.5152158737182617</v>
      </c>
      <c r="R21" s="407">
        <v>6.5817599296569824</v>
      </c>
      <c r="S21" s="407">
        <v>6.9864444732666016</v>
      </c>
      <c r="T21" s="407">
        <v>6.4754772186279297</v>
      </c>
      <c r="U21" s="407">
        <v>6.2714657783508301</v>
      </c>
      <c r="V21" s="407">
        <v>6.7246251106262207</v>
      </c>
      <c r="W21" s="407">
        <v>7.0100870132446289</v>
      </c>
      <c r="X21" s="407">
        <v>6.2141356468200684</v>
      </c>
      <c r="Y21" s="407">
        <v>4.9679312705993652</v>
      </c>
      <c r="Z21" s="407">
        <v>5.162198543548584</v>
      </c>
      <c r="AA21" s="407">
        <v>4.4526944160461426</v>
      </c>
      <c r="AB21" s="407">
        <v>6.9808101654052734</v>
      </c>
      <c r="AC21" s="407">
        <v>4.8907465934753418</v>
      </c>
      <c r="AD21" s="407">
        <v>8.7216529846191406</v>
      </c>
      <c r="AE21" s="38">
        <f>'User Add-in Location'!B27</f>
        <v>0</v>
      </c>
      <c r="AF21" s="38">
        <f>'User Add-in Location'!C27</f>
        <v>0</v>
      </c>
      <c r="AG21" s="407">
        <v>5.9900293350219727</v>
      </c>
      <c r="AH21" s="407">
        <v>5.2016806602478027</v>
      </c>
      <c r="AI21" s="407">
        <v>6.0203814506530762</v>
      </c>
      <c r="AJ21" s="407">
        <v>4.7343654632568359</v>
      </c>
      <c r="AK21" s="407">
        <v>7.5601649284362793</v>
      </c>
      <c r="AL21" s="407">
        <v>4.3502950668334961</v>
      </c>
      <c r="AM21" s="407">
        <v>5.8806514739990234</v>
      </c>
      <c r="AN21" s="409">
        <v>7.1733598709106445</v>
      </c>
      <c r="AO21" s="409">
        <v>5.43865966796875</v>
      </c>
      <c r="AP21" s="409">
        <v>7.0892558097839355</v>
      </c>
      <c r="AQ21" s="409">
        <v>6.2042422294616699</v>
      </c>
      <c r="AR21" s="409">
        <v>5.0491490364074707</v>
      </c>
      <c r="AS21" s="409">
        <v>4.621006965637207</v>
      </c>
      <c r="AT21" s="409">
        <v>4.9610748291015625</v>
      </c>
      <c r="AU21" s="409">
        <v>5.3535089492797852</v>
      </c>
      <c r="AV21" s="409">
        <v>6.2274022102355957</v>
      </c>
      <c r="AW21" s="409">
        <v>5.0721206665039062</v>
      </c>
      <c r="AX21" s="409">
        <v>5.8786101341247559</v>
      </c>
      <c r="AY21" s="409">
        <v>6.1025795936584473</v>
      </c>
      <c r="AZ21" s="409">
        <v>5.5530905723571777</v>
      </c>
      <c r="BA21" s="409">
        <v>5.2633538246154785</v>
      </c>
      <c r="BB21" s="409">
        <v>7.2040791511535645</v>
      </c>
      <c r="BC21" s="409">
        <v>7.1259760856628418</v>
      </c>
      <c r="BD21" s="409">
        <v>6.2595705986022949</v>
      </c>
      <c r="BE21" s="409">
        <v>5.8150639533996582</v>
      </c>
      <c r="BF21" s="407">
        <v>6.5827479362487793</v>
      </c>
      <c r="BG21" s="407">
        <v>8.3541898727416992</v>
      </c>
      <c r="BH21" s="407">
        <v>5.0788125991821289</v>
      </c>
      <c r="BI21" s="407">
        <v>5.9368891716003418</v>
      </c>
      <c r="BJ21" s="407">
        <v>7.4097599983215332</v>
      </c>
      <c r="BK21" s="407">
        <v>5.725372314453125</v>
      </c>
      <c r="BL21" s="407">
        <v>7.8467288017272949</v>
      </c>
    </row>
    <row r="22" spans="1:64" ht="15.75" x14ac:dyDescent="0.25">
      <c r="A22" s="240"/>
      <c r="B22" s="245"/>
      <c r="C22" s="404" t="s">
        <v>398</v>
      </c>
      <c r="D22" s="407">
        <v>10.694698333740234</v>
      </c>
      <c r="E22" s="407">
        <v>12.508960723876953</v>
      </c>
      <c r="F22" s="407">
        <v>12.298345565795898</v>
      </c>
      <c r="G22" s="407">
        <v>12.328854560852051</v>
      </c>
      <c r="H22" s="407">
        <v>9.0901041030883789</v>
      </c>
      <c r="I22" s="407">
        <v>9.8835439682006836</v>
      </c>
      <c r="J22" s="407">
        <v>7.1876873970031738</v>
      </c>
      <c r="K22" s="407">
        <v>8.5546998977661133</v>
      </c>
      <c r="L22" s="407">
        <v>5.117767333984375</v>
      </c>
      <c r="M22" s="407">
        <v>10.235952377319336</v>
      </c>
      <c r="N22" s="407">
        <v>9.582737922668457</v>
      </c>
      <c r="O22" s="407">
        <v>11.927464485168457</v>
      </c>
      <c r="P22" s="407">
        <v>11.727208137512207</v>
      </c>
      <c r="Q22" s="407">
        <v>7.9698786735534668</v>
      </c>
      <c r="R22" s="407">
        <v>10.838085174560547</v>
      </c>
      <c r="S22" s="407">
        <v>10.473997116088867</v>
      </c>
      <c r="T22" s="407">
        <v>11.805607795715332</v>
      </c>
      <c r="U22" s="407">
        <v>10.194638252258301</v>
      </c>
      <c r="V22" s="407">
        <v>11.330286026000977</v>
      </c>
      <c r="W22" s="407">
        <v>12.414389610290527</v>
      </c>
      <c r="X22" s="407">
        <v>8.4894866943359375</v>
      </c>
      <c r="Y22" s="407">
        <v>7.722343921661377</v>
      </c>
      <c r="Z22" s="407">
        <v>9.6906137466430664</v>
      </c>
      <c r="AA22" s="407">
        <v>9.6194992065429687</v>
      </c>
      <c r="AB22" s="407">
        <v>13.117237091064453</v>
      </c>
      <c r="AC22" s="407">
        <v>10.31272029876709</v>
      </c>
      <c r="AD22" s="407">
        <v>13.07454776763916</v>
      </c>
      <c r="AE22" s="38">
        <f>'User Add-in Location'!B28</f>
        <v>0</v>
      </c>
      <c r="AF22" s="38">
        <f>'User Add-in Location'!C28</f>
        <v>0</v>
      </c>
      <c r="AG22" s="407">
        <v>11.418471336364746</v>
      </c>
      <c r="AH22" s="407">
        <v>10.748376846313477</v>
      </c>
      <c r="AI22" s="407">
        <v>8.3119049072265625</v>
      </c>
      <c r="AJ22" s="407">
        <v>7.2354497909545898</v>
      </c>
      <c r="AK22" s="407">
        <v>14.210342407226563</v>
      </c>
      <c r="AL22" s="407">
        <v>7.0982146263122559</v>
      </c>
      <c r="AM22" s="407">
        <v>11.611729621887207</v>
      </c>
      <c r="AN22" s="409">
        <v>11.941844940185547</v>
      </c>
      <c r="AO22" s="409">
        <v>9.9300432205200195</v>
      </c>
      <c r="AP22" s="409">
        <v>12.047245025634766</v>
      </c>
      <c r="AQ22" s="409">
        <v>11.948065757751465</v>
      </c>
      <c r="AR22" s="409">
        <v>9.0755224227905273</v>
      </c>
      <c r="AS22" s="409">
        <v>7.428187370300293</v>
      </c>
      <c r="AT22" s="409">
        <v>8.2142467498779297</v>
      </c>
      <c r="AU22" s="409">
        <v>9.1908140182495117</v>
      </c>
      <c r="AV22" s="409">
        <v>9.8331928253173828</v>
      </c>
      <c r="AW22" s="409">
        <v>9.3452081680297852</v>
      </c>
      <c r="AX22" s="409">
        <v>10.374192237854004</v>
      </c>
      <c r="AY22" s="409">
        <v>11.254783630371094</v>
      </c>
      <c r="AZ22" s="409">
        <v>9.1510381698608398</v>
      </c>
      <c r="BA22" s="409">
        <v>10.268229484558105</v>
      </c>
      <c r="BB22" s="409">
        <v>12.352001190185547</v>
      </c>
      <c r="BC22" s="409">
        <v>13.494233131408691</v>
      </c>
      <c r="BD22" s="409">
        <v>8.3131771087646484</v>
      </c>
      <c r="BE22" s="409">
        <v>9.7241039276123047</v>
      </c>
      <c r="BF22" s="407">
        <v>11.603925704956055</v>
      </c>
      <c r="BG22" s="407">
        <v>11.122350692749023</v>
      </c>
      <c r="BH22" s="407">
        <v>8.2756261825561523</v>
      </c>
      <c r="BI22" s="407">
        <v>10.434802055358887</v>
      </c>
      <c r="BJ22" s="407">
        <v>12.343293190002441</v>
      </c>
      <c r="BK22" s="407">
        <v>10.707385063171387</v>
      </c>
      <c r="BL22" s="407">
        <v>11.265711784362793</v>
      </c>
    </row>
    <row r="23" spans="1:64" ht="15.75" x14ac:dyDescent="0.25">
      <c r="A23" s="240"/>
      <c r="B23" s="245"/>
      <c r="C23" s="404" t="s">
        <v>399</v>
      </c>
      <c r="D23" s="407">
        <v>7.8119907379150391</v>
      </c>
      <c r="E23" s="407">
        <v>7.5775690078735352</v>
      </c>
      <c r="F23" s="407">
        <v>8.0765342712402344</v>
      </c>
      <c r="G23" s="407">
        <v>9.0470876693725586</v>
      </c>
      <c r="H23" s="407">
        <v>7.0121541023254395</v>
      </c>
      <c r="I23" s="407">
        <v>7.4399466514587402</v>
      </c>
      <c r="J23" s="407">
        <v>7.179476261138916</v>
      </c>
      <c r="K23" s="407">
        <v>6.6554422378540039</v>
      </c>
      <c r="L23" s="407">
        <v>5.3537325859069824</v>
      </c>
      <c r="M23" s="407">
        <v>8.5796346664428711</v>
      </c>
      <c r="N23" s="407">
        <v>7.8679971694946289</v>
      </c>
      <c r="O23" s="407">
        <v>8.2770605087280273</v>
      </c>
      <c r="P23" s="407">
        <v>8.049015998840332</v>
      </c>
      <c r="Q23" s="407">
        <v>7.0031270980834961</v>
      </c>
      <c r="R23" s="407">
        <v>8.5464286804199219</v>
      </c>
      <c r="S23" s="407">
        <v>8.2938995361328125</v>
      </c>
      <c r="T23" s="407">
        <v>7.5121192932128906</v>
      </c>
      <c r="U23" s="407">
        <v>8.2628087997436523</v>
      </c>
      <c r="V23" s="407">
        <v>7.5271797180175781</v>
      </c>
      <c r="W23" s="407">
        <v>9.1441240310668945</v>
      </c>
      <c r="X23" s="407">
        <v>7.3706550598144531</v>
      </c>
      <c r="Y23" s="407">
        <v>6.9491262435913086</v>
      </c>
      <c r="Z23" s="407">
        <v>6.5873751640319824</v>
      </c>
      <c r="AA23" s="407">
        <v>8.0021457672119141</v>
      </c>
      <c r="AB23" s="407">
        <v>8.9861211776733398</v>
      </c>
      <c r="AC23" s="407">
        <v>7.5994181632995605</v>
      </c>
      <c r="AD23" s="407">
        <v>9.4255704879760742</v>
      </c>
      <c r="AE23" s="38">
        <f>'User Add-in Location'!B29</f>
        <v>0</v>
      </c>
      <c r="AF23" s="38">
        <f>'User Add-in Location'!C29</f>
        <v>0</v>
      </c>
      <c r="AG23" s="407">
        <v>8.0022134780883789</v>
      </c>
      <c r="AH23" s="407">
        <v>8.1016607284545898</v>
      </c>
      <c r="AI23" s="407">
        <v>7.9776911735534668</v>
      </c>
      <c r="AJ23" s="407">
        <v>6.9917864799499512</v>
      </c>
      <c r="AK23" s="407">
        <v>8.6548185348510742</v>
      </c>
      <c r="AL23" s="407">
        <v>6.3651065826416016</v>
      </c>
      <c r="AM23" s="407">
        <v>8.6474933624267578</v>
      </c>
      <c r="AN23" s="409">
        <v>8.7265119552612305</v>
      </c>
      <c r="AO23" s="409">
        <v>7.8161330223083496</v>
      </c>
      <c r="AP23" s="409">
        <v>8.7105188369750977</v>
      </c>
      <c r="AQ23" s="409">
        <v>8.4918289184570312</v>
      </c>
      <c r="AR23" s="409">
        <v>7.5567111968994141</v>
      </c>
      <c r="AS23" s="409">
        <v>6.8065028190612793</v>
      </c>
      <c r="AT23" s="409">
        <v>7.3435029983520508</v>
      </c>
      <c r="AU23" s="409">
        <v>7.4568867683410645</v>
      </c>
      <c r="AV23" s="409">
        <v>8.2114276885986328</v>
      </c>
      <c r="AW23" s="409">
        <v>7.4028739929199219</v>
      </c>
      <c r="AX23" s="409">
        <v>7.364290714263916</v>
      </c>
      <c r="AY23" s="409">
        <v>7.9920082092285156</v>
      </c>
      <c r="AZ23" s="409">
        <v>7.0434160232543945</v>
      </c>
      <c r="BA23" s="409">
        <v>8.2488727569580078</v>
      </c>
      <c r="BB23" s="409">
        <v>8.2005414962768555</v>
      </c>
      <c r="BC23" s="409">
        <v>9.5495576858520508</v>
      </c>
      <c r="BD23" s="409">
        <v>7.733609676361084</v>
      </c>
      <c r="BE23" s="409">
        <v>7.075249195098877</v>
      </c>
      <c r="BF23" s="407">
        <v>8.7806825637817383</v>
      </c>
      <c r="BG23" s="407">
        <v>9.2496042251586914</v>
      </c>
      <c r="BH23" s="407">
        <v>7.0047187805175781</v>
      </c>
      <c r="BI23" s="407">
        <v>7.9228458404541016</v>
      </c>
      <c r="BJ23" s="407">
        <v>8.8157415390014648</v>
      </c>
      <c r="BK23" s="407">
        <v>8.5728330612182617</v>
      </c>
      <c r="BL23" s="407">
        <v>9.0497283935546875</v>
      </c>
    </row>
    <row r="24" spans="1:64" ht="15.75" x14ac:dyDescent="0.25">
      <c r="A24" s="240"/>
      <c r="B24" s="245"/>
      <c r="C24" s="404" t="s">
        <v>400</v>
      </c>
      <c r="D24" s="407">
        <v>10.512665748596191</v>
      </c>
      <c r="E24" s="407">
        <v>8.2567119598388672</v>
      </c>
      <c r="F24" s="407">
        <v>9.3709268569946289</v>
      </c>
      <c r="G24" s="407">
        <v>10.778629302978516</v>
      </c>
      <c r="H24" s="407">
        <v>7.3333792686462402</v>
      </c>
      <c r="I24" s="407">
        <v>7.4524950981140137</v>
      </c>
      <c r="J24" s="407">
        <v>7.3500990867614746</v>
      </c>
      <c r="K24" s="407">
        <v>8.7852640151977539</v>
      </c>
      <c r="L24" s="407">
        <v>6.8115472793579102</v>
      </c>
      <c r="M24" s="407">
        <v>9.2621316909790039</v>
      </c>
      <c r="N24" s="407">
        <v>8.6586370468139648</v>
      </c>
      <c r="O24" s="407">
        <v>9.5687589645385742</v>
      </c>
      <c r="P24" s="407">
        <v>10.995104789733887</v>
      </c>
      <c r="Q24" s="407">
        <v>8.6685199737548828</v>
      </c>
      <c r="R24" s="407">
        <v>10.267692565917969</v>
      </c>
      <c r="S24" s="407">
        <v>11.002264976501465</v>
      </c>
      <c r="T24" s="407">
        <v>8.9882612228393555</v>
      </c>
      <c r="U24" s="407">
        <v>10.334708213806152</v>
      </c>
      <c r="V24" s="407">
        <v>9.3281126022338867</v>
      </c>
      <c r="W24" s="407">
        <v>10.46474552154541</v>
      </c>
      <c r="X24" s="407">
        <v>8.3421010971069336</v>
      </c>
      <c r="Y24" s="407">
        <v>7.7487664222717285</v>
      </c>
      <c r="Z24" s="407">
        <v>9.7855596542358398</v>
      </c>
      <c r="AA24" s="407">
        <v>9.2745542526245117</v>
      </c>
      <c r="AB24" s="407">
        <v>11.151370048522949</v>
      </c>
      <c r="AC24" s="407">
        <v>9.4430522918701172</v>
      </c>
      <c r="AD24" s="407">
        <v>11.164335250854492</v>
      </c>
      <c r="AE24" s="38">
        <f>'User Add-in Location'!B30</f>
        <v>0</v>
      </c>
      <c r="AF24" s="38">
        <f>'User Add-in Location'!C30</f>
        <v>0</v>
      </c>
      <c r="AG24" s="407">
        <v>10.459906578063965</v>
      </c>
      <c r="AH24" s="407">
        <v>8.4074993133544922</v>
      </c>
      <c r="AI24" s="407">
        <v>8.853179931640625</v>
      </c>
      <c r="AJ24" s="407">
        <v>6.8965597152709961</v>
      </c>
      <c r="AK24" s="407">
        <v>10.565388679504395</v>
      </c>
      <c r="AL24" s="407">
        <v>7.0103116035461426</v>
      </c>
      <c r="AM24" s="407">
        <v>10.256353378295898</v>
      </c>
      <c r="AN24" s="409">
        <v>10.986459732055664</v>
      </c>
      <c r="AO24" s="409">
        <v>10.130275726318359</v>
      </c>
      <c r="AP24" s="409">
        <v>9.7281036376953125</v>
      </c>
      <c r="AQ24" s="409">
        <v>9.5659761428833008</v>
      </c>
      <c r="AR24" s="409">
        <v>8.9054746627807617</v>
      </c>
      <c r="AS24" s="409">
        <v>7.4616475105285645</v>
      </c>
      <c r="AT24" s="409">
        <v>8.1143035888671875</v>
      </c>
      <c r="AU24" s="409">
        <v>8.9939594268798828</v>
      </c>
      <c r="AV24" s="409">
        <v>9.3914880752563477</v>
      </c>
      <c r="AW24" s="409">
        <v>9.657374382019043</v>
      </c>
      <c r="AX24" s="409">
        <v>8.9975442886352539</v>
      </c>
      <c r="AY24" s="409">
        <v>8.7154607772827148</v>
      </c>
      <c r="AZ24" s="409">
        <v>7.405609130859375</v>
      </c>
      <c r="BA24" s="409">
        <v>9.5058889389038086</v>
      </c>
      <c r="BB24" s="409">
        <v>10.829194068908691</v>
      </c>
      <c r="BC24" s="409">
        <v>11.057234764099121</v>
      </c>
      <c r="BD24" s="409">
        <v>9.2785367965698242</v>
      </c>
      <c r="BE24" s="409">
        <v>8.5060358047485352</v>
      </c>
      <c r="BF24" s="407">
        <v>9.9443368911743164</v>
      </c>
      <c r="BG24" s="407">
        <v>10.736358642578125</v>
      </c>
      <c r="BH24" s="407">
        <v>8.2501955032348633</v>
      </c>
      <c r="BI24" s="407">
        <v>7.2424459457397461</v>
      </c>
      <c r="BJ24" s="407">
        <v>10.608269691467285</v>
      </c>
      <c r="BK24" s="407">
        <v>10.307900428771973</v>
      </c>
      <c r="BL24" s="407">
        <v>9.6328964233398437</v>
      </c>
    </row>
    <row r="25" spans="1:64" ht="15.75" x14ac:dyDescent="0.25">
      <c r="A25" s="240"/>
      <c r="B25" s="245"/>
      <c r="C25" s="404" t="s">
        <v>58</v>
      </c>
      <c r="D25" s="407">
        <v>12.847307205200195</v>
      </c>
      <c r="E25" s="407">
        <v>10.059117317199707</v>
      </c>
      <c r="F25" s="407">
        <v>13.090808868408203</v>
      </c>
      <c r="G25" s="407">
        <v>15.567194938659668</v>
      </c>
      <c r="H25" s="407">
        <v>10.886956214904785</v>
      </c>
      <c r="I25" s="407">
        <v>12.365670204162598</v>
      </c>
      <c r="J25" s="407">
        <v>11.609492301940918</v>
      </c>
      <c r="K25" s="407">
        <v>12.438481330871582</v>
      </c>
      <c r="L25" s="407">
        <v>6.8354654312133789</v>
      </c>
      <c r="M25" s="407">
        <v>12.437105178833008</v>
      </c>
      <c r="N25" s="407">
        <v>13.187668800354004</v>
      </c>
      <c r="O25" s="407">
        <v>9.4031763076782227</v>
      </c>
      <c r="P25" s="407">
        <v>15.892815589904785</v>
      </c>
      <c r="Q25" s="407">
        <v>13.003669738769531</v>
      </c>
      <c r="R25" s="407">
        <v>15.878583908081055</v>
      </c>
      <c r="S25" s="407">
        <v>15.523076057434082</v>
      </c>
      <c r="T25" s="407">
        <v>14.811189651489258</v>
      </c>
      <c r="U25" s="407">
        <v>12.568619728088379</v>
      </c>
      <c r="V25" s="407">
        <v>14.202973365783691</v>
      </c>
      <c r="W25" s="407">
        <v>14.127301216125488</v>
      </c>
      <c r="X25" s="407">
        <v>9.5022048950195313</v>
      </c>
      <c r="Y25" s="407">
        <v>12.100410461425781</v>
      </c>
      <c r="Z25" s="407">
        <v>13.475090980529785</v>
      </c>
      <c r="AA25" s="407">
        <v>13.949410438537598</v>
      </c>
      <c r="AB25" s="407">
        <v>15.532011032104492</v>
      </c>
      <c r="AC25" s="407">
        <v>14.747013092041016</v>
      </c>
      <c r="AD25" s="407">
        <v>14.307192802429199</v>
      </c>
      <c r="AE25" s="38">
        <f>'User Add-in Location'!B31</f>
        <v>0</v>
      </c>
      <c r="AF25" s="38">
        <f>'User Add-in Location'!C31</f>
        <v>0</v>
      </c>
      <c r="AG25" s="407">
        <v>14.916311264038086</v>
      </c>
      <c r="AH25" s="407">
        <v>11.565237045288086</v>
      </c>
      <c r="AI25" s="407">
        <v>13.308344841003418</v>
      </c>
      <c r="AJ25" s="407">
        <v>11.83310604095459</v>
      </c>
      <c r="AK25" s="407">
        <v>13.691310882568359</v>
      </c>
      <c r="AL25" s="407">
        <v>11.519576072692871</v>
      </c>
      <c r="AM25" s="407">
        <v>13.188699722290039</v>
      </c>
      <c r="AN25" s="409">
        <v>14.343856811523438</v>
      </c>
      <c r="AO25" s="409">
        <v>14.189292907714844</v>
      </c>
      <c r="AP25" s="409">
        <v>14.101664543151855</v>
      </c>
      <c r="AQ25" s="409">
        <v>13.301018714904785</v>
      </c>
      <c r="AR25" s="409">
        <v>13.06041145324707</v>
      </c>
      <c r="AS25" s="409">
        <v>11.778040885925293</v>
      </c>
      <c r="AT25" s="409">
        <v>12.575616836547852</v>
      </c>
      <c r="AU25" s="409">
        <v>10.432685852050781</v>
      </c>
      <c r="AV25" s="409">
        <v>12.857982635498047</v>
      </c>
      <c r="AW25" s="409">
        <v>14.010872840881348</v>
      </c>
      <c r="AX25" s="409">
        <v>14.159821510314941</v>
      </c>
      <c r="AY25" s="409">
        <v>13.011822700500488</v>
      </c>
      <c r="AZ25" s="409">
        <v>10.785937309265137</v>
      </c>
      <c r="BA25" s="409">
        <v>10.377945899963379</v>
      </c>
      <c r="BB25" s="409">
        <v>13.750097274780273</v>
      </c>
      <c r="BC25" s="409">
        <v>15.82746696472168</v>
      </c>
      <c r="BD25" s="409">
        <v>12.296652793884277</v>
      </c>
      <c r="BE25" s="409">
        <v>13.92075252532959</v>
      </c>
      <c r="BF25" s="407">
        <v>14.566953659057617</v>
      </c>
      <c r="BG25" s="407">
        <v>13.514749526977539</v>
      </c>
      <c r="BH25" s="407">
        <v>9.7934589385986328</v>
      </c>
      <c r="BI25" s="407">
        <v>11.574575424194336</v>
      </c>
      <c r="BJ25" s="407">
        <v>13.63185977935791</v>
      </c>
      <c r="BK25" s="407">
        <v>14.299123764038086</v>
      </c>
      <c r="BL25" s="407">
        <v>14.10313606262207</v>
      </c>
    </row>
    <row r="26" spans="1:64" ht="15.75" x14ac:dyDescent="0.25">
      <c r="A26" s="240"/>
      <c r="B26" s="245"/>
      <c r="C26" s="404" t="s">
        <v>401</v>
      </c>
      <c r="D26" s="407">
        <v>1.4931944608688354</v>
      </c>
      <c r="E26" s="407">
        <v>0</v>
      </c>
      <c r="F26" s="407">
        <v>1.4652951955795288</v>
      </c>
      <c r="G26" s="407">
        <v>1.6809886693954468</v>
      </c>
      <c r="H26" s="407">
        <v>1.3934296369552612</v>
      </c>
      <c r="I26" s="407">
        <v>1.5468235015869141</v>
      </c>
      <c r="J26" s="407">
        <v>1.529181957244873</v>
      </c>
      <c r="K26" s="407">
        <v>1.5652228593826294</v>
      </c>
      <c r="L26" s="407">
        <v>1.3828940391540527</v>
      </c>
      <c r="M26" s="407">
        <v>1.5154670476913452</v>
      </c>
      <c r="N26" s="407">
        <v>1.6156818866729736</v>
      </c>
      <c r="O26" s="407">
        <v>1.7297911643981934</v>
      </c>
      <c r="P26" s="407">
        <v>1.5534075498580933</v>
      </c>
      <c r="Q26" s="407">
        <v>1.5369800329208374</v>
      </c>
      <c r="R26" s="407">
        <v>1.5362768173217773</v>
      </c>
      <c r="S26" s="407">
        <v>1.5506592988967896</v>
      </c>
      <c r="T26" s="407">
        <v>1.4868009090423584</v>
      </c>
      <c r="U26" s="407">
        <v>1.5819692611694336</v>
      </c>
      <c r="V26" s="407">
        <v>1.4723351001739502</v>
      </c>
      <c r="W26" s="407">
        <v>1.4672112464904785</v>
      </c>
      <c r="X26" s="407">
        <v>1.584126353263855</v>
      </c>
      <c r="Y26" s="407">
        <v>1.4739068746566772</v>
      </c>
      <c r="Z26" s="407">
        <v>1.6372796297073364</v>
      </c>
      <c r="AA26" s="407">
        <v>1.5416799783706665</v>
      </c>
      <c r="AB26" s="407">
        <v>1.5268813371658325</v>
      </c>
      <c r="AC26" s="407">
        <v>1.4932029247283936</v>
      </c>
      <c r="AD26" s="407">
        <v>1.7148878574371338</v>
      </c>
      <c r="AE26" s="38">
        <f>'User Add-in Location'!B32</f>
        <v>0</v>
      </c>
      <c r="AF26" s="38">
        <f>'User Add-in Location'!C32</f>
        <v>0</v>
      </c>
      <c r="AG26" s="407">
        <v>1.6013689041137695</v>
      </c>
      <c r="AH26" s="407">
        <v>1.6064380407333374</v>
      </c>
      <c r="AI26" s="407">
        <v>1.5743048191070557</v>
      </c>
      <c r="AJ26" s="407">
        <v>1.5238782167434692</v>
      </c>
      <c r="AK26" s="407">
        <v>1.4985314607620239</v>
      </c>
      <c r="AL26" s="407">
        <v>1.4977275133132935</v>
      </c>
      <c r="AM26" s="407">
        <v>1.5114641189575195</v>
      </c>
      <c r="AN26" s="409">
        <v>1.6772497892379761</v>
      </c>
      <c r="AO26" s="409">
        <v>1.0651726722717285</v>
      </c>
      <c r="AP26" s="409">
        <v>1.5583245754241943</v>
      </c>
      <c r="AQ26" s="409">
        <v>1.4260365962982178</v>
      </c>
      <c r="AR26" s="409">
        <v>1.56528639793396</v>
      </c>
      <c r="AS26" s="409">
        <v>1.4816590547561646</v>
      </c>
      <c r="AT26" s="409">
        <v>1.5476614236831665</v>
      </c>
      <c r="AU26" s="409">
        <v>1.5352351665496826</v>
      </c>
      <c r="AV26" s="409">
        <v>1.521088719367981</v>
      </c>
      <c r="AW26" s="409">
        <v>1.32851243019104</v>
      </c>
      <c r="AX26" s="409">
        <v>1.4635142087936401</v>
      </c>
      <c r="AY26" s="409">
        <v>1.4791163206100464</v>
      </c>
      <c r="AZ26" s="409">
        <v>1.3935002088546753</v>
      </c>
      <c r="BA26" s="409">
        <v>1.5582301616668701</v>
      </c>
      <c r="BB26" s="409">
        <v>1.5306941270828247</v>
      </c>
      <c r="BC26" s="409">
        <v>1.701915979385376</v>
      </c>
      <c r="BD26" s="409">
        <v>1.5922482013702393</v>
      </c>
      <c r="BE26" s="409">
        <v>1.4567499160766602</v>
      </c>
      <c r="BF26" s="407">
        <v>1.5162472724914551</v>
      </c>
      <c r="BG26" s="407">
        <v>1.4328664541244507</v>
      </c>
      <c r="BH26" s="407">
        <v>1.5479557514190674</v>
      </c>
      <c r="BI26" s="407">
        <v>1.5848177671432495</v>
      </c>
      <c r="BJ26" s="407">
        <v>1.7268120050430298</v>
      </c>
      <c r="BK26" s="407">
        <v>1.5233132839202881</v>
      </c>
      <c r="BL26" s="407">
        <v>0</v>
      </c>
    </row>
    <row r="27" spans="1:64" ht="15" x14ac:dyDescent="0.2">
      <c r="A27" s="238"/>
      <c r="C27" s="6"/>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38"/>
      <c r="AF27" s="38"/>
      <c r="AG27" s="410"/>
      <c r="AH27" s="410"/>
      <c r="AI27" s="410"/>
      <c r="AJ27" s="410"/>
      <c r="AK27" s="410"/>
      <c r="AL27" s="410"/>
      <c r="AM27" s="410"/>
      <c r="AN27" s="410"/>
      <c r="AO27" s="410"/>
      <c r="AP27" s="410"/>
      <c r="AQ27" s="410"/>
      <c r="AR27" s="410"/>
      <c r="AS27" s="412"/>
      <c r="AT27" s="412"/>
      <c r="AU27" s="412"/>
      <c r="AV27" s="412"/>
      <c r="AW27" s="412"/>
      <c r="AX27" s="412"/>
      <c r="AY27" s="412"/>
      <c r="AZ27" s="412"/>
      <c r="BA27" s="410"/>
      <c r="BB27" s="410"/>
      <c r="BC27" s="410"/>
      <c r="BD27" s="410"/>
      <c r="BE27" s="410"/>
      <c r="BF27" s="410"/>
      <c r="BG27" s="410"/>
      <c r="BH27" s="410"/>
      <c r="BI27" s="410"/>
      <c r="BJ27" s="410"/>
      <c r="BK27" s="410"/>
      <c r="BL27" s="410"/>
    </row>
    <row r="28" spans="1:64" x14ac:dyDescent="0.2">
      <c r="A28" s="238"/>
      <c r="C28" s="17" t="s">
        <v>178</v>
      </c>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38"/>
      <c r="AF28" s="38"/>
      <c r="AG28" s="410"/>
      <c r="AH28" s="410"/>
      <c r="AI28" s="410"/>
      <c r="AJ28" s="410"/>
      <c r="AK28" s="410"/>
      <c r="AL28" s="410"/>
      <c r="AM28" s="410"/>
      <c r="AN28" s="410"/>
      <c r="AO28" s="410"/>
      <c r="AP28" s="410"/>
      <c r="AQ28" s="410"/>
      <c r="AR28" s="410"/>
      <c r="AS28" s="412"/>
      <c r="AT28" s="412"/>
      <c r="AU28" s="412"/>
      <c r="AV28" s="412"/>
      <c r="AW28" s="412"/>
      <c r="AX28" s="412"/>
      <c r="AY28" s="412"/>
      <c r="AZ28" s="412"/>
      <c r="BA28" s="410"/>
      <c r="BB28" s="410"/>
      <c r="BC28" s="410"/>
      <c r="BD28" s="410"/>
      <c r="BE28" s="410"/>
      <c r="BF28" s="410"/>
      <c r="BG28" s="410"/>
      <c r="BH28" s="410"/>
      <c r="BI28" s="410"/>
      <c r="BJ28" s="410"/>
      <c r="BK28" s="410"/>
      <c r="BL28" s="410"/>
    </row>
    <row r="29" spans="1:64" ht="38.25" x14ac:dyDescent="0.2">
      <c r="A29" s="238"/>
      <c r="C29" s="116" t="s">
        <v>182</v>
      </c>
      <c r="D29" s="411" t="s">
        <v>60</v>
      </c>
      <c r="E29" s="411" t="s">
        <v>61</v>
      </c>
      <c r="F29" s="411" t="s">
        <v>62</v>
      </c>
      <c r="G29" s="411" t="s">
        <v>63</v>
      </c>
      <c r="H29" s="411" t="s">
        <v>64</v>
      </c>
      <c r="I29" s="411" t="s">
        <v>65</v>
      </c>
      <c r="J29" s="411" t="s">
        <v>66</v>
      </c>
      <c r="K29" s="411" t="s">
        <v>67</v>
      </c>
      <c r="L29" s="411" t="s">
        <v>68</v>
      </c>
      <c r="M29" s="411" t="s">
        <v>69</v>
      </c>
      <c r="N29" s="411" t="s">
        <v>70</v>
      </c>
      <c r="O29" s="411" t="s">
        <v>71</v>
      </c>
      <c r="P29" s="411" t="s">
        <v>72</v>
      </c>
      <c r="Q29" s="411" t="s">
        <v>73</v>
      </c>
      <c r="R29" s="411" t="s">
        <v>74</v>
      </c>
      <c r="S29" s="411" t="s">
        <v>75</v>
      </c>
      <c r="T29" s="411" t="s">
        <v>76</v>
      </c>
      <c r="U29" s="411" t="s">
        <v>77</v>
      </c>
      <c r="V29" s="411" t="s">
        <v>78</v>
      </c>
      <c r="W29" s="411" t="s">
        <v>79</v>
      </c>
      <c r="X29" s="411" t="s">
        <v>80</v>
      </c>
      <c r="Y29" s="411" t="s">
        <v>81</v>
      </c>
      <c r="Z29" s="411" t="s">
        <v>82</v>
      </c>
      <c r="AA29" s="411" t="s">
        <v>83</v>
      </c>
      <c r="AB29" s="411" t="s">
        <v>84</v>
      </c>
      <c r="AC29" s="411" t="s">
        <v>85</v>
      </c>
      <c r="AD29" s="411" t="s">
        <v>86</v>
      </c>
      <c r="AE29" s="38" t="s">
        <v>208</v>
      </c>
      <c r="AF29" s="38" t="s">
        <v>207</v>
      </c>
      <c r="AG29" s="410" t="s">
        <v>87</v>
      </c>
      <c r="AH29" s="410" t="s">
        <v>88</v>
      </c>
      <c r="AI29" s="410" t="s">
        <v>89</v>
      </c>
      <c r="AJ29" s="410" t="s">
        <v>90</v>
      </c>
      <c r="AK29" s="410" t="s">
        <v>91</v>
      </c>
      <c r="AL29" s="410" t="s">
        <v>92</v>
      </c>
      <c r="AM29" s="410" t="s">
        <v>93</v>
      </c>
      <c r="AN29" s="410" t="s">
        <v>94</v>
      </c>
      <c r="AO29" s="410" t="s">
        <v>95</v>
      </c>
      <c r="AP29" s="410" t="s">
        <v>96</v>
      </c>
      <c r="AQ29" s="410" t="s">
        <v>97</v>
      </c>
      <c r="AR29" s="410" t="s">
        <v>98</v>
      </c>
      <c r="AS29" s="443" t="s">
        <v>451</v>
      </c>
      <c r="AT29" s="443" t="s">
        <v>452</v>
      </c>
      <c r="AU29" s="443" t="s">
        <v>453</v>
      </c>
      <c r="AV29" s="443" t="s">
        <v>454</v>
      </c>
      <c r="AW29" s="443" t="s">
        <v>455</v>
      </c>
      <c r="AX29" s="443" t="s">
        <v>456</v>
      </c>
      <c r="AY29" s="443" t="s">
        <v>457</v>
      </c>
      <c r="AZ29" s="443" t="s">
        <v>458</v>
      </c>
      <c r="BA29" s="410" t="s">
        <v>99</v>
      </c>
      <c r="BB29" s="410" t="s">
        <v>100</v>
      </c>
      <c r="BC29" s="410" t="s">
        <v>101</v>
      </c>
      <c r="BD29" s="410" t="s">
        <v>102</v>
      </c>
      <c r="BE29" s="410" t="s">
        <v>103</v>
      </c>
      <c r="BF29" s="410" t="s">
        <v>104</v>
      </c>
      <c r="BG29" s="410" t="s">
        <v>105</v>
      </c>
      <c r="BH29" s="410" t="s">
        <v>106</v>
      </c>
      <c r="BI29" s="410" t="s">
        <v>107</v>
      </c>
      <c r="BJ29" s="410" t="s">
        <v>108</v>
      </c>
      <c r="BK29" s="410" t="s">
        <v>109</v>
      </c>
      <c r="BL29" s="410" t="s">
        <v>59</v>
      </c>
    </row>
    <row r="30" spans="1:64" x14ac:dyDescent="0.2">
      <c r="A30" s="238"/>
      <c r="C30" s="404" t="s">
        <v>388</v>
      </c>
      <c r="D30" s="407">
        <v>2.5162563323974609</v>
      </c>
      <c r="E30" s="407">
        <v>3.1491737365722656</v>
      </c>
      <c r="F30" s="407">
        <v>1.8790831565856934</v>
      </c>
      <c r="G30" s="407">
        <v>2.7752876281738281</v>
      </c>
      <c r="H30" s="407">
        <v>2.4746513366699219</v>
      </c>
      <c r="I30" s="407">
        <v>2.4859609603881836</v>
      </c>
      <c r="J30" s="407">
        <v>0.70018577575683594</v>
      </c>
      <c r="K30" s="407">
        <v>1.7767229080200195</v>
      </c>
      <c r="L30" s="407">
        <v>0.72756195068359375</v>
      </c>
      <c r="M30" s="407">
        <v>2.3397951126098633</v>
      </c>
      <c r="N30" s="407">
        <v>2.7645030021667401</v>
      </c>
      <c r="O30" s="407">
        <v>3.3209133148193359</v>
      </c>
      <c r="P30" s="407">
        <v>2.7465696334838867</v>
      </c>
      <c r="Q30" s="407">
        <v>1.6212296485900879</v>
      </c>
      <c r="R30" s="407">
        <v>1.3891806602478027</v>
      </c>
      <c r="S30" s="407">
        <v>1.9759664535522461</v>
      </c>
      <c r="T30" s="407">
        <v>2.0958738327026367</v>
      </c>
      <c r="U30" s="407">
        <v>2.7068710327148438</v>
      </c>
      <c r="V30" s="407">
        <v>1.8570346832275391</v>
      </c>
      <c r="W30" s="407">
        <v>4.4467382431030273</v>
      </c>
      <c r="X30" s="407">
        <v>1.6709871292114258</v>
      </c>
      <c r="Y30" s="407">
        <v>1.0854835510253906</v>
      </c>
      <c r="Z30" s="407">
        <v>2.0191078186035156</v>
      </c>
      <c r="AA30" s="407">
        <v>2.2523078918457031</v>
      </c>
      <c r="AB30" s="407">
        <v>2.852325439453125</v>
      </c>
      <c r="AC30" s="407">
        <v>2.5812387466430664</v>
      </c>
      <c r="AD30" s="407">
        <v>2.7284822463989258</v>
      </c>
      <c r="AE30" s="38">
        <f>'User Add-in Location'!B36</f>
        <v>0</v>
      </c>
      <c r="AF30" s="38">
        <f>'User Add-in Location'!C36</f>
        <v>0</v>
      </c>
      <c r="AG30" s="407">
        <v>2.5226340293884277</v>
      </c>
      <c r="AH30" s="407">
        <v>1.2988038063049316</v>
      </c>
      <c r="AI30" s="407">
        <v>1.6556482315063477</v>
      </c>
      <c r="AJ30" s="407">
        <v>0.96795940399169922</v>
      </c>
      <c r="AK30" s="407">
        <v>2.1171050071716309</v>
      </c>
      <c r="AL30" s="407">
        <v>1.8211078643798828</v>
      </c>
      <c r="AM30" s="407">
        <v>2.543769359588623</v>
      </c>
      <c r="AN30" s="409">
        <v>1.4435305595397949</v>
      </c>
      <c r="AO30" s="409">
        <v>1.8484258651733398</v>
      </c>
      <c r="AP30" s="409">
        <v>3.0419387817382813</v>
      </c>
      <c r="AQ30" s="409">
        <v>3.6281547546386719</v>
      </c>
      <c r="AR30" s="409">
        <v>2.3157005310058594</v>
      </c>
      <c r="AS30" s="409">
        <v>2.1068344116210937</v>
      </c>
      <c r="AT30" s="409">
        <v>2.3357467651367187</v>
      </c>
      <c r="AU30" s="409">
        <v>2.8506126403808594</v>
      </c>
      <c r="AV30" s="409">
        <v>3.7676115036010742</v>
      </c>
      <c r="AW30" s="409">
        <v>2.837608814239502</v>
      </c>
      <c r="AX30" s="409">
        <v>3.0924739837646484</v>
      </c>
      <c r="AY30" s="409">
        <v>3.2106738090515137</v>
      </c>
      <c r="AZ30" s="409">
        <v>2.4993886947631836</v>
      </c>
      <c r="BA30" s="409">
        <v>1.0810718536376953</v>
      </c>
      <c r="BB30" s="409">
        <v>2.4105300903320313</v>
      </c>
      <c r="BC30" s="409">
        <v>1.983522891998291</v>
      </c>
      <c r="BD30" s="409">
        <v>2.4714260101318359</v>
      </c>
      <c r="BE30" s="409">
        <v>2.4883766174316406</v>
      </c>
      <c r="BF30" s="407">
        <v>2.11602783203125</v>
      </c>
      <c r="BG30" s="407">
        <v>4.5755996704101563</v>
      </c>
      <c r="BH30" s="407">
        <v>2.3948440551757812</v>
      </c>
      <c r="BI30" s="407">
        <v>2.2406606674194336</v>
      </c>
      <c r="BJ30" s="407">
        <v>2.3151674270629883</v>
      </c>
      <c r="BK30" s="407">
        <v>3.437922477722168</v>
      </c>
      <c r="BL30" s="407">
        <v>1.6648054122924805</v>
      </c>
    </row>
    <row r="31" spans="1:64" x14ac:dyDescent="0.2">
      <c r="A31" s="238"/>
      <c r="C31" s="404" t="s">
        <v>124</v>
      </c>
      <c r="D31" s="407">
        <v>1.8201167583465576</v>
      </c>
      <c r="E31" s="407">
        <v>1.6215097904205322</v>
      </c>
      <c r="F31" s="407">
        <v>2.2707722187042236</v>
      </c>
      <c r="G31" s="407">
        <v>2.0602161884307861</v>
      </c>
      <c r="H31" s="407">
        <v>2.0729856491088867</v>
      </c>
      <c r="I31" s="407">
        <v>2.0474076271057129</v>
      </c>
      <c r="J31" s="407">
        <v>1.6704964637756348</v>
      </c>
      <c r="K31" s="407">
        <v>1.574489951133728</v>
      </c>
      <c r="L31" s="407">
        <v>1.6917116641998291</v>
      </c>
      <c r="M31" s="407">
        <v>4.0710711479187012</v>
      </c>
      <c r="N31" s="407">
        <v>2.4572463035583496</v>
      </c>
      <c r="O31" s="407">
        <v>1.7351393699645996</v>
      </c>
      <c r="P31" s="407">
        <v>2.4350624084472656</v>
      </c>
      <c r="Q31" s="407">
        <v>1.8527237176895142</v>
      </c>
      <c r="R31" s="407">
        <v>2.0979862213134766</v>
      </c>
      <c r="S31" s="407">
        <v>2.3909485340118408</v>
      </c>
      <c r="T31" s="407">
        <v>1.8327469825744629</v>
      </c>
      <c r="U31" s="407">
        <v>1.8953523635864258</v>
      </c>
      <c r="V31" s="407">
        <v>1.876557469367981</v>
      </c>
      <c r="W31" s="407">
        <v>3.3355820178985596</v>
      </c>
      <c r="X31" s="407">
        <v>2.9238231182098389</v>
      </c>
      <c r="Y31" s="407">
        <v>1.831967830657959</v>
      </c>
      <c r="Z31" s="407">
        <v>2.1286118030548096</v>
      </c>
      <c r="AA31" s="407">
        <v>2.6466472148895264</v>
      </c>
      <c r="AB31" s="407">
        <v>1.7823106050491333</v>
      </c>
      <c r="AC31" s="407">
        <v>2.6510300636291504</v>
      </c>
      <c r="AD31" s="407">
        <v>2.141986608505249</v>
      </c>
      <c r="AE31" s="38">
        <f>'User Add-in Location'!B37</f>
        <v>0</v>
      </c>
      <c r="AF31" s="38">
        <f>'User Add-in Location'!C37</f>
        <v>0</v>
      </c>
      <c r="AG31" s="407">
        <v>2.3774943351745605</v>
      </c>
      <c r="AH31" s="407">
        <v>1.7743664979934692</v>
      </c>
      <c r="AI31" s="407">
        <v>2.854994535446167</v>
      </c>
      <c r="AJ31" s="407">
        <v>2.0826160907745361</v>
      </c>
      <c r="AK31" s="407">
        <v>1.9121289253234863</v>
      </c>
      <c r="AL31" s="407">
        <v>1.514809250831604</v>
      </c>
      <c r="AM31" s="407">
        <v>2.6689128875732422</v>
      </c>
      <c r="AN31" s="409">
        <v>1.858212947845459</v>
      </c>
      <c r="AO31" s="409">
        <v>2.1871957778930664</v>
      </c>
      <c r="AP31" s="409">
        <v>1.7780082225799561</v>
      </c>
      <c r="AQ31" s="409">
        <v>3.1425292491912842</v>
      </c>
      <c r="AR31" s="409">
        <v>2.0982918739318848</v>
      </c>
      <c r="AS31" s="409">
        <v>1.8751962184906006</v>
      </c>
      <c r="AT31" s="409">
        <v>2.2550718784332275</v>
      </c>
      <c r="AU31" s="409">
        <v>2.6297385692596436</v>
      </c>
      <c r="AV31" s="409">
        <v>2.8755369186401367</v>
      </c>
      <c r="AW31" s="409">
        <v>2.4897184371948242</v>
      </c>
      <c r="AX31" s="409">
        <v>2.0640387535095215</v>
      </c>
      <c r="AY31" s="409">
        <v>2.407477855682373</v>
      </c>
      <c r="AZ31" s="409">
        <v>2.0783438682556152</v>
      </c>
      <c r="BA31" s="409">
        <v>2.9735136032104492</v>
      </c>
      <c r="BB31" s="409">
        <v>3.0858588218688965</v>
      </c>
      <c r="BC31" s="409">
        <v>2.7022957801818848</v>
      </c>
      <c r="BD31" s="409">
        <v>2.4536600112915039</v>
      </c>
      <c r="BE31" s="409">
        <v>1.8152444362640381</v>
      </c>
      <c r="BF31" s="407">
        <v>2.5515677928924561</v>
      </c>
      <c r="BG31" s="407">
        <v>2.7283487319946289</v>
      </c>
      <c r="BH31" s="407">
        <v>1.876631498336792</v>
      </c>
      <c r="BI31" s="407">
        <v>2.7436141967773437</v>
      </c>
      <c r="BJ31" s="407">
        <v>1.7268407344818115</v>
      </c>
      <c r="BK31" s="407">
        <v>2.3363924026489258</v>
      </c>
      <c r="BL31" s="407">
        <v>1.3559112548828125</v>
      </c>
    </row>
    <row r="32" spans="1:64" x14ac:dyDescent="0.2">
      <c r="A32" s="238"/>
      <c r="C32" s="404" t="s">
        <v>56</v>
      </c>
      <c r="D32" s="407">
        <v>2.764246940612793</v>
      </c>
      <c r="E32" s="407">
        <v>1.9109487533569336</v>
      </c>
      <c r="F32" s="407">
        <v>2.9832158088684082</v>
      </c>
      <c r="G32" s="407">
        <v>2.7506046295166016</v>
      </c>
      <c r="H32" s="407">
        <v>2.8470063209533691</v>
      </c>
      <c r="I32" s="407">
        <v>2.7774577140808105</v>
      </c>
      <c r="J32" s="407">
        <v>2.1019949913024902</v>
      </c>
      <c r="K32" s="407">
        <v>2.2221264839172363</v>
      </c>
      <c r="L32" s="407">
        <v>1.2916450500488281</v>
      </c>
      <c r="M32" s="407">
        <v>3.4694876670837402</v>
      </c>
      <c r="N32" s="407">
        <v>2.9919962882995605</v>
      </c>
      <c r="O32" s="407">
        <v>2.2887678146362305</v>
      </c>
      <c r="P32" s="407">
        <v>3.1908063888549805</v>
      </c>
      <c r="Q32" s="407">
        <v>2.5733175277709961</v>
      </c>
      <c r="R32" s="407">
        <v>2.6482844352722168</v>
      </c>
      <c r="S32" s="407">
        <v>2.4307661056518555</v>
      </c>
      <c r="T32" s="407">
        <v>2.4213452339172363</v>
      </c>
      <c r="U32" s="407">
        <v>2.5278253555297852</v>
      </c>
      <c r="V32" s="407">
        <v>2.5277118682861328</v>
      </c>
      <c r="W32" s="407">
        <v>3.3258066177368164</v>
      </c>
      <c r="X32" s="407">
        <v>2.3265862464904785</v>
      </c>
      <c r="Y32" s="407">
        <v>2.4167885780334473</v>
      </c>
      <c r="Z32" s="407">
        <v>2.9856915473937988</v>
      </c>
      <c r="AA32" s="407">
        <v>2.9084196090698242</v>
      </c>
      <c r="AB32" s="407">
        <v>2.6442527770996094</v>
      </c>
      <c r="AC32" s="407">
        <v>2.7944550514221191</v>
      </c>
      <c r="AD32" s="407">
        <v>3.0320796966552734</v>
      </c>
      <c r="AE32" s="38">
        <f>'User Add-in Location'!B38</f>
        <v>0</v>
      </c>
      <c r="AF32" s="38">
        <f>'User Add-in Location'!C38</f>
        <v>0</v>
      </c>
      <c r="AG32" s="407">
        <v>2.6806626319885254</v>
      </c>
      <c r="AH32" s="407">
        <v>2.1096653938293457</v>
      </c>
      <c r="AI32" s="407">
        <v>2.5718398094177246</v>
      </c>
      <c r="AJ32" s="407">
        <v>2.2588624954223633</v>
      </c>
      <c r="AK32" s="407">
        <v>2.536292552947998</v>
      </c>
      <c r="AL32" s="407">
        <v>2.1229963302612305</v>
      </c>
      <c r="AM32" s="407">
        <v>3.016718864440918</v>
      </c>
      <c r="AN32" s="409">
        <v>2.2540197372436523</v>
      </c>
      <c r="AO32" s="409">
        <v>3.1589488983154297</v>
      </c>
      <c r="AP32" s="409">
        <v>2.6876087188720703</v>
      </c>
      <c r="AQ32" s="409">
        <v>3.3322048187255859</v>
      </c>
      <c r="AR32" s="409">
        <v>2.8031811714172363</v>
      </c>
      <c r="AS32" s="409">
        <v>2.6230731010437012</v>
      </c>
      <c r="AT32" s="409">
        <v>2.8063225746154785</v>
      </c>
      <c r="AU32" s="409">
        <v>3.1044979095458984</v>
      </c>
      <c r="AV32" s="409">
        <v>3.6113171577453613</v>
      </c>
      <c r="AW32" s="409">
        <v>3.566138744354248</v>
      </c>
      <c r="AX32" s="409">
        <v>3.1033425331115723</v>
      </c>
      <c r="AY32" s="409">
        <v>3.1874275207519531</v>
      </c>
      <c r="AZ32" s="409">
        <v>2.8552322387695313</v>
      </c>
      <c r="BA32" s="409">
        <v>2.5974855422973633</v>
      </c>
      <c r="BB32" s="409">
        <v>2.972813606262207</v>
      </c>
      <c r="BC32" s="409">
        <v>2.8102178573608398</v>
      </c>
      <c r="BD32" s="409">
        <v>2.9707927703857422</v>
      </c>
      <c r="BE32" s="409">
        <v>2.7935085296630859</v>
      </c>
      <c r="BF32" s="407">
        <v>3.508124828338623</v>
      </c>
      <c r="BG32" s="407">
        <v>2.8490285873413086</v>
      </c>
      <c r="BH32" s="407">
        <v>2.5077695846557617</v>
      </c>
      <c r="BI32" s="407">
        <v>2.6476635932922363</v>
      </c>
      <c r="BJ32" s="407">
        <v>2.1577768325805664</v>
      </c>
      <c r="BK32" s="407">
        <v>3.0308547019958496</v>
      </c>
      <c r="BL32" s="407">
        <v>1.7287068367004395</v>
      </c>
    </row>
    <row r="33" spans="1:64" x14ac:dyDescent="0.2">
      <c r="A33" s="238"/>
      <c r="C33" s="404" t="s">
        <v>389</v>
      </c>
      <c r="D33" s="407">
        <v>2.2137918472290039</v>
      </c>
      <c r="E33" s="407">
        <v>1.4263796806335449</v>
      </c>
      <c r="F33" s="407">
        <v>2.2509317398071289</v>
      </c>
      <c r="G33" s="407">
        <v>2.2675743103027344</v>
      </c>
      <c r="H33" s="407">
        <v>2.092529296875</v>
      </c>
      <c r="I33" s="407">
        <v>2.1568794250488281</v>
      </c>
      <c r="J33" s="407">
        <v>1.6725397109985352</v>
      </c>
      <c r="K33" s="407">
        <v>1.7019119262695313</v>
      </c>
      <c r="L33" s="407">
        <v>0.90146255493164063</v>
      </c>
      <c r="M33" s="407">
        <v>2.6505756378173828</v>
      </c>
      <c r="N33" s="407">
        <v>2.3888044357299805</v>
      </c>
      <c r="O33" s="407">
        <v>1.6440815925598145</v>
      </c>
      <c r="P33" s="407">
        <v>2.6136865615844727</v>
      </c>
      <c r="Q33" s="407">
        <v>1.8748645782470703</v>
      </c>
      <c r="R33" s="407">
        <v>2.046351432800293</v>
      </c>
      <c r="S33" s="407">
        <v>1.9426727294921875</v>
      </c>
      <c r="T33" s="407">
        <v>1.8815956115722656</v>
      </c>
      <c r="U33" s="407">
        <v>2.0428485870361328</v>
      </c>
      <c r="V33" s="407">
        <v>1.9353208541870117</v>
      </c>
      <c r="W33" s="407">
        <v>2.8194646835327148</v>
      </c>
      <c r="X33" s="407">
        <v>1.743499755859375</v>
      </c>
      <c r="Y33" s="407">
        <v>1.8286142349243164</v>
      </c>
      <c r="Z33" s="407">
        <v>2.3423147201538086</v>
      </c>
      <c r="AA33" s="407">
        <v>2.2122316360473633</v>
      </c>
      <c r="AB33" s="407">
        <v>2.1754074096679687</v>
      </c>
      <c r="AC33" s="407">
        <v>2.1543788909912109</v>
      </c>
      <c r="AD33" s="407">
        <v>2.4367284774780273</v>
      </c>
      <c r="AE33" s="38">
        <f>'User Add-in Location'!B39</f>
        <v>0</v>
      </c>
      <c r="AF33" s="38">
        <f>'User Add-in Location'!C39</f>
        <v>0</v>
      </c>
      <c r="AG33" s="407">
        <v>1.9754199981689453</v>
      </c>
      <c r="AH33" s="407">
        <v>1.4977836608886719</v>
      </c>
      <c r="AI33" s="407">
        <v>2.1767005920410156</v>
      </c>
      <c r="AJ33" s="407">
        <v>1.6908168792724609</v>
      </c>
      <c r="AK33" s="407">
        <v>1.9831209182739258</v>
      </c>
      <c r="AL33" s="407">
        <v>1.5495357513427734</v>
      </c>
      <c r="AM33" s="407">
        <v>2.4333677291870117</v>
      </c>
      <c r="AN33" s="409">
        <v>1.746647834777832</v>
      </c>
      <c r="AO33" s="409">
        <v>2.4719562530517578</v>
      </c>
      <c r="AP33" s="409">
        <v>2.2055110931396484</v>
      </c>
      <c r="AQ33" s="409">
        <v>2.5115995407104492</v>
      </c>
      <c r="AR33" s="409">
        <v>2.1373443603515625</v>
      </c>
      <c r="AS33" s="409">
        <v>1.957911491394043</v>
      </c>
      <c r="AT33" s="409">
        <v>2.108128547668457</v>
      </c>
      <c r="AU33" s="409">
        <v>2.3893642425537109</v>
      </c>
      <c r="AV33" s="409">
        <v>2.7979955673217773</v>
      </c>
      <c r="AW33" s="409">
        <v>2.652766227722168</v>
      </c>
      <c r="AX33" s="409">
        <v>2.3588943481445313</v>
      </c>
      <c r="AY33" s="409">
        <v>2.3724737167358398</v>
      </c>
      <c r="AZ33" s="409">
        <v>2.094243049621582</v>
      </c>
      <c r="BA33" s="409">
        <v>2.0123081207275391</v>
      </c>
      <c r="BB33" s="409">
        <v>2.3603076934814453</v>
      </c>
      <c r="BC33" s="409">
        <v>2.2991046905517578</v>
      </c>
      <c r="BD33" s="409">
        <v>2.418828010559082</v>
      </c>
      <c r="BE33" s="409">
        <v>2.115941047668457</v>
      </c>
      <c r="BF33" s="407">
        <v>2.6767768859863281</v>
      </c>
      <c r="BG33" s="407">
        <v>2.4186878204345703</v>
      </c>
      <c r="BH33" s="407">
        <v>1.9546041488647461</v>
      </c>
      <c r="BI33" s="407">
        <v>1.9124383926391602</v>
      </c>
      <c r="BJ33" s="407">
        <v>1.6751461029052734</v>
      </c>
      <c r="BK33" s="407">
        <v>2.3036899566650391</v>
      </c>
      <c r="BL33" s="407">
        <v>1.2982559204101563</v>
      </c>
    </row>
    <row r="34" spans="1:64" x14ac:dyDescent="0.2">
      <c r="A34" s="238"/>
      <c r="C34" s="404" t="s">
        <v>390</v>
      </c>
      <c r="D34" s="407">
        <v>1.6558847427368164</v>
      </c>
      <c r="E34" s="407">
        <v>1.4221644401550293</v>
      </c>
      <c r="F34" s="407">
        <v>1.83856201171875</v>
      </c>
      <c r="G34" s="407">
        <v>1.6766176223754883</v>
      </c>
      <c r="H34" s="407">
        <v>1.8747735023498535</v>
      </c>
      <c r="I34" s="407">
        <v>1.7622709274291992</v>
      </c>
      <c r="J34" s="407">
        <v>1.3319482803344727</v>
      </c>
      <c r="K34" s="407">
        <v>1.4883565902709961</v>
      </c>
      <c r="L34" s="407">
        <v>0.75783061981201172</v>
      </c>
      <c r="M34" s="407">
        <v>2.0294828414916992</v>
      </c>
      <c r="N34" s="407">
        <v>1.8154478073120117</v>
      </c>
      <c r="O34" s="407">
        <v>1.6741113662719727</v>
      </c>
      <c r="P34" s="407">
        <v>1.8386631011962891</v>
      </c>
      <c r="Q34" s="407">
        <v>1.7217903137207031</v>
      </c>
      <c r="R34" s="407">
        <v>1.7627897262573242</v>
      </c>
      <c r="S34" s="407">
        <v>1.6828556060791016</v>
      </c>
      <c r="T34" s="407">
        <v>1.6110458374023437</v>
      </c>
      <c r="U34" s="407">
        <v>1.6476755142211914</v>
      </c>
      <c r="V34" s="407">
        <v>1.6018390655517578</v>
      </c>
      <c r="W34" s="407">
        <v>1.8929433822631836</v>
      </c>
      <c r="X34" s="407">
        <v>1.4897289276123047</v>
      </c>
      <c r="Y34" s="407">
        <v>1.532588005065918</v>
      </c>
      <c r="Z34" s="407">
        <v>1.8867807388305664</v>
      </c>
      <c r="AA34" s="407">
        <v>1.8772497177124023</v>
      </c>
      <c r="AB34" s="407">
        <v>1.6399908065795898</v>
      </c>
      <c r="AC34" s="407">
        <v>1.8007631301879883</v>
      </c>
      <c r="AD34" s="407">
        <v>1.7962007522583008</v>
      </c>
      <c r="AE34" s="38">
        <f>'User Add-in Location'!B40</f>
        <v>0</v>
      </c>
      <c r="AF34" s="38">
        <f>'User Add-in Location'!C40</f>
        <v>0</v>
      </c>
      <c r="AG34" s="407">
        <v>1.7928380966186523</v>
      </c>
      <c r="AH34" s="407">
        <v>1.4661788940429688</v>
      </c>
      <c r="AI34" s="407">
        <v>1.5736589431762695</v>
      </c>
      <c r="AJ34" s="407">
        <v>1.4766154289245605</v>
      </c>
      <c r="AK34" s="407">
        <v>1.5715847015380859</v>
      </c>
      <c r="AL34" s="407">
        <v>1.3598442077636719</v>
      </c>
      <c r="AM34" s="407">
        <v>1.8166103363037109</v>
      </c>
      <c r="AN34" s="409">
        <v>1.5743579864501953</v>
      </c>
      <c r="AO34" s="409">
        <v>1.9578638076782227</v>
      </c>
      <c r="AP34" s="409">
        <v>1.6191911697387695</v>
      </c>
      <c r="AQ34" s="409">
        <v>2.0315847396850586</v>
      </c>
      <c r="AR34" s="409">
        <v>1.7914333343505859</v>
      </c>
      <c r="AS34" s="409">
        <v>1.6297950744628906</v>
      </c>
      <c r="AT34" s="409">
        <v>1.7894973754882813</v>
      </c>
      <c r="AU34" s="409">
        <v>1.876795768737793</v>
      </c>
      <c r="AV34" s="409">
        <v>2.1213703155517578</v>
      </c>
      <c r="AW34" s="409">
        <v>2.2354612350463867</v>
      </c>
      <c r="AX34" s="409">
        <v>1.917048454284668</v>
      </c>
      <c r="AY34" s="409">
        <v>1.9786558151245117</v>
      </c>
      <c r="AZ34" s="409">
        <v>1.8813276290893555</v>
      </c>
      <c r="BA34" s="409">
        <v>1.5786533355712891</v>
      </c>
      <c r="BB34" s="409">
        <v>1.793121337890625</v>
      </c>
      <c r="BC34" s="409">
        <v>1.7701225280761719</v>
      </c>
      <c r="BD34" s="409">
        <v>1.7943496704101563</v>
      </c>
      <c r="BE34" s="409">
        <v>1.7705240249633789</v>
      </c>
      <c r="BF34" s="407">
        <v>2.0294256210327148</v>
      </c>
      <c r="BG34" s="407">
        <v>1.635493278503418</v>
      </c>
      <c r="BH34" s="407">
        <v>1.5854835510253906</v>
      </c>
      <c r="BI34" s="407">
        <v>1.6762638092041016</v>
      </c>
      <c r="BJ34" s="407">
        <v>1.4468145370483398</v>
      </c>
      <c r="BK34" s="407">
        <v>1.955479621887207</v>
      </c>
      <c r="BL34" s="407">
        <v>1.2091426849365234</v>
      </c>
    </row>
    <row r="35" spans="1:64" x14ac:dyDescent="0.2">
      <c r="A35" s="238"/>
      <c r="C35" s="404" t="s">
        <v>125</v>
      </c>
      <c r="D35" s="407">
        <v>1.9827690124511719</v>
      </c>
      <c r="E35" s="407">
        <v>2.2156181335449219</v>
      </c>
      <c r="F35" s="407">
        <v>2.1781373023986816</v>
      </c>
      <c r="G35" s="407">
        <v>2.2002298831939697</v>
      </c>
      <c r="H35" s="407">
        <v>2.8307657241821289</v>
      </c>
      <c r="I35" s="407">
        <v>2.178358793258667</v>
      </c>
      <c r="J35" s="407">
        <v>1.4230822324752808</v>
      </c>
      <c r="K35" s="407">
        <v>1.6692615747451782</v>
      </c>
      <c r="L35" s="407">
        <v>0.85582602024078369</v>
      </c>
      <c r="M35" s="407">
        <v>2.7549929618835449</v>
      </c>
      <c r="N35" s="407">
        <v>2.0970356464385986</v>
      </c>
      <c r="O35" s="407">
        <v>2.5420758724212646</v>
      </c>
      <c r="P35" s="407">
        <v>2.3515088558197021</v>
      </c>
      <c r="Q35" s="407">
        <v>2.1616570949554443</v>
      </c>
      <c r="R35" s="407">
        <v>1.7845563888549805</v>
      </c>
      <c r="S35" s="407">
        <v>1.867520809173584</v>
      </c>
      <c r="T35" s="407">
        <v>1.8126959800720215</v>
      </c>
      <c r="U35" s="407">
        <v>2.0459418296813965</v>
      </c>
      <c r="V35" s="407">
        <v>2.2442893981933594</v>
      </c>
      <c r="W35" s="407">
        <v>2.588087797164917</v>
      </c>
      <c r="X35" s="407">
        <v>1.7088303565979004</v>
      </c>
      <c r="Y35" s="407">
        <v>1.8402702808380127</v>
      </c>
      <c r="Z35" s="407">
        <v>2.2436251640319824</v>
      </c>
      <c r="AA35" s="407">
        <v>2.265906810760498</v>
      </c>
      <c r="AB35" s="407">
        <v>2.0674564838409424</v>
      </c>
      <c r="AC35" s="407">
        <v>2.1724123954772949</v>
      </c>
      <c r="AD35" s="407">
        <v>2.3901634216308594</v>
      </c>
      <c r="AE35" s="38">
        <f>'User Add-in Location'!B41</f>
        <v>0</v>
      </c>
      <c r="AF35" s="38">
        <f>'User Add-in Location'!C41</f>
        <v>0</v>
      </c>
      <c r="AG35" s="407">
        <v>2.1630308628082275</v>
      </c>
      <c r="AH35" s="407">
        <v>1.5626697540283203</v>
      </c>
      <c r="AI35" s="407">
        <v>1.7114496231079102</v>
      </c>
      <c r="AJ35" s="407">
        <v>1.7374805212020874</v>
      </c>
      <c r="AK35" s="407">
        <v>2.0026264190673828</v>
      </c>
      <c r="AL35" s="407">
        <v>1.7051839828491211</v>
      </c>
      <c r="AM35" s="407">
        <v>2.1321835517883301</v>
      </c>
      <c r="AN35" s="409">
        <v>1.887103796005249</v>
      </c>
      <c r="AO35" s="409">
        <v>2.2792940139770508</v>
      </c>
      <c r="AP35" s="409">
        <v>2.1038241386413574</v>
      </c>
      <c r="AQ35" s="409">
        <v>2.884878396987915</v>
      </c>
      <c r="AR35" s="409">
        <v>2.2143247127532959</v>
      </c>
      <c r="AS35" s="409">
        <v>2.1073288917541504</v>
      </c>
      <c r="AT35" s="409">
        <v>2.3228034973144531</v>
      </c>
      <c r="AU35" s="409">
        <v>2.3642251491546631</v>
      </c>
      <c r="AV35" s="409">
        <v>3.0048558712005615</v>
      </c>
      <c r="AW35" s="409">
        <v>3.0155010223388672</v>
      </c>
      <c r="AX35" s="409">
        <v>2.8347139358520508</v>
      </c>
      <c r="AY35" s="409">
        <v>2.8591010570526123</v>
      </c>
      <c r="AZ35" s="409">
        <v>2.8386678695678711</v>
      </c>
      <c r="BA35" s="409">
        <v>1.7830300331115723</v>
      </c>
      <c r="BB35" s="409">
        <v>2.0263783931732178</v>
      </c>
      <c r="BC35" s="409">
        <v>1.9240338802337646</v>
      </c>
      <c r="BD35" s="409">
        <v>2.2124757766723633</v>
      </c>
      <c r="BE35" s="409">
        <v>2.4332828521728516</v>
      </c>
      <c r="BF35" s="407">
        <v>2.5592288970947266</v>
      </c>
      <c r="BG35" s="407">
        <v>2.2973325252532959</v>
      </c>
      <c r="BH35" s="407">
        <v>1.8166899681091309</v>
      </c>
      <c r="BI35" s="407">
        <v>2.3122437000274658</v>
      </c>
      <c r="BJ35" s="407">
        <v>1.7640300989151001</v>
      </c>
      <c r="BK35" s="407">
        <v>2.4812917709350586</v>
      </c>
      <c r="BL35" s="407">
        <v>1.4725176095962524</v>
      </c>
    </row>
    <row r="36" spans="1:64" x14ac:dyDescent="0.2">
      <c r="A36" s="238"/>
      <c r="C36" s="404" t="s">
        <v>126</v>
      </c>
      <c r="D36" s="407">
        <v>2.1293008327484131</v>
      </c>
      <c r="E36" s="407">
        <v>1.8966941833496094</v>
      </c>
      <c r="F36" s="407">
        <v>2.627316951751709</v>
      </c>
      <c r="G36" s="407">
        <v>2.1272575855255127</v>
      </c>
      <c r="H36" s="407">
        <v>2.8812172412872314</v>
      </c>
      <c r="I36" s="407">
        <v>2.3159706592559814</v>
      </c>
      <c r="J36" s="407">
        <v>1.8379759788513184</v>
      </c>
      <c r="K36" s="407">
        <v>1.7869441509246826</v>
      </c>
      <c r="L36" s="407">
        <v>1.224815845489502</v>
      </c>
      <c r="M36" s="407">
        <v>3.0260269641876221</v>
      </c>
      <c r="N36" s="407">
        <v>2.4654786586761475</v>
      </c>
      <c r="O36" s="407">
        <v>2.3874118328094482</v>
      </c>
      <c r="P36" s="407">
        <v>2.4894287586212158</v>
      </c>
      <c r="Q36" s="407">
        <v>2.449650764465332</v>
      </c>
      <c r="R36" s="407">
        <v>2.0686168670654297</v>
      </c>
      <c r="S36" s="407">
        <v>1.9420661926269531</v>
      </c>
      <c r="T36" s="407">
        <v>1.9198184013366699</v>
      </c>
      <c r="U36" s="407">
        <v>2.0807006359100342</v>
      </c>
      <c r="V36" s="407">
        <v>1.9571900367736816</v>
      </c>
      <c r="W36" s="407">
        <v>2.6334562301635742</v>
      </c>
      <c r="X36" s="407">
        <v>2.064591646194458</v>
      </c>
      <c r="Y36" s="407">
        <v>2.1494355201721191</v>
      </c>
      <c r="Z36" s="407">
        <v>2.5473082065582275</v>
      </c>
      <c r="AA36" s="407">
        <v>2.4592924118041992</v>
      </c>
      <c r="AB36" s="407">
        <v>1.9894115924835205</v>
      </c>
      <c r="AC36" s="407">
        <v>2.3871791362762451</v>
      </c>
      <c r="AD36" s="407">
        <v>2.27402663230896</v>
      </c>
      <c r="AE36" s="38">
        <f>'User Add-in Location'!B42</f>
        <v>0</v>
      </c>
      <c r="AF36" s="38">
        <f>'User Add-in Location'!C42</f>
        <v>0</v>
      </c>
      <c r="AG36" s="407">
        <v>2.1501343250274658</v>
      </c>
      <c r="AH36" s="407">
        <v>1.9172546863555908</v>
      </c>
      <c r="AI36" s="407">
        <v>2.018862247467041</v>
      </c>
      <c r="AJ36" s="407">
        <v>2.0103006362915039</v>
      </c>
      <c r="AK36" s="407">
        <v>2.1263868808746338</v>
      </c>
      <c r="AL36" s="407">
        <v>1.9242990016937256</v>
      </c>
      <c r="AM36" s="407">
        <v>2.4599559307098389</v>
      </c>
      <c r="AN36" s="409">
        <v>1.7861504554748535</v>
      </c>
      <c r="AO36" s="409">
        <v>2.5629987716674805</v>
      </c>
      <c r="AP36" s="409">
        <v>2.0336463451385498</v>
      </c>
      <c r="AQ36" s="409">
        <v>2.8967812061309814</v>
      </c>
      <c r="AR36" s="409">
        <v>2.4269368648529053</v>
      </c>
      <c r="AS36" s="409">
        <v>2.3894858360290527</v>
      </c>
      <c r="AT36" s="409">
        <v>2.5473859310150146</v>
      </c>
      <c r="AU36" s="409">
        <v>2.5825419425964355</v>
      </c>
      <c r="AV36" s="409">
        <v>3.0889599323272705</v>
      </c>
      <c r="AW36" s="409">
        <v>3.2272682189941406</v>
      </c>
      <c r="AX36" s="409">
        <v>2.5635452270507812</v>
      </c>
      <c r="AY36" s="409">
        <v>2.8405966758728027</v>
      </c>
      <c r="AZ36" s="409">
        <v>2.8885421752929687</v>
      </c>
      <c r="BA36" s="409">
        <v>2.2399635314941406</v>
      </c>
      <c r="BB36" s="409">
        <v>2.2277181148529053</v>
      </c>
      <c r="BC36" s="409">
        <v>2.0825064182281494</v>
      </c>
      <c r="BD36" s="409">
        <v>2.2806167602539062</v>
      </c>
      <c r="BE36" s="409">
        <v>2.2577025890350342</v>
      </c>
      <c r="BF36" s="407">
        <v>2.9391515254974365</v>
      </c>
      <c r="BG36" s="407">
        <v>2.2229726314544678</v>
      </c>
      <c r="BH36" s="407">
        <v>1.8930752277374268</v>
      </c>
      <c r="BI36" s="407">
        <v>2.3820445537567139</v>
      </c>
      <c r="BJ36" s="407">
        <v>1.752025842666626</v>
      </c>
      <c r="BK36" s="407">
        <v>2.5762538909912109</v>
      </c>
      <c r="BL36" s="407">
        <v>1.3232777118682861</v>
      </c>
    </row>
    <row r="37" spans="1:64" x14ac:dyDescent="0.2">
      <c r="A37" s="238"/>
      <c r="C37" s="404" t="s">
        <v>127</v>
      </c>
      <c r="D37" s="407">
        <v>2.0845396518707275</v>
      </c>
      <c r="E37" s="407">
        <v>1.6683452129364014</v>
      </c>
      <c r="F37" s="407">
        <v>2.6647210121154785</v>
      </c>
      <c r="G37" s="407">
        <v>2.1920480728149414</v>
      </c>
      <c r="H37" s="407">
        <v>2.7275738716125488</v>
      </c>
      <c r="I37" s="407">
        <v>2.2733101844787598</v>
      </c>
      <c r="J37" s="407">
        <v>1.7716414928436279</v>
      </c>
      <c r="K37" s="407">
        <v>1.6398561000823975</v>
      </c>
      <c r="L37" s="407">
        <v>1.1897929906845093</v>
      </c>
      <c r="M37" s="407">
        <v>2.9382269382476807</v>
      </c>
      <c r="N37" s="407">
        <v>2.3383221626281738</v>
      </c>
      <c r="O37" s="407">
        <v>0</v>
      </c>
      <c r="P37" s="407">
        <v>2.4219679832458496</v>
      </c>
      <c r="Q37" s="407">
        <v>2.3035554885864258</v>
      </c>
      <c r="R37" s="407">
        <v>2.0561959743499756</v>
      </c>
      <c r="S37" s="407">
        <v>1.9574110507965088</v>
      </c>
      <c r="T37" s="407">
        <v>1.8742389678955078</v>
      </c>
      <c r="U37" s="407">
        <v>2.0318379402160645</v>
      </c>
      <c r="V37" s="407">
        <v>1.9279968738555908</v>
      </c>
      <c r="W37" s="407">
        <v>2.5397558212280273</v>
      </c>
      <c r="X37" s="407">
        <v>2.0135464668273926</v>
      </c>
      <c r="Y37" s="407">
        <v>2.0744533538818359</v>
      </c>
      <c r="Z37" s="407">
        <v>2.4056859016418457</v>
      </c>
      <c r="AA37" s="407">
        <v>2.373985767364502</v>
      </c>
      <c r="AB37" s="407">
        <v>1.87349534034729</v>
      </c>
      <c r="AC37" s="407">
        <v>2.3405568599700928</v>
      </c>
      <c r="AD37" s="407">
        <v>2.3030083179473877</v>
      </c>
      <c r="AE37" s="38">
        <f>'User Add-in Location'!B43</f>
        <v>0</v>
      </c>
      <c r="AF37" s="38">
        <f>'User Add-in Location'!C43</f>
        <v>0</v>
      </c>
      <c r="AG37" s="407">
        <v>2.2434496879577637</v>
      </c>
      <c r="AH37" s="407">
        <v>2.0464341640472412</v>
      </c>
      <c r="AI37" s="407">
        <v>1.9180300235748291</v>
      </c>
      <c r="AJ37" s="407">
        <v>1.9855389595031738</v>
      </c>
      <c r="AK37" s="407">
        <v>1.9803609848022461</v>
      </c>
      <c r="AL37" s="407">
        <v>1.9219427108764648</v>
      </c>
      <c r="AM37" s="407">
        <v>2.3998680114746094</v>
      </c>
      <c r="AN37" s="409">
        <v>1.9865260124206543</v>
      </c>
      <c r="AO37" s="409">
        <v>2.5101931095123291</v>
      </c>
      <c r="AP37" s="409">
        <v>1.9565243721008301</v>
      </c>
      <c r="AQ37" s="409">
        <v>2.838486909866333</v>
      </c>
      <c r="AR37" s="409">
        <v>2.4259359836578369</v>
      </c>
      <c r="AS37" s="409">
        <v>2.3325021266937256</v>
      </c>
      <c r="AT37" s="409">
        <v>2.515873908996582</v>
      </c>
      <c r="AU37" s="409">
        <v>2.5476710796356201</v>
      </c>
      <c r="AV37" s="409">
        <v>3.0243997573852539</v>
      </c>
      <c r="AW37" s="409">
        <v>3.1354484558105469</v>
      </c>
      <c r="AX37" s="409">
        <v>2.5081369876861572</v>
      </c>
      <c r="AY37" s="409">
        <v>2.8329129219055176</v>
      </c>
      <c r="AZ37" s="409">
        <v>2.7302122116088867</v>
      </c>
      <c r="BA37" s="409">
        <v>2.2166626453399658</v>
      </c>
      <c r="BB37" s="409">
        <v>2.1036562919616699</v>
      </c>
      <c r="BC37" s="409">
        <v>2.2676212787628174</v>
      </c>
      <c r="BD37" s="409">
        <v>2.359095573425293</v>
      </c>
      <c r="BE37" s="409">
        <v>2.1990072727203369</v>
      </c>
      <c r="BF37" s="407">
        <v>2.9381518363952637</v>
      </c>
      <c r="BG37" s="407">
        <v>2.1499950885772705</v>
      </c>
      <c r="BH37" s="407">
        <v>1.9827394485473633</v>
      </c>
      <c r="BI37" s="407">
        <v>2.3424296379089355</v>
      </c>
      <c r="BJ37" s="407">
        <v>1.8842687606811523</v>
      </c>
      <c r="BK37" s="407">
        <v>2.4667906761169434</v>
      </c>
      <c r="BL37" s="407">
        <v>1.2941312789916992</v>
      </c>
    </row>
    <row r="38" spans="1:64" x14ac:dyDescent="0.2">
      <c r="A38" s="238"/>
      <c r="C38" s="404" t="s">
        <v>391</v>
      </c>
      <c r="D38" s="407">
        <v>1.6170525550842285</v>
      </c>
      <c r="E38" s="407">
        <v>1.2694616317749023</v>
      </c>
      <c r="F38" s="407">
        <v>2.1619374752044678</v>
      </c>
      <c r="G38" s="407">
        <v>1.8052585124969482</v>
      </c>
      <c r="H38" s="407">
        <v>2.4092264175415039</v>
      </c>
      <c r="I38" s="407">
        <v>1.9345073699951172</v>
      </c>
      <c r="J38" s="407">
        <v>1.2212352752685547</v>
      </c>
      <c r="K38" s="407">
        <v>1.1454644203186035</v>
      </c>
      <c r="L38" s="407">
        <v>0</v>
      </c>
      <c r="M38" s="407">
        <v>2.4358789920806885</v>
      </c>
      <c r="N38" s="407">
        <v>1.66398024559021</v>
      </c>
      <c r="O38" s="407">
        <v>0</v>
      </c>
      <c r="P38" s="407">
        <v>1.9662737846374512</v>
      </c>
      <c r="Q38" s="407">
        <v>1.9047760963439941</v>
      </c>
      <c r="R38" s="407">
        <v>1.6962623596191406</v>
      </c>
      <c r="S38" s="407">
        <v>1.4265289306640625</v>
      </c>
      <c r="T38" s="407">
        <v>1.49371337890625</v>
      </c>
      <c r="U38" s="407">
        <v>1.5181779861450195</v>
      </c>
      <c r="V38" s="407">
        <v>1.4650959968566895</v>
      </c>
      <c r="W38" s="407">
        <v>1.8642234802246094</v>
      </c>
      <c r="X38" s="407">
        <v>1.5968091487884521</v>
      </c>
      <c r="Y38" s="407">
        <v>1.6875088214874268</v>
      </c>
      <c r="Z38" s="407">
        <v>1.9165186882019043</v>
      </c>
      <c r="AA38" s="407">
        <v>1.9948291778564453</v>
      </c>
      <c r="AB38" s="407">
        <v>1.604323148727417</v>
      </c>
      <c r="AC38" s="407">
        <v>1.9254798889160156</v>
      </c>
      <c r="AD38" s="407">
        <v>1.6914639472961426</v>
      </c>
      <c r="AE38" s="38">
        <f>'User Add-in Location'!B44</f>
        <v>0</v>
      </c>
      <c r="AF38" s="38">
        <f>'User Add-in Location'!C44</f>
        <v>0</v>
      </c>
      <c r="AG38" s="407">
        <v>1.7666306495666504</v>
      </c>
      <c r="AH38" s="407">
        <v>1.4763433933258057</v>
      </c>
      <c r="AI38" s="407">
        <v>1.6839725971221924</v>
      </c>
      <c r="AJ38" s="407">
        <v>1.6556448936462402</v>
      </c>
      <c r="AK38" s="407">
        <v>1.7581527233123779</v>
      </c>
      <c r="AL38" s="407">
        <v>1.5281538963317871</v>
      </c>
      <c r="AM38" s="407">
        <v>1.9401838779449463</v>
      </c>
      <c r="AN38" s="409">
        <v>1.8390469551086426</v>
      </c>
      <c r="AO38" s="409">
        <v>2.0000481605529785</v>
      </c>
      <c r="AP38" s="409">
        <v>1.7239508628845215</v>
      </c>
      <c r="AQ38" s="409">
        <v>2.3382186889648438</v>
      </c>
      <c r="AR38" s="409">
        <v>1.8468344211578369</v>
      </c>
      <c r="AS38" s="409">
        <v>1.8113617897033691</v>
      </c>
      <c r="AT38" s="409">
        <v>1.970423698425293</v>
      </c>
      <c r="AU38" s="409">
        <v>2.102940559387207</v>
      </c>
      <c r="AV38" s="409">
        <v>2.4109771251678467</v>
      </c>
      <c r="AW38" s="409">
        <v>2.5674207210540771</v>
      </c>
      <c r="AX38" s="409">
        <v>2.0735957622528076</v>
      </c>
      <c r="AY38" s="409">
        <v>2.2714247703552246</v>
      </c>
      <c r="AZ38" s="409">
        <v>2.4093999862670898</v>
      </c>
      <c r="BA38" s="409">
        <v>1.6597213745117187</v>
      </c>
      <c r="BB38" s="409">
        <v>1.7938001155853271</v>
      </c>
      <c r="BC38" s="409">
        <v>1.8199234008789062</v>
      </c>
      <c r="BD38" s="409">
        <v>1.8190500736236572</v>
      </c>
      <c r="BE38" s="409">
        <v>1.7871139049530029</v>
      </c>
      <c r="BF38" s="407">
        <v>2.2276468276977539</v>
      </c>
      <c r="BG38" s="407">
        <v>1.6254751682281494</v>
      </c>
      <c r="BH38" s="407">
        <v>1.5869412422180176</v>
      </c>
      <c r="BI38" s="407">
        <v>1.8835418224334717</v>
      </c>
      <c r="BJ38" s="407">
        <v>1.3327920436859131</v>
      </c>
      <c r="BK38" s="407">
        <v>2.0024204254150391</v>
      </c>
      <c r="BL38" s="407">
        <v>0.85743975639343262</v>
      </c>
    </row>
    <row r="39" spans="1:64" x14ac:dyDescent="0.2">
      <c r="A39" s="238"/>
      <c r="C39" s="404" t="s">
        <v>392</v>
      </c>
      <c r="D39" s="407">
        <v>0</v>
      </c>
      <c r="E39" s="407">
        <v>0</v>
      </c>
      <c r="F39" s="407">
        <v>2.9168565273284912</v>
      </c>
      <c r="G39" s="407">
        <v>2.4186367988586426</v>
      </c>
      <c r="H39" s="407">
        <v>3.1142487525939941</v>
      </c>
      <c r="I39" s="407">
        <v>2.6946780681610107</v>
      </c>
      <c r="J39" s="407">
        <v>1.9937443733215332</v>
      </c>
      <c r="K39" s="407">
        <v>1.7664546966552734</v>
      </c>
      <c r="L39" s="407">
        <v>0</v>
      </c>
      <c r="M39" s="407">
        <v>2.9563047885894775</v>
      </c>
      <c r="N39" s="407">
        <v>2.3337929248809814</v>
      </c>
      <c r="O39" s="407">
        <v>0</v>
      </c>
      <c r="P39" s="407">
        <v>0</v>
      </c>
      <c r="Q39" s="407">
        <v>2.4963345527648926</v>
      </c>
      <c r="R39" s="407">
        <v>2.4453790187835693</v>
      </c>
      <c r="S39" s="407">
        <v>2.358475923538208</v>
      </c>
      <c r="T39" s="407">
        <v>2.2447035312652588</v>
      </c>
      <c r="U39" s="407">
        <v>2.4219768047332764</v>
      </c>
      <c r="V39" s="407">
        <v>0</v>
      </c>
      <c r="W39" s="407">
        <v>0</v>
      </c>
      <c r="X39" s="407">
        <v>1.5467939376831055</v>
      </c>
      <c r="Y39" s="407">
        <v>0</v>
      </c>
      <c r="Z39" s="407">
        <v>2.4714679718017578</v>
      </c>
      <c r="AA39" s="407">
        <v>2.6272757053375244</v>
      </c>
      <c r="AB39" s="407">
        <v>2.3172128200531006</v>
      </c>
      <c r="AC39" s="407">
        <v>2.7723581790924072</v>
      </c>
      <c r="AD39" s="407">
        <v>0</v>
      </c>
      <c r="AE39" s="38">
        <f>'User Add-in Location'!B45</f>
        <v>0</v>
      </c>
      <c r="AF39" s="38">
        <f>'User Add-in Location'!C45</f>
        <v>0</v>
      </c>
      <c r="AG39" s="407">
        <v>0</v>
      </c>
      <c r="AH39" s="407">
        <v>0</v>
      </c>
      <c r="AI39" s="407">
        <v>0</v>
      </c>
      <c r="AJ39" s="407">
        <v>2.1930878162384033</v>
      </c>
      <c r="AK39" s="407">
        <v>0</v>
      </c>
      <c r="AL39" s="407">
        <v>2.2022631168365479</v>
      </c>
      <c r="AM39" s="407">
        <v>2.7635269165039062</v>
      </c>
      <c r="AN39" s="409">
        <v>0</v>
      </c>
      <c r="AO39" s="409">
        <v>2.8812298774719238</v>
      </c>
      <c r="AP39" s="409">
        <v>2.5278489589691162</v>
      </c>
      <c r="AQ39" s="409">
        <v>3.1753036975860596</v>
      </c>
      <c r="AR39" s="409">
        <v>2.7469894886016846</v>
      </c>
      <c r="AS39" s="409">
        <v>2.6117212772369385</v>
      </c>
      <c r="AT39" s="409">
        <v>2.6610159873962402</v>
      </c>
      <c r="AU39" s="409">
        <v>2.8899378776550293</v>
      </c>
      <c r="AV39" s="409">
        <v>3.074878454208374</v>
      </c>
      <c r="AW39" s="409">
        <v>3.4605720043182373</v>
      </c>
      <c r="AX39" s="409">
        <v>2.9400665760040283</v>
      </c>
      <c r="AY39" s="409">
        <v>3.1870913505554199</v>
      </c>
      <c r="AZ39" s="409">
        <v>3.1197414398193359</v>
      </c>
      <c r="BA39" s="409">
        <v>2.3736698627471924</v>
      </c>
      <c r="BB39" s="409">
        <v>2.5325109958648682</v>
      </c>
      <c r="BC39" s="409">
        <v>0</v>
      </c>
      <c r="BD39" s="409">
        <v>2.7479021549224854</v>
      </c>
      <c r="BE39" s="409">
        <v>2.4321379661560059</v>
      </c>
      <c r="BF39" s="407">
        <v>3.3570091724395752</v>
      </c>
      <c r="BG39" s="407">
        <v>0</v>
      </c>
      <c r="BH39" s="407">
        <v>0</v>
      </c>
      <c r="BI39" s="407">
        <v>2.7198202610015869</v>
      </c>
      <c r="BJ39" s="407">
        <v>1.8795280456542969</v>
      </c>
      <c r="BK39" s="407">
        <v>2.6868183612823486</v>
      </c>
      <c r="BL39" s="407">
        <v>0</v>
      </c>
    </row>
    <row r="40" spans="1:64" x14ac:dyDescent="0.2">
      <c r="A40" s="238"/>
      <c r="C40" s="404" t="s">
        <v>393</v>
      </c>
      <c r="D40" s="407">
        <v>1.4341810941696167</v>
      </c>
      <c r="E40" s="407">
        <v>0</v>
      </c>
      <c r="F40" s="407">
        <v>1.557341456413269</v>
      </c>
      <c r="G40" s="407">
        <v>1.4106439352035522</v>
      </c>
      <c r="H40" s="407">
        <v>2.2182269096374512</v>
      </c>
      <c r="I40" s="407">
        <v>1.6213247776031494</v>
      </c>
      <c r="J40" s="407">
        <v>1.2504351139068604</v>
      </c>
      <c r="K40" s="407">
        <v>0.98969888687133789</v>
      </c>
      <c r="L40" s="407">
        <v>0.61148405075073242</v>
      </c>
      <c r="M40" s="407">
        <v>2.1343545913696289</v>
      </c>
      <c r="N40" s="407">
        <v>1.6318207979202271</v>
      </c>
      <c r="O40" s="407">
        <v>0</v>
      </c>
      <c r="P40" s="407">
        <v>1.5432389974594116</v>
      </c>
      <c r="Q40" s="407">
        <v>1.693325400352478</v>
      </c>
      <c r="R40" s="407">
        <v>1.4055407047271729</v>
      </c>
      <c r="S40" s="407">
        <v>1.3185312747955322</v>
      </c>
      <c r="T40" s="407">
        <v>0</v>
      </c>
      <c r="U40" s="407">
        <v>1.4464148283004761</v>
      </c>
      <c r="V40" s="407">
        <v>0</v>
      </c>
      <c r="W40" s="407">
        <v>1.7681362628936768</v>
      </c>
      <c r="X40" s="407">
        <v>1.1748090982437134</v>
      </c>
      <c r="Y40" s="407">
        <v>1.5084245204925537</v>
      </c>
      <c r="Z40" s="407">
        <v>1.6725221872329712</v>
      </c>
      <c r="AA40" s="407">
        <v>1.8236408233642578</v>
      </c>
      <c r="AB40" s="407">
        <v>1.2755697965621948</v>
      </c>
      <c r="AC40" s="407">
        <v>1.735042929649353</v>
      </c>
      <c r="AD40" s="407">
        <v>1.3353421688079834</v>
      </c>
      <c r="AE40" s="38">
        <f>'User Add-in Location'!B46</f>
        <v>0</v>
      </c>
      <c r="AF40" s="38">
        <f>'User Add-in Location'!C46</f>
        <v>0</v>
      </c>
      <c r="AG40" s="407">
        <v>1.4089729785919189</v>
      </c>
      <c r="AH40" s="407">
        <v>1.2518442869186401</v>
      </c>
      <c r="AI40" s="407">
        <v>1.3674740791320801</v>
      </c>
      <c r="AJ40" s="407">
        <v>1.4494032859802246</v>
      </c>
      <c r="AK40" s="407">
        <v>1.2852191925048828</v>
      </c>
      <c r="AL40" s="407">
        <v>1.403056263923645</v>
      </c>
      <c r="AM40" s="407">
        <v>1.7234740257263184</v>
      </c>
      <c r="AN40" s="409">
        <v>1.359694242477417</v>
      </c>
      <c r="AO40" s="409">
        <v>1.8922573328018188</v>
      </c>
      <c r="AP40" s="409">
        <v>1.4228243827819824</v>
      </c>
      <c r="AQ40" s="409">
        <v>2.0641067028045654</v>
      </c>
      <c r="AR40" s="409">
        <v>1.6725871562957764</v>
      </c>
      <c r="AS40" s="409">
        <v>1.8209550380706787</v>
      </c>
      <c r="AT40" s="409">
        <v>1.8348007202148437</v>
      </c>
      <c r="AU40" s="409">
        <v>1.8636401891708374</v>
      </c>
      <c r="AV40" s="409">
        <v>2.3463742733001709</v>
      </c>
      <c r="AW40" s="409">
        <v>2.5288980007171631</v>
      </c>
      <c r="AX40" s="409">
        <v>1.8453359603881836</v>
      </c>
      <c r="AY40" s="409">
        <v>2.0587060451507568</v>
      </c>
      <c r="AZ40" s="409">
        <v>2.2154326438903809</v>
      </c>
      <c r="BA40" s="409">
        <v>1.3845586776733398</v>
      </c>
      <c r="BB40" s="409">
        <v>1.4110130071640015</v>
      </c>
      <c r="BC40" s="409">
        <v>0</v>
      </c>
      <c r="BD40" s="409">
        <v>1.7754745483398438</v>
      </c>
      <c r="BE40" s="409">
        <v>1.5481531620025635</v>
      </c>
      <c r="BF40" s="407">
        <v>1.9743901491165161</v>
      </c>
      <c r="BG40" s="407">
        <v>1.412875771522522</v>
      </c>
      <c r="BH40" s="407">
        <v>1.3303401470184326</v>
      </c>
      <c r="BI40" s="407">
        <v>1.7882169485092163</v>
      </c>
      <c r="BJ40" s="407">
        <v>0</v>
      </c>
      <c r="BK40" s="407">
        <v>1.7109984159469604</v>
      </c>
      <c r="BL40" s="407">
        <v>0.78908908367156982</v>
      </c>
    </row>
    <row r="41" spans="1:64" x14ac:dyDescent="0.2">
      <c r="A41" s="238"/>
      <c r="C41" s="404" t="s">
        <v>57</v>
      </c>
      <c r="D41" s="407">
        <v>2.0996007919311523</v>
      </c>
      <c r="E41" s="407">
        <v>1.7041468620300293</v>
      </c>
      <c r="F41" s="407">
        <v>2.6419048309326172</v>
      </c>
      <c r="G41" s="407">
        <v>2.2310371398925781</v>
      </c>
      <c r="H41" s="407">
        <v>2.4461245536804199</v>
      </c>
      <c r="I41" s="407">
        <v>2.3469796180725098</v>
      </c>
      <c r="J41" s="407">
        <v>1.909604549407959</v>
      </c>
      <c r="K41" s="407">
        <v>1.9727516174316406</v>
      </c>
      <c r="L41" s="407">
        <v>1.3165793418884277</v>
      </c>
      <c r="M41" s="407">
        <v>2.8540067672729492</v>
      </c>
      <c r="N41" s="407">
        <v>2.355189323425293</v>
      </c>
      <c r="O41" s="407">
        <v>2.3999643325805664</v>
      </c>
      <c r="P41" s="407">
        <v>2.6521873474121094</v>
      </c>
      <c r="Q41" s="407">
        <v>2.3170971870422363</v>
      </c>
      <c r="R41" s="407">
        <v>2.1796560287475586</v>
      </c>
      <c r="S41" s="407">
        <v>2.0851964950561523</v>
      </c>
      <c r="T41" s="407">
        <v>1.9999308586120605</v>
      </c>
      <c r="U41" s="407">
        <v>2.0775022506713867</v>
      </c>
      <c r="V41" s="407">
        <v>1.9325838088989258</v>
      </c>
      <c r="W41" s="407">
        <v>2.713386058807373</v>
      </c>
      <c r="X41" s="407">
        <v>2.1357107162475586</v>
      </c>
      <c r="Y41" s="407">
        <v>2.2013216018676758</v>
      </c>
      <c r="Z41" s="407">
        <v>2.3956103324890137</v>
      </c>
      <c r="AA41" s="407">
        <v>2.3753795623779297</v>
      </c>
      <c r="AB41" s="407">
        <v>2.0365810394287109</v>
      </c>
      <c r="AC41" s="407">
        <v>2.4120392799377441</v>
      </c>
      <c r="AD41" s="407">
        <v>2.5191798210144043</v>
      </c>
      <c r="AE41" s="38">
        <f>'User Add-in Location'!B47</f>
        <v>0</v>
      </c>
      <c r="AF41" s="38">
        <f>'User Add-in Location'!C47</f>
        <v>0</v>
      </c>
      <c r="AG41" s="407">
        <v>2.3266563415527344</v>
      </c>
      <c r="AH41" s="407">
        <v>2.0688133239746094</v>
      </c>
      <c r="AI41" s="407">
        <v>2.215662956237793</v>
      </c>
      <c r="AJ41" s="407">
        <v>2.0476670265197754</v>
      </c>
      <c r="AK41" s="407">
        <v>2.2766122817993164</v>
      </c>
      <c r="AL41" s="407">
        <v>1.9746885299682617</v>
      </c>
      <c r="AM41" s="407">
        <v>2.49371337890625</v>
      </c>
      <c r="AN41" s="409">
        <v>2.0499591827392578</v>
      </c>
      <c r="AO41" s="409">
        <v>2.5409984588623047</v>
      </c>
      <c r="AP41" s="409">
        <v>2.2185039520263672</v>
      </c>
      <c r="AQ41" s="409">
        <v>2.6036510467529297</v>
      </c>
      <c r="AR41" s="409">
        <v>2.3723773956298828</v>
      </c>
      <c r="AS41" s="409">
        <v>2.2490658760070801</v>
      </c>
      <c r="AT41" s="409">
        <v>2.3663759231567383</v>
      </c>
      <c r="AU41" s="409">
        <v>2.4999189376831055</v>
      </c>
      <c r="AV41" s="409">
        <v>2.7440915107727051</v>
      </c>
      <c r="AW41" s="409">
        <v>2.6919713020324707</v>
      </c>
      <c r="AX41" s="409">
        <v>2.316521167755127</v>
      </c>
      <c r="AY41" s="409">
        <v>2.5746064186096191</v>
      </c>
      <c r="AZ41" s="409">
        <v>2.4571714401245117</v>
      </c>
      <c r="BA41" s="409">
        <v>2.4064154624938965</v>
      </c>
      <c r="BB41" s="409">
        <v>2.3794364929199219</v>
      </c>
      <c r="BC41" s="409">
        <v>2.3508028984069824</v>
      </c>
      <c r="BD41" s="409">
        <v>2.3456339836120605</v>
      </c>
      <c r="BE41" s="409">
        <v>2.1103000640869141</v>
      </c>
      <c r="BF41" s="407">
        <v>2.9121198654174805</v>
      </c>
      <c r="BG41" s="407">
        <v>2.4248366355895996</v>
      </c>
      <c r="BH41" s="407">
        <v>2.0290718078613281</v>
      </c>
      <c r="BI41" s="407">
        <v>2.1501579284667969</v>
      </c>
      <c r="BJ41" s="407">
        <v>1.8947134017944336</v>
      </c>
      <c r="BK41" s="407">
        <v>2.4551730155944824</v>
      </c>
      <c r="BL41" s="407">
        <v>1.4690475463867187</v>
      </c>
    </row>
    <row r="42" spans="1:64" x14ac:dyDescent="0.2">
      <c r="A42" s="238"/>
      <c r="C42" s="404" t="s">
        <v>394</v>
      </c>
      <c r="D42" s="407">
        <v>2.0176191329956055</v>
      </c>
      <c r="E42" s="407">
        <v>1.6423454284667969</v>
      </c>
      <c r="F42" s="407">
        <v>2.4447765350341797</v>
      </c>
      <c r="G42" s="407">
        <v>2.1615428924560547</v>
      </c>
      <c r="H42" s="407">
        <v>2.1692094802856445</v>
      </c>
      <c r="I42" s="407">
        <v>2.2121200561523437</v>
      </c>
      <c r="J42" s="407">
        <v>1.731938362121582</v>
      </c>
      <c r="K42" s="407">
        <v>1.9355611801147461</v>
      </c>
      <c r="L42" s="407">
        <v>1.3138151168823242</v>
      </c>
      <c r="M42" s="407">
        <v>2.6466026306152344</v>
      </c>
      <c r="N42" s="407">
        <v>2.2802886962890625</v>
      </c>
      <c r="O42" s="407">
        <v>2.3112974166870117</v>
      </c>
      <c r="P42" s="407">
        <v>2.5009136199951172</v>
      </c>
      <c r="Q42" s="407">
        <v>2.1871156692504883</v>
      </c>
      <c r="R42" s="407">
        <v>2.1131496429443359</v>
      </c>
      <c r="S42" s="407">
        <v>1.9916744232177734</v>
      </c>
      <c r="T42" s="407">
        <v>1.9586601257324219</v>
      </c>
      <c r="U42" s="407">
        <v>2.0068836212158203</v>
      </c>
      <c r="V42" s="407">
        <v>1.8214349746704102</v>
      </c>
      <c r="W42" s="407">
        <v>2.4817676544189453</v>
      </c>
      <c r="X42" s="407">
        <v>1.9830160140991211</v>
      </c>
      <c r="Y42" s="407">
        <v>2.0277099609375</v>
      </c>
      <c r="Z42" s="407">
        <v>2.2702865600585937</v>
      </c>
      <c r="AA42" s="407">
        <v>2.2801227569580078</v>
      </c>
      <c r="AB42" s="407">
        <v>1.9928016662597656</v>
      </c>
      <c r="AC42" s="407">
        <v>2.3028650283813477</v>
      </c>
      <c r="AD42" s="407">
        <v>2.4066238403320312</v>
      </c>
      <c r="AE42" s="38">
        <f>'User Add-in Location'!B48</f>
        <v>0</v>
      </c>
      <c r="AF42" s="38">
        <f>'User Add-in Location'!C48</f>
        <v>0</v>
      </c>
      <c r="AG42" s="407">
        <v>2.1769504547119141</v>
      </c>
      <c r="AH42" s="407">
        <v>1.8935689926147461</v>
      </c>
      <c r="AI42" s="407">
        <v>2.0562639236450195</v>
      </c>
      <c r="AJ42" s="407">
        <v>1.9102268218994141</v>
      </c>
      <c r="AK42" s="407">
        <v>2.0370111465454102</v>
      </c>
      <c r="AL42" s="407">
        <v>1.8158626556396484</v>
      </c>
      <c r="AM42" s="407">
        <v>2.3318662643432617</v>
      </c>
      <c r="AN42" s="409">
        <v>1.8996295928955078</v>
      </c>
      <c r="AO42" s="409">
        <v>2.3885660171508789</v>
      </c>
      <c r="AP42" s="409">
        <v>2.0786151885986328</v>
      </c>
      <c r="AQ42" s="409">
        <v>2.4378261566162109</v>
      </c>
      <c r="AR42" s="409">
        <v>2.2006149291992187</v>
      </c>
      <c r="AS42" s="409">
        <v>2.0637731552124023</v>
      </c>
      <c r="AT42" s="409">
        <v>2.203343391418457</v>
      </c>
      <c r="AU42" s="409">
        <v>2.3401031494140625</v>
      </c>
      <c r="AV42" s="409">
        <v>2.6055221557617187</v>
      </c>
      <c r="AW42" s="409">
        <v>2.5298032760620117</v>
      </c>
      <c r="AX42" s="409">
        <v>2.2215080261230469</v>
      </c>
      <c r="AY42" s="409">
        <v>2.4206457138061523</v>
      </c>
      <c r="AZ42" s="409">
        <v>2.1837043762207031</v>
      </c>
      <c r="BA42" s="409">
        <v>2.2400999069213867</v>
      </c>
      <c r="BB42" s="409">
        <v>2.3240938186645508</v>
      </c>
      <c r="BC42" s="409">
        <v>2.2419242858886719</v>
      </c>
      <c r="BD42" s="409">
        <v>2.2032604217529297</v>
      </c>
      <c r="BE42" s="409">
        <v>2.0455036163330078</v>
      </c>
      <c r="BF42" s="407">
        <v>2.7122983932495117</v>
      </c>
      <c r="BG42" s="407">
        <v>2.2671995162963867</v>
      </c>
      <c r="BH42" s="407">
        <v>1.9435148239135742</v>
      </c>
      <c r="BI42" s="407">
        <v>1.9972877502441406</v>
      </c>
      <c r="BJ42" s="407">
        <v>1.7576560974121094</v>
      </c>
      <c r="BK42" s="407">
        <v>2.3027362823486328</v>
      </c>
      <c r="BL42" s="407">
        <v>1.4593753814697266</v>
      </c>
    </row>
    <row r="43" spans="1:64" x14ac:dyDescent="0.2">
      <c r="A43" s="238"/>
      <c r="C43" s="404" t="s">
        <v>128</v>
      </c>
      <c r="D43" s="407">
        <v>1.5412197113037109</v>
      </c>
      <c r="E43" s="407">
        <v>1.9746787548065186</v>
      </c>
      <c r="F43" s="407">
        <v>1.7857928276062012</v>
      </c>
      <c r="G43" s="407">
        <v>1.7481293678283691</v>
      </c>
      <c r="H43" s="407">
        <v>2.0207879543304443</v>
      </c>
      <c r="I43" s="407">
        <v>1.9059600830078125</v>
      </c>
      <c r="J43" s="407">
        <v>1.15651535987854</v>
      </c>
      <c r="K43" s="407">
        <v>1.215017557144165</v>
      </c>
      <c r="L43" s="407">
        <v>0.81012094020843506</v>
      </c>
      <c r="M43" s="407">
        <v>2.2687711715698242</v>
      </c>
      <c r="N43" s="407">
        <v>1.679354190826416</v>
      </c>
      <c r="O43" s="407">
        <v>2.0484609603881836</v>
      </c>
      <c r="P43" s="407">
        <v>1.8224892616271973</v>
      </c>
      <c r="Q43" s="407">
        <v>1.7531642913818359</v>
      </c>
      <c r="R43" s="407">
        <v>1.5213642120361328</v>
      </c>
      <c r="S43" s="407">
        <v>1.4491147994995117</v>
      </c>
      <c r="T43" s="407">
        <v>1.5367584228515625</v>
      </c>
      <c r="U43" s="407">
        <v>1.7541036605834961</v>
      </c>
      <c r="V43" s="407">
        <v>1.9850749969482422</v>
      </c>
      <c r="W43" s="407">
        <v>1.7019333839416504</v>
      </c>
      <c r="X43" s="407">
        <v>1.0481595993041992</v>
      </c>
      <c r="Y43" s="407">
        <v>1.4963982105255127</v>
      </c>
      <c r="Z43" s="407">
        <v>1.6232686042785645</v>
      </c>
      <c r="AA43" s="407">
        <v>1.6906991004943848</v>
      </c>
      <c r="AB43" s="407">
        <v>1.605863094329834</v>
      </c>
      <c r="AC43" s="407">
        <v>1.8587512969970703</v>
      </c>
      <c r="AD43" s="407">
        <v>1.6018514633178711</v>
      </c>
      <c r="AE43" s="38">
        <f>'User Add-in Location'!B49</f>
        <v>0</v>
      </c>
      <c r="AF43" s="38">
        <f>'User Add-in Location'!C49</f>
        <v>0</v>
      </c>
      <c r="AG43" s="407">
        <v>1.622992992401123</v>
      </c>
      <c r="AH43" s="407">
        <v>1.5828022956848145</v>
      </c>
      <c r="AI43" s="407">
        <v>1.2159271240234375</v>
      </c>
      <c r="AJ43" s="407">
        <v>1.5309209823608398</v>
      </c>
      <c r="AK43" s="407">
        <v>1.6127490997314453</v>
      </c>
      <c r="AL43" s="407">
        <v>1.2424194812774658</v>
      </c>
      <c r="AM43" s="407">
        <v>1.8104848861694336</v>
      </c>
      <c r="AN43" s="409">
        <v>1.520822286605835</v>
      </c>
      <c r="AO43" s="409">
        <v>1.8175787925720215</v>
      </c>
      <c r="AP43" s="409">
        <v>1.8328547477722168</v>
      </c>
      <c r="AQ43" s="409">
        <v>2.0729045867919922</v>
      </c>
      <c r="AR43" s="409">
        <v>1.6031894683837891</v>
      </c>
      <c r="AS43" s="409">
        <v>1.4691009521484375</v>
      </c>
      <c r="AT43" s="409">
        <v>1.7466752529144287</v>
      </c>
      <c r="AU43" s="409">
        <v>1.6146900653839111</v>
      </c>
      <c r="AV43" s="409">
        <v>2.2556726932525635</v>
      </c>
      <c r="AW43" s="409">
        <v>2.0397169589996338</v>
      </c>
      <c r="AX43" s="409">
        <v>2.0062739849090576</v>
      </c>
      <c r="AY43" s="409">
        <v>2.1743679046630859</v>
      </c>
      <c r="AZ43" s="409">
        <v>2.0392379760742187</v>
      </c>
      <c r="BA43" s="409">
        <v>1.5253586769104004</v>
      </c>
      <c r="BB43" s="409">
        <v>1.5024569034576416</v>
      </c>
      <c r="BC43" s="409">
        <v>1.5632290840148926</v>
      </c>
      <c r="BD43" s="409">
        <v>2.0854463577270508</v>
      </c>
      <c r="BE43" s="409">
        <v>1.6789312362670898</v>
      </c>
      <c r="BF43" s="407">
        <v>2.1820993423461914</v>
      </c>
      <c r="BG43" s="407">
        <v>1.3868463039398193</v>
      </c>
      <c r="BH43" s="407">
        <v>1.3913886547088623</v>
      </c>
      <c r="BI43" s="407">
        <v>1.9411799907684326</v>
      </c>
      <c r="BJ43" s="407">
        <v>1.4798099994659424</v>
      </c>
      <c r="BK43" s="407">
        <v>1.6426024436950684</v>
      </c>
      <c r="BL43" s="407">
        <v>1.2001998424530029</v>
      </c>
    </row>
    <row r="44" spans="1:64" x14ac:dyDescent="0.2">
      <c r="A44" s="238"/>
      <c r="C44" s="404" t="s">
        <v>395</v>
      </c>
      <c r="D44" s="407">
        <v>2.2337660789489746</v>
      </c>
      <c r="E44" s="407">
        <v>2.016054630279541</v>
      </c>
      <c r="F44" s="407">
        <v>2.5520992279052734</v>
      </c>
      <c r="G44" s="407">
        <v>2.4247198104858398</v>
      </c>
      <c r="H44" s="407">
        <v>2.1020421981811523</v>
      </c>
      <c r="I44" s="407">
        <v>2.4433798789978027</v>
      </c>
      <c r="J44" s="407">
        <v>2.0563461780548096</v>
      </c>
      <c r="K44" s="407">
        <v>2.645111083984375</v>
      </c>
      <c r="L44" s="407">
        <v>1.0518257617950439</v>
      </c>
      <c r="M44" s="407">
        <v>2.8531274795532227</v>
      </c>
      <c r="N44" s="407">
        <v>2.4038901329040527</v>
      </c>
      <c r="O44" s="407">
        <v>2.0556111335754395</v>
      </c>
      <c r="P44" s="407">
        <v>3.237335205078125</v>
      </c>
      <c r="Q44" s="407">
        <v>2.3566451072692871</v>
      </c>
      <c r="R44" s="407">
        <v>2.3730096817016602</v>
      </c>
      <c r="S44" s="407">
        <v>2.4381422996520996</v>
      </c>
      <c r="T44" s="407">
        <v>2.4121551513671875</v>
      </c>
      <c r="U44" s="407">
        <v>2.338768482208252</v>
      </c>
      <c r="V44" s="407">
        <v>1.9149394035339355</v>
      </c>
      <c r="W44" s="407">
        <v>2.7684612274169922</v>
      </c>
      <c r="X44" s="407">
        <v>1.992734432220459</v>
      </c>
      <c r="Y44" s="407">
        <v>2.0185508728027344</v>
      </c>
      <c r="Z44" s="407">
        <v>2.1952323913574219</v>
      </c>
      <c r="AA44" s="407">
        <v>2.5251293182373047</v>
      </c>
      <c r="AB44" s="407">
        <v>2.3699159622192383</v>
      </c>
      <c r="AC44" s="407">
        <v>2.8011322021484375</v>
      </c>
      <c r="AD44" s="407">
        <v>2.157130241394043</v>
      </c>
      <c r="AE44" s="38">
        <f>'User Add-in Location'!B50</f>
        <v>0</v>
      </c>
      <c r="AF44" s="38">
        <f>'User Add-in Location'!C50</f>
        <v>0</v>
      </c>
      <c r="AG44" s="407">
        <v>2.8931107521057129</v>
      </c>
      <c r="AH44" s="407">
        <v>2.3064060211181641</v>
      </c>
      <c r="AI44" s="407">
        <v>2.2796220779418945</v>
      </c>
      <c r="AJ44" s="407">
        <v>2.1841268539428711</v>
      </c>
      <c r="AK44" s="407">
        <v>2.2123918533325195</v>
      </c>
      <c r="AL44" s="407">
        <v>1.6976110935211182</v>
      </c>
      <c r="AM44" s="407">
        <v>2.4604892730712891</v>
      </c>
      <c r="AN44" s="409">
        <v>2.5923514366149902</v>
      </c>
      <c r="AO44" s="409">
        <v>2.7600502967834473</v>
      </c>
      <c r="AP44" s="409">
        <v>2.688420295715332</v>
      </c>
      <c r="AQ44" s="409">
        <v>2.5707268714904785</v>
      </c>
      <c r="AR44" s="409">
        <v>2.5573229789733887</v>
      </c>
      <c r="AS44" s="409">
        <v>2.0489130020141602</v>
      </c>
      <c r="AT44" s="409">
        <v>2.5528831481933594</v>
      </c>
      <c r="AU44" s="409">
        <v>2.3676486015319824</v>
      </c>
      <c r="AV44" s="409">
        <v>2.7977724075317383</v>
      </c>
      <c r="AW44" s="409">
        <v>2.7795352935791016</v>
      </c>
      <c r="AX44" s="409">
        <v>2.5345273017883301</v>
      </c>
      <c r="AY44" s="409">
        <v>2.7278366088867187</v>
      </c>
      <c r="AZ44" s="409">
        <v>2.1073493957519531</v>
      </c>
      <c r="BA44" s="409">
        <v>2.6072149276733398</v>
      </c>
      <c r="BB44" s="409">
        <v>2.6378993988037109</v>
      </c>
      <c r="BC44" s="409">
        <v>2.6989188194274902</v>
      </c>
      <c r="BD44" s="409">
        <v>2.3548212051391602</v>
      </c>
      <c r="BE44" s="409">
        <v>2.3469338417053223</v>
      </c>
      <c r="BF44" s="407">
        <v>3.9061408042907715</v>
      </c>
      <c r="BG44" s="407">
        <v>2.3667182922363281</v>
      </c>
      <c r="BH44" s="407">
        <v>1.9331636428833008</v>
      </c>
      <c r="BI44" s="407">
        <v>2.0794997215270996</v>
      </c>
      <c r="BJ44" s="407">
        <v>1.9526643753051758</v>
      </c>
      <c r="BK44" s="407">
        <v>2.8663845062255859</v>
      </c>
      <c r="BL44" s="407">
        <v>1.5120806694030762</v>
      </c>
    </row>
    <row r="45" spans="1:64" x14ac:dyDescent="0.2">
      <c r="A45" s="238"/>
      <c r="C45" s="404" t="s">
        <v>396</v>
      </c>
      <c r="D45" s="407">
        <v>2.3144497871398926</v>
      </c>
      <c r="E45" s="407">
        <v>1.848198413848877</v>
      </c>
      <c r="F45" s="407">
        <v>3.4556264877319336</v>
      </c>
      <c r="G45" s="407">
        <v>2.5914359092712402</v>
      </c>
      <c r="H45" s="407">
        <v>2.703463077545166</v>
      </c>
      <c r="I45" s="407">
        <v>3.1273679733276367</v>
      </c>
      <c r="J45" s="407">
        <v>1.8354849815368652</v>
      </c>
      <c r="K45" s="407">
        <v>2.3499045372009277</v>
      </c>
      <c r="L45" s="407">
        <v>1.4362361431121826</v>
      </c>
      <c r="M45" s="407">
        <v>3.6647610664367676</v>
      </c>
      <c r="N45" s="407">
        <v>2.6761078834533691</v>
      </c>
      <c r="O45" s="407">
        <v>2.7999739646911621</v>
      </c>
      <c r="P45" s="407">
        <v>3.2626519203186035</v>
      </c>
      <c r="Q45" s="407">
        <v>2.6840023994445801</v>
      </c>
      <c r="R45" s="407">
        <v>2.5493559837341309</v>
      </c>
      <c r="S45" s="407">
        <v>2.3844413757324219</v>
      </c>
      <c r="T45" s="407">
        <v>2.6415681838989258</v>
      </c>
      <c r="U45" s="407">
        <v>2.4778475761413574</v>
      </c>
      <c r="V45" s="407">
        <v>2.3352322578430176</v>
      </c>
      <c r="W45" s="407">
        <v>2.9022431373596191</v>
      </c>
      <c r="X45" s="407">
        <v>2.6252517700195312</v>
      </c>
      <c r="Y45" s="407">
        <v>2.1324203014373779</v>
      </c>
      <c r="Z45" s="407">
        <v>2.8549661636352539</v>
      </c>
      <c r="AA45" s="407">
        <v>2.8629627227783203</v>
      </c>
      <c r="AB45" s="407">
        <v>2.5213193893432617</v>
      </c>
      <c r="AC45" s="407">
        <v>3.037205696105957</v>
      </c>
      <c r="AD45" s="407">
        <v>3.0128884315490723</v>
      </c>
      <c r="AE45" s="38">
        <f>'User Add-in Location'!B51</f>
        <v>0</v>
      </c>
      <c r="AF45" s="38">
        <f>'User Add-in Location'!C51</f>
        <v>0</v>
      </c>
      <c r="AG45" s="407">
        <v>2.9783201217651367</v>
      </c>
      <c r="AH45" s="407">
        <v>3.1074538230895996</v>
      </c>
      <c r="AI45" s="407">
        <v>2.7995400428771973</v>
      </c>
      <c r="AJ45" s="407">
        <v>2.4597434997558594</v>
      </c>
      <c r="AK45" s="407">
        <v>2.5016746520996094</v>
      </c>
      <c r="AL45" s="407">
        <v>1.54860520362854</v>
      </c>
      <c r="AM45" s="407">
        <v>2.614285945892334</v>
      </c>
      <c r="AN45" s="409">
        <v>2.4145827293395996</v>
      </c>
      <c r="AO45" s="409">
        <v>2.9636058807373047</v>
      </c>
      <c r="AP45" s="409">
        <v>2.8059158325195312</v>
      </c>
      <c r="AQ45" s="409">
        <v>3.0520749092102051</v>
      </c>
      <c r="AR45" s="409">
        <v>2.6815371513366699</v>
      </c>
      <c r="AS45" s="409">
        <v>1.8852157592773437</v>
      </c>
      <c r="AT45" s="409">
        <v>2.7197160720825195</v>
      </c>
      <c r="AU45" s="409">
        <v>2.7566127777099609</v>
      </c>
      <c r="AV45" s="409">
        <v>3.237828254699707</v>
      </c>
      <c r="AW45" s="409">
        <v>3.04913330078125</v>
      </c>
      <c r="AX45" s="409">
        <v>2.9088282585144043</v>
      </c>
      <c r="AY45" s="409">
        <v>3.2487978935241699</v>
      </c>
      <c r="AZ45" s="409">
        <v>2.7134284973144531</v>
      </c>
      <c r="BA45" s="409">
        <v>2.7325959205627441</v>
      </c>
      <c r="BB45" s="409">
        <v>2.8348236083984375</v>
      </c>
      <c r="BC45" s="409">
        <v>3.0464682579040527</v>
      </c>
      <c r="BD45" s="409">
        <v>2.5913400650024414</v>
      </c>
      <c r="BE45" s="409">
        <v>2.7661042213439941</v>
      </c>
      <c r="BF45" s="407">
        <v>4.6336202621459961</v>
      </c>
      <c r="BG45" s="407">
        <v>2.5781126022338867</v>
      </c>
      <c r="BH45" s="407">
        <v>2.2381033897399902</v>
      </c>
      <c r="BI45" s="407">
        <v>2.3253829479217529</v>
      </c>
      <c r="BJ45" s="407">
        <v>1.8389391899108887</v>
      </c>
      <c r="BK45" s="407">
        <v>2.793665885925293</v>
      </c>
      <c r="BL45" s="407">
        <v>1.955925464630127</v>
      </c>
    </row>
    <row r="46" spans="1:64" x14ac:dyDescent="0.2">
      <c r="A46" s="238"/>
      <c r="C46" s="404" t="s">
        <v>397</v>
      </c>
      <c r="D46" s="407">
        <v>2.72027587890625</v>
      </c>
      <c r="E46" s="407">
        <v>2.3273334503173828</v>
      </c>
      <c r="F46" s="407">
        <v>3.488983154296875</v>
      </c>
      <c r="G46" s="407">
        <v>2.8579998016357422</v>
      </c>
      <c r="H46" s="407">
        <v>2.8889951705932617</v>
      </c>
      <c r="I46" s="407">
        <v>2.8369383811950684</v>
      </c>
      <c r="J46" s="407">
        <v>2.0827970504760742</v>
      </c>
      <c r="K46" s="407">
        <v>2.370913028717041</v>
      </c>
      <c r="L46" s="407">
        <v>1.4983165264129639</v>
      </c>
      <c r="M46" s="407">
        <v>3.5592923164367676</v>
      </c>
      <c r="N46" s="407">
        <v>2.9531960487365723</v>
      </c>
      <c r="O46" s="407">
        <v>3.0630226135253906</v>
      </c>
      <c r="P46" s="407">
        <v>3.4410591125488281</v>
      </c>
      <c r="Q46" s="407">
        <v>2.6199536323547363</v>
      </c>
      <c r="R46" s="407">
        <v>2.8239874839782715</v>
      </c>
      <c r="S46" s="407">
        <v>2.741887092590332</v>
      </c>
      <c r="T46" s="407">
        <v>2.6275863647460938</v>
      </c>
      <c r="U46" s="407">
        <v>2.612119197845459</v>
      </c>
      <c r="V46" s="407">
        <v>2.5048432350158691</v>
      </c>
      <c r="W46" s="407">
        <v>3.6088638305664062</v>
      </c>
      <c r="X46" s="407">
        <v>2.7927765846252441</v>
      </c>
      <c r="Y46" s="407">
        <v>2.5903754234313965</v>
      </c>
      <c r="Z46" s="407">
        <v>2.8321175575256348</v>
      </c>
      <c r="AA46" s="407">
        <v>2.6892156600952148</v>
      </c>
      <c r="AB46" s="407">
        <v>2.615941047668457</v>
      </c>
      <c r="AC46" s="407">
        <v>2.7818665504455566</v>
      </c>
      <c r="AD46" s="407">
        <v>3.5087575912475586</v>
      </c>
      <c r="AE46" s="38">
        <f>'User Add-in Location'!B52</f>
        <v>0</v>
      </c>
      <c r="AF46" s="38">
        <f>'User Add-in Location'!C52</f>
        <v>0</v>
      </c>
      <c r="AG46" s="407">
        <v>2.9671974182128906</v>
      </c>
      <c r="AH46" s="407">
        <v>2.3916330337524414</v>
      </c>
      <c r="AI46" s="407">
        <v>2.7942690849304199</v>
      </c>
      <c r="AJ46" s="407">
        <v>2.3058595657348633</v>
      </c>
      <c r="AK46" s="407">
        <v>3.147162914276123</v>
      </c>
      <c r="AL46" s="407">
        <v>2.1302118301391602</v>
      </c>
      <c r="AM46" s="407">
        <v>3.1280918121337891</v>
      </c>
      <c r="AN46" s="409">
        <v>2.7827625274658203</v>
      </c>
      <c r="AO46" s="409">
        <v>3.0930280685424805</v>
      </c>
      <c r="AP46" s="409">
        <v>2.9339747428894043</v>
      </c>
      <c r="AQ46" s="409">
        <v>3.3366036415100098</v>
      </c>
      <c r="AR46" s="409">
        <v>2.7702531814575195</v>
      </c>
      <c r="AS46" s="409">
        <v>2.4979662895202637</v>
      </c>
      <c r="AT46" s="409">
        <v>2.7254986763000488</v>
      </c>
      <c r="AU46" s="409">
        <v>3.0229263305664062</v>
      </c>
      <c r="AV46" s="409">
        <v>3.4184527397155762</v>
      </c>
      <c r="AW46" s="409">
        <v>3.1262626647949219</v>
      </c>
      <c r="AX46" s="409">
        <v>2.8714356422424316</v>
      </c>
      <c r="AY46" s="409">
        <v>3.2493805885314941</v>
      </c>
      <c r="AZ46" s="409">
        <v>2.9063458442687988</v>
      </c>
      <c r="BA46" s="409">
        <v>2.890012264251709</v>
      </c>
      <c r="BB46" s="409">
        <v>3.1834664344787598</v>
      </c>
      <c r="BC46" s="409">
        <v>3.0666155815124512</v>
      </c>
      <c r="BD46" s="409">
        <v>2.9538846015930176</v>
      </c>
      <c r="BE46" s="409">
        <v>2.6151795387268066</v>
      </c>
      <c r="BF46" s="407">
        <v>3.9526200294494629</v>
      </c>
      <c r="BG46" s="407">
        <v>3.2853469848632812</v>
      </c>
      <c r="BH46" s="407">
        <v>2.444516658782959</v>
      </c>
      <c r="BI46" s="407">
        <v>2.6592307090759277</v>
      </c>
      <c r="BJ46" s="407">
        <v>2.4224381446838379</v>
      </c>
      <c r="BK46" s="407">
        <v>3.0288515090942383</v>
      </c>
      <c r="BL46" s="407">
        <v>1.9513039588928223</v>
      </c>
    </row>
    <row r="47" spans="1:64" x14ac:dyDescent="0.2">
      <c r="A47" s="238"/>
      <c r="C47" s="404" t="s">
        <v>398</v>
      </c>
      <c r="D47" s="407">
        <v>2.4405441284179687</v>
      </c>
      <c r="E47" s="407">
        <v>2.1370716094970703</v>
      </c>
      <c r="F47" s="407">
        <v>3.3166713714599609</v>
      </c>
      <c r="G47" s="407">
        <v>2.6966838836669922</v>
      </c>
      <c r="H47" s="407">
        <v>2.6607751846313477</v>
      </c>
      <c r="I47" s="407">
        <v>2.7098522186279297</v>
      </c>
      <c r="J47" s="407">
        <v>2.017336368560791</v>
      </c>
      <c r="K47" s="407">
        <v>2.2510690689086914</v>
      </c>
      <c r="L47" s="407">
        <v>1.3866562843322754</v>
      </c>
      <c r="M47" s="407">
        <v>3.3032264709472656</v>
      </c>
      <c r="N47" s="407">
        <v>2.7091951370239258</v>
      </c>
      <c r="O47" s="407">
        <v>2.8115673065185547</v>
      </c>
      <c r="P47" s="407">
        <v>3.1697683334350586</v>
      </c>
      <c r="Q47" s="407">
        <v>2.5035042762756348</v>
      </c>
      <c r="R47" s="407">
        <v>2.539332389831543</v>
      </c>
      <c r="S47" s="407">
        <v>2.3347063064575195</v>
      </c>
      <c r="T47" s="407">
        <v>2.4529628753662109</v>
      </c>
      <c r="U47" s="407">
        <v>2.3726310729980469</v>
      </c>
      <c r="V47" s="407">
        <v>2.2905387878417969</v>
      </c>
      <c r="W47" s="407">
        <v>3.28594970703125</v>
      </c>
      <c r="X47" s="407">
        <v>2.3615646362304687</v>
      </c>
      <c r="Y47" s="407">
        <v>2.3624835014343262</v>
      </c>
      <c r="Z47" s="407">
        <v>2.7376003265380859</v>
      </c>
      <c r="AA47" s="407">
        <v>2.7068157196044922</v>
      </c>
      <c r="AB47" s="407">
        <v>2.5551996231079102</v>
      </c>
      <c r="AC47" s="407">
        <v>2.7872829437255859</v>
      </c>
      <c r="AD47" s="407">
        <v>3.1296720504760742</v>
      </c>
      <c r="AE47" s="38">
        <f>'User Add-in Location'!B53</f>
        <v>0</v>
      </c>
      <c r="AF47" s="38">
        <f>'User Add-in Location'!C53</f>
        <v>0</v>
      </c>
      <c r="AG47" s="407">
        <v>2.7185306549072266</v>
      </c>
      <c r="AH47" s="407">
        <v>2.4336252212524414</v>
      </c>
      <c r="AI47" s="407">
        <v>2.4352445602416992</v>
      </c>
      <c r="AJ47" s="407">
        <v>2.1765222549438477</v>
      </c>
      <c r="AK47" s="407">
        <v>2.8410797119140625</v>
      </c>
      <c r="AL47" s="407">
        <v>2.0329422950744629</v>
      </c>
      <c r="AM47" s="407">
        <v>2.9586029052734375</v>
      </c>
      <c r="AN47" s="409">
        <v>2.3502187728881836</v>
      </c>
      <c r="AO47" s="409">
        <v>2.8702678680419922</v>
      </c>
      <c r="AP47" s="409">
        <v>2.7260942459106445</v>
      </c>
      <c r="AQ47" s="409">
        <v>3.1328678131103516</v>
      </c>
      <c r="AR47" s="409">
        <v>2.6113824844360352</v>
      </c>
      <c r="AS47" s="409">
        <v>2.3441629409790039</v>
      </c>
      <c r="AT47" s="409">
        <v>2.5535039901733398</v>
      </c>
      <c r="AU47" s="409">
        <v>2.7822761535644531</v>
      </c>
      <c r="AV47" s="409">
        <v>3.1047744750976562</v>
      </c>
      <c r="AW47" s="409">
        <v>2.9619169235229492</v>
      </c>
      <c r="AX47" s="409">
        <v>2.6883230209350586</v>
      </c>
      <c r="AY47" s="409">
        <v>3.0559101104736328</v>
      </c>
      <c r="AZ47" s="409">
        <v>2.6758546829223633</v>
      </c>
      <c r="BA47" s="409">
        <v>2.8570880889892578</v>
      </c>
      <c r="BB47" s="409">
        <v>2.9665441513061523</v>
      </c>
      <c r="BC47" s="409">
        <v>2.9110250473022461</v>
      </c>
      <c r="BD47" s="409">
        <v>2.496251106262207</v>
      </c>
      <c r="BE47" s="409">
        <v>2.4355859756469727</v>
      </c>
      <c r="BF47" s="407">
        <v>3.5083284378051758</v>
      </c>
      <c r="BG47" s="407">
        <v>2.8596200942993164</v>
      </c>
      <c r="BH47" s="407">
        <v>2.2187595367431641</v>
      </c>
      <c r="BI47" s="407">
        <v>2.4902734756469727</v>
      </c>
      <c r="BJ47" s="407">
        <v>2.2572917938232422</v>
      </c>
      <c r="BK47" s="407">
        <v>2.7892255783081055</v>
      </c>
      <c r="BL47" s="407">
        <v>1.7827243804931641</v>
      </c>
    </row>
    <row r="48" spans="1:64" x14ac:dyDescent="0.2">
      <c r="A48" s="238"/>
      <c r="C48" s="404" t="s">
        <v>399</v>
      </c>
      <c r="D48" s="407">
        <v>2.7721500396728516</v>
      </c>
      <c r="E48" s="407">
        <v>2.2502460479736328</v>
      </c>
      <c r="F48" s="407">
        <v>3.6278162002563477</v>
      </c>
      <c r="G48" s="407">
        <v>3.0626964569091797</v>
      </c>
      <c r="H48" s="407">
        <v>3.0570549964904785</v>
      </c>
      <c r="I48" s="407">
        <v>3.0827107429504395</v>
      </c>
      <c r="J48" s="407">
        <v>2.5223565101623535</v>
      </c>
      <c r="K48" s="407">
        <v>2.3961362838745117</v>
      </c>
      <c r="L48" s="407">
        <v>1.5911355018615723</v>
      </c>
      <c r="M48" s="407">
        <v>4.0712747573852539</v>
      </c>
      <c r="N48" s="407">
        <v>3.1693401336669922</v>
      </c>
      <c r="O48" s="407">
        <v>3.0444784164428711</v>
      </c>
      <c r="P48" s="407">
        <v>3.4719676971435547</v>
      </c>
      <c r="Q48" s="407">
        <v>2.9203414916992187</v>
      </c>
      <c r="R48" s="407">
        <v>3.0090503692626953</v>
      </c>
      <c r="S48" s="407">
        <v>2.6531476974487305</v>
      </c>
      <c r="T48" s="407">
        <v>2.5222053527832031</v>
      </c>
      <c r="U48" s="407">
        <v>2.7068119049072266</v>
      </c>
      <c r="V48" s="407">
        <v>2.5272045135498047</v>
      </c>
      <c r="W48" s="407">
        <v>3.8727302551269531</v>
      </c>
      <c r="X48" s="407">
        <v>2.8381805419921875</v>
      </c>
      <c r="Y48" s="407">
        <v>2.8226327896118164</v>
      </c>
      <c r="Z48" s="407">
        <v>2.8800816535949707</v>
      </c>
      <c r="AA48" s="407">
        <v>3.2395057678222656</v>
      </c>
      <c r="AB48" s="407">
        <v>2.8575029373168945</v>
      </c>
      <c r="AC48" s="407">
        <v>3.0560784339904785</v>
      </c>
      <c r="AD48" s="407">
        <v>3.7159557342529297</v>
      </c>
      <c r="AE48" s="38">
        <f>'User Add-in Location'!B54</f>
        <v>0</v>
      </c>
      <c r="AF48" s="38">
        <f>'User Add-in Location'!C54</f>
        <v>0</v>
      </c>
      <c r="AG48" s="407">
        <v>2.9669771194458008</v>
      </c>
      <c r="AH48" s="407">
        <v>2.8237276077270508</v>
      </c>
      <c r="AI48" s="407">
        <v>3.0312390327453613</v>
      </c>
      <c r="AJ48" s="407">
        <v>2.6254076957702637</v>
      </c>
      <c r="AK48" s="407">
        <v>3.0577287673950195</v>
      </c>
      <c r="AL48" s="407">
        <v>2.3900566101074219</v>
      </c>
      <c r="AM48" s="407">
        <v>3.3895883560180664</v>
      </c>
      <c r="AN48" s="409">
        <v>2.6400785446166992</v>
      </c>
      <c r="AO48" s="409">
        <v>3.380486011505127</v>
      </c>
      <c r="AP48" s="409">
        <v>3.0276031494140625</v>
      </c>
      <c r="AQ48" s="409">
        <v>3.6767301559448242</v>
      </c>
      <c r="AR48" s="409">
        <v>3.1058340072631836</v>
      </c>
      <c r="AS48" s="409">
        <v>2.8341164588928223</v>
      </c>
      <c r="AT48" s="409">
        <v>3.0632715225219727</v>
      </c>
      <c r="AU48" s="409">
        <v>3.2344117164611816</v>
      </c>
      <c r="AV48" s="409">
        <v>3.7274103164672852</v>
      </c>
      <c r="AW48" s="409">
        <v>3.4447565078735352</v>
      </c>
      <c r="AX48" s="409">
        <v>2.954770565032959</v>
      </c>
      <c r="AY48" s="409">
        <v>3.4744462966918945</v>
      </c>
      <c r="AZ48" s="409">
        <v>3.0770397186279297</v>
      </c>
      <c r="BA48" s="409">
        <v>3.4104156494140625</v>
      </c>
      <c r="BB48" s="409">
        <v>3.2230548858642578</v>
      </c>
      <c r="BC48" s="409">
        <v>3.3571882247924805</v>
      </c>
      <c r="BD48" s="409">
        <v>3.0091032981872559</v>
      </c>
      <c r="BE48" s="409">
        <v>2.6664633750915527</v>
      </c>
      <c r="BF48" s="407">
        <v>4.1447906494140625</v>
      </c>
      <c r="BG48" s="407">
        <v>3.5893688201904297</v>
      </c>
      <c r="BH48" s="407">
        <v>2.5591974258422852</v>
      </c>
      <c r="BI48" s="407">
        <v>2.9480924606323242</v>
      </c>
      <c r="BJ48" s="407">
        <v>2.5863933563232422</v>
      </c>
      <c r="BK48" s="407">
        <v>3.4078540802001953</v>
      </c>
      <c r="BL48" s="407">
        <v>2.1474027633666992</v>
      </c>
    </row>
    <row r="49" spans="1:64" x14ac:dyDescent="0.2">
      <c r="A49" s="238"/>
      <c r="C49" s="404" t="s">
        <v>400</v>
      </c>
      <c r="D49" s="407">
        <v>2.5339889526367187</v>
      </c>
      <c r="E49" s="407">
        <v>2.0379457473754883</v>
      </c>
      <c r="F49" s="407">
        <v>3.0341348648071289</v>
      </c>
      <c r="G49" s="407">
        <v>2.6977577209472656</v>
      </c>
      <c r="H49" s="407">
        <v>2.7502074241638184</v>
      </c>
      <c r="I49" s="407">
        <v>2.7907528877258301</v>
      </c>
      <c r="J49" s="407">
        <v>2.1595425605773926</v>
      </c>
      <c r="K49" s="407">
        <v>2.3673696517944336</v>
      </c>
      <c r="L49" s="407">
        <v>1.5470457077026367</v>
      </c>
      <c r="M49" s="407">
        <v>3.3376703262329102</v>
      </c>
      <c r="N49" s="407">
        <v>2.8658523559570313</v>
      </c>
      <c r="O49" s="407">
        <v>2.6655387878417969</v>
      </c>
      <c r="P49" s="407">
        <v>3.3839807510375977</v>
      </c>
      <c r="Q49" s="407">
        <v>2.6802282333374023</v>
      </c>
      <c r="R49" s="407">
        <v>2.5792655944824219</v>
      </c>
      <c r="S49" s="407">
        <v>2.5625667572021484</v>
      </c>
      <c r="T49" s="407">
        <v>2.492680549621582</v>
      </c>
      <c r="U49" s="407">
        <v>2.4844169616699219</v>
      </c>
      <c r="V49" s="407">
        <v>2.3164882659912109</v>
      </c>
      <c r="W49" s="407">
        <v>3.1948814392089844</v>
      </c>
      <c r="X49" s="407">
        <v>2.4362583160400391</v>
      </c>
      <c r="Y49" s="407">
        <v>2.4367709159851074</v>
      </c>
      <c r="Z49" s="407">
        <v>2.8337650299072266</v>
      </c>
      <c r="AA49" s="407">
        <v>2.8611087799072266</v>
      </c>
      <c r="AB49" s="407">
        <v>2.4745941162109375</v>
      </c>
      <c r="AC49" s="407">
        <v>2.9258041381835937</v>
      </c>
      <c r="AD49" s="407">
        <v>3.2179937362670898</v>
      </c>
      <c r="AE49" s="38">
        <f>'User Add-in Location'!B55</f>
        <v>0</v>
      </c>
      <c r="AF49" s="38">
        <f>'User Add-in Location'!C55</f>
        <v>0</v>
      </c>
      <c r="AG49" s="407">
        <v>2.8637609481811523</v>
      </c>
      <c r="AH49" s="407">
        <v>2.3031482696533203</v>
      </c>
      <c r="AI49" s="407">
        <v>2.5358505249023437</v>
      </c>
      <c r="AJ49" s="407">
        <v>2.269139289855957</v>
      </c>
      <c r="AK49" s="407">
        <v>2.6681585311889648</v>
      </c>
      <c r="AL49" s="407">
        <v>2.2019486427307129</v>
      </c>
      <c r="AM49" s="407">
        <v>3.0007381439208984</v>
      </c>
      <c r="AN49" s="409">
        <v>2.4750871658325195</v>
      </c>
      <c r="AO49" s="409">
        <v>2.9828090667724609</v>
      </c>
      <c r="AP49" s="409">
        <v>2.7143716812133789</v>
      </c>
      <c r="AQ49" s="409">
        <v>3.1195478439331055</v>
      </c>
      <c r="AR49" s="409">
        <v>2.7148904800415039</v>
      </c>
      <c r="AS49" s="409">
        <v>2.5350356101989746</v>
      </c>
      <c r="AT49" s="409">
        <v>2.6901054382324219</v>
      </c>
      <c r="AU49" s="409">
        <v>2.9236946105957031</v>
      </c>
      <c r="AV49" s="409">
        <v>3.2682199478149414</v>
      </c>
      <c r="AW49" s="409">
        <v>3.1869974136352539</v>
      </c>
      <c r="AX49" s="409">
        <v>2.8060073852539062</v>
      </c>
      <c r="AY49" s="409">
        <v>3.0819110870361328</v>
      </c>
      <c r="AZ49" s="409">
        <v>2.7612438201904297</v>
      </c>
      <c r="BA49" s="409">
        <v>2.8473091125488281</v>
      </c>
      <c r="BB49" s="409">
        <v>2.9185886383056641</v>
      </c>
      <c r="BC49" s="409">
        <v>2.9338264465332031</v>
      </c>
      <c r="BD49" s="409">
        <v>2.6981678009033203</v>
      </c>
      <c r="BE49" s="409">
        <v>2.5457353591918945</v>
      </c>
      <c r="BF49" s="407">
        <v>3.7299375534057617</v>
      </c>
      <c r="BG49" s="407">
        <v>2.9866390228271484</v>
      </c>
      <c r="BH49" s="407">
        <v>2.3564815521240234</v>
      </c>
      <c r="BI49" s="407">
        <v>2.4786100387573242</v>
      </c>
      <c r="BJ49" s="407">
        <v>2.2218141555786133</v>
      </c>
      <c r="BK49" s="407">
        <v>2.931157112121582</v>
      </c>
      <c r="BL49" s="407">
        <v>1.8313560485839844</v>
      </c>
    </row>
    <row r="50" spans="1:64" x14ac:dyDescent="0.2">
      <c r="A50" s="238"/>
      <c r="C50" s="404" t="s">
        <v>58</v>
      </c>
      <c r="D50" s="407">
        <v>0.56881904602050781</v>
      </c>
      <c r="E50" s="407">
        <v>0.29381370544433594</v>
      </c>
      <c r="F50" s="407">
        <v>0.48570156097412109</v>
      </c>
      <c r="G50" s="407">
        <v>0.46071910858154297</v>
      </c>
      <c r="H50" s="407">
        <v>0.50366783142089844</v>
      </c>
      <c r="I50" s="407">
        <v>0.49839496612548828</v>
      </c>
      <c r="J50" s="407">
        <v>0.38947010040283203</v>
      </c>
      <c r="K50" s="407">
        <v>0.58339309692382813</v>
      </c>
      <c r="L50" s="407">
        <v>9.2050075531005859E-2</v>
      </c>
      <c r="M50" s="407">
        <v>0.32653331756591797</v>
      </c>
      <c r="N50" s="407">
        <v>0.3463592529296875</v>
      </c>
      <c r="O50" s="407">
        <v>0.39164352416992188</v>
      </c>
      <c r="P50" s="407">
        <v>0.48715305328369141</v>
      </c>
      <c r="Q50" s="407">
        <v>0.42934799194335938</v>
      </c>
      <c r="R50" s="407">
        <v>0.31792831420898438</v>
      </c>
      <c r="S50" s="407">
        <v>0.40282917022705078</v>
      </c>
      <c r="T50" s="407">
        <v>0.37064838409423828</v>
      </c>
      <c r="U50" s="407">
        <v>0.47954368591308594</v>
      </c>
      <c r="V50" s="407">
        <v>0.28687953948974609</v>
      </c>
      <c r="W50" s="407">
        <v>0.71184825897216797</v>
      </c>
      <c r="X50" s="407">
        <v>0.27962970733642578</v>
      </c>
      <c r="Y50" s="407">
        <v>0.68919658660888672</v>
      </c>
      <c r="Z50" s="407">
        <v>0.41273689270019531</v>
      </c>
      <c r="AA50" s="407">
        <v>0.51438140869140625</v>
      </c>
      <c r="AB50" s="407">
        <v>0.37604904174804688</v>
      </c>
      <c r="AC50" s="407">
        <v>0.55629730224609375</v>
      </c>
      <c r="AD50" s="407">
        <v>0.61981296539306641</v>
      </c>
      <c r="AE50" s="38">
        <f>'User Add-in Location'!B56</f>
        <v>0</v>
      </c>
      <c r="AF50" s="38">
        <f>'User Add-in Location'!C56</f>
        <v>0</v>
      </c>
      <c r="AG50" s="407">
        <v>0.42090034484863281</v>
      </c>
      <c r="AH50" s="407">
        <v>0.22458076477050781</v>
      </c>
      <c r="AI50" s="407">
        <v>0.93820095062255859</v>
      </c>
      <c r="AJ50" s="407">
        <v>0.45638084411621094</v>
      </c>
      <c r="AK50" s="407">
        <v>0.33302593231201172</v>
      </c>
      <c r="AL50" s="407">
        <v>0.59140682220458984</v>
      </c>
      <c r="AM50" s="407">
        <v>0.30279064178466797</v>
      </c>
      <c r="AN50" s="409">
        <v>0.49178123474121094</v>
      </c>
      <c r="AO50" s="409">
        <v>0.41394615173339844</v>
      </c>
      <c r="AP50" s="409">
        <v>0.34729576110839844</v>
      </c>
      <c r="AQ50" s="409">
        <v>0.97560596466064453</v>
      </c>
      <c r="AR50" s="409">
        <v>0.70251560211181641</v>
      </c>
      <c r="AS50" s="409">
        <v>0.67677497863769531</v>
      </c>
      <c r="AT50" s="409">
        <v>0.61535930633544922</v>
      </c>
      <c r="AU50" s="409">
        <v>0.32079982757568359</v>
      </c>
      <c r="AV50" s="409">
        <v>0.60454845428466797</v>
      </c>
      <c r="AW50" s="409">
        <v>0.52672576904296875</v>
      </c>
      <c r="AX50" s="409">
        <v>0.39050388336181641</v>
      </c>
      <c r="AY50" s="409">
        <v>0.58172321319580078</v>
      </c>
      <c r="AZ50" s="409">
        <v>0.50158214569091797</v>
      </c>
      <c r="BA50" s="409">
        <v>0.62036895751953125</v>
      </c>
      <c r="BB50" s="409">
        <v>0.34961318969726563</v>
      </c>
      <c r="BC50" s="409">
        <v>0.58526992797851563</v>
      </c>
      <c r="BD50" s="409">
        <v>1.2995729446411133</v>
      </c>
      <c r="BE50" s="409">
        <v>0.30837917327880859</v>
      </c>
      <c r="BF50" s="407">
        <v>0.31220149993896484</v>
      </c>
      <c r="BG50" s="407">
        <v>0.75444507598876953</v>
      </c>
      <c r="BH50" s="407">
        <v>0.30407905578613281</v>
      </c>
      <c r="BI50" s="407">
        <v>0.61072540283203125</v>
      </c>
      <c r="BJ50" s="407">
        <v>0.31230449676513672</v>
      </c>
      <c r="BK50" s="407">
        <v>0.69736862182617188</v>
      </c>
      <c r="BL50" s="407">
        <v>0.33946132659912109</v>
      </c>
    </row>
    <row r="51" spans="1:64" x14ac:dyDescent="0.2">
      <c r="A51" s="238"/>
      <c r="C51" s="404" t="s">
        <v>401</v>
      </c>
      <c r="D51" s="407">
        <v>2.6800856590270996</v>
      </c>
      <c r="E51" s="407">
        <v>0</v>
      </c>
      <c r="F51" s="407">
        <v>3.6247391700744629</v>
      </c>
      <c r="G51" s="407">
        <v>3.1152448654174805</v>
      </c>
      <c r="H51" s="407">
        <v>3.8484268188476562</v>
      </c>
      <c r="I51" s="407">
        <v>3.4361376762390137</v>
      </c>
      <c r="J51" s="407">
        <v>2.769188404083252</v>
      </c>
      <c r="K51" s="407">
        <v>2.699246883392334</v>
      </c>
      <c r="L51" s="407">
        <v>1.543895959854126</v>
      </c>
      <c r="M51" s="407">
        <v>4.1833629608154297</v>
      </c>
      <c r="N51" s="407">
        <v>3.4397366046905518</v>
      </c>
      <c r="O51" s="407">
        <v>3.5531296730041504</v>
      </c>
      <c r="P51" s="407">
        <v>3.4700889587402344</v>
      </c>
      <c r="Q51" s="407">
        <v>3.3582448959350586</v>
      </c>
      <c r="R51" s="407">
        <v>2.7810449600219727</v>
      </c>
      <c r="S51" s="407">
        <v>2.6404681205749512</v>
      </c>
      <c r="T51" s="407">
        <v>2.4169478416442871</v>
      </c>
      <c r="U51" s="407">
        <v>2.7397270202636719</v>
      </c>
      <c r="V51" s="407">
        <v>2.4501776695251465</v>
      </c>
      <c r="W51" s="407">
        <v>3.4695863723754883</v>
      </c>
      <c r="X51" s="407">
        <v>3.1280026435852051</v>
      </c>
      <c r="Y51" s="407">
        <v>3.295682430267334</v>
      </c>
      <c r="Z51" s="407">
        <v>3.621462345123291</v>
      </c>
      <c r="AA51" s="407">
        <v>3.4236512184143066</v>
      </c>
      <c r="AB51" s="407">
        <v>2.4828705787658691</v>
      </c>
      <c r="AC51" s="407">
        <v>3.1478593349456787</v>
      </c>
      <c r="AD51" s="407">
        <v>3.3585827350616455</v>
      </c>
      <c r="AE51" s="38">
        <f>'User Add-in Location'!B57</f>
        <v>0</v>
      </c>
      <c r="AF51" s="38">
        <f>'User Add-in Location'!C57</f>
        <v>0</v>
      </c>
      <c r="AG51" s="407">
        <v>3.1653270721435547</v>
      </c>
      <c r="AH51" s="407">
        <v>3.0106148719787598</v>
      </c>
      <c r="AI51" s="407">
        <v>3.1788332462310791</v>
      </c>
      <c r="AJ51" s="407">
        <v>3.0835227966308594</v>
      </c>
      <c r="AK51" s="407">
        <v>2.8213939666748047</v>
      </c>
      <c r="AL51" s="407">
        <v>2.8726119995117187</v>
      </c>
      <c r="AM51" s="407">
        <v>3.4387736320495605</v>
      </c>
      <c r="AN51" s="409">
        <v>2.8418989181518555</v>
      </c>
      <c r="AO51" s="409">
        <v>2.4803247451782227</v>
      </c>
      <c r="AP51" s="409">
        <v>2.8475582599639893</v>
      </c>
      <c r="AQ51" s="409">
        <v>3.799602746963501</v>
      </c>
      <c r="AR51" s="409">
        <v>3.5095679759979248</v>
      </c>
      <c r="AS51" s="409">
        <v>3.4489006996154785</v>
      </c>
      <c r="AT51" s="409">
        <v>3.6310238838195801</v>
      </c>
      <c r="AU51" s="409">
        <v>3.6984512805938721</v>
      </c>
      <c r="AV51" s="409">
        <v>4.0057320594787598</v>
      </c>
      <c r="AW51" s="409">
        <v>3.6068809032440186</v>
      </c>
      <c r="AX51" s="409">
        <v>3.2809076309204102</v>
      </c>
      <c r="AY51" s="409">
        <v>3.7607569694519043</v>
      </c>
      <c r="AZ51" s="409">
        <v>3.8513474464416504</v>
      </c>
      <c r="BA51" s="409">
        <v>3.2561304569244385</v>
      </c>
      <c r="BB51" s="409">
        <v>3.0581192970275879</v>
      </c>
      <c r="BC51" s="409">
        <v>3.118483304977417</v>
      </c>
      <c r="BD51" s="409">
        <v>3.3324201107025146</v>
      </c>
      <c r="BE51" s="409">
        <v>2.9517021179199219</v>
      </c>
      <c r="BF51" s="407">
        <v>3.9432873725891113</v>
      </c>
      <c r="BG51" s="407">
        <v>2.8038568496704102</v>
      </c>
      <c r="BH51" s="407">
        <v>2.8621227741241455</v>
      </c>
      <c r="BI51" s="407">
        <v>3.3616175651550293</v>
      </c>
      <c r="BJ51" s="407">
        <v>2.6476025581359863</v>
      </c>
      <c r="BK51" s="407">
        <v>3.4041259288787842</v>
      </c>
      <c r="BL51" s="407">
        <v>0</v>
      </c>
    </row>
    <row r="52" spans="1:64" ht="15" x14ac:dyDescent="0.2">
      <c r="A52" s="238"/>
      <c r="C52" s="6"/>
      <c r="D52" s="411"/>
      <c r="E52" s="411"/>
      <c r="F52" s="411"/>
      <c r="G52" s="411"/>
      <c r="H52" s="411"/>
      <c r="I52" s="411"/>
      <c r="J52" s="411"/>
      <c r="K52" s="411"/>
      <c r="L52" s="411"/>
      <c r="M52" s="411"/>
      <c r="N52" s="411"/>
      <c r="O52" s="411"/>
      <c r="P52" s="411"/>
      <c r="Q52" s="411"/>
      <c r="R52" s="411"/>
      <c r="S52" s="411"/>
      <c r="T52" s="411"/>
      <c r="U52" s="411"/>
      <c r="V52" s="411"/>
      <c r="W52" s="411"/>
      <c r="X52" s="411"/>
      <c r="Y52" s="411"/>
      <c r="Z52" s="411"/>
      <c r="AA52" s="411"/>
      <c r="AB52" s="411"/>
      <c r="AC52" s="411"/>
      <c r="AD52" s="411"/>
      <c r="AE52" s="38"/>
      <c r="AF52" s="38"/>
      <c r="AG52" s="410"/>
      <c r="AH52" s="410"/>
      <c r="AI52" s="410"/>
      <c r="AJ52" s="410"/>
      <c r="AK52" s="410"/>
      <c r="AL52" s="410"/>
      <c r="AM52" s="410"/>
      <c r="AN52" s="410"/>
      <c r="AO52" s="410"/>
      <c r="AP52" s="410"/>
      <c r="AQ52" s="410"/>
      <c r="AR52" s="410"/>
      <c r="AS52" s="412"/>
      <c r="AT52" s="412"/>
      <c r="AU52" s="412"/>
      <c r="AV52" s="412"/>
      <c r="AW52" s="412"/>
      <c r="AX52" s="412"/>
      <c r="AY52" s="412"/>
      <c r="AZ52" s="412"/>
      <c r="BA52" s="410"/>
      <c r="BB52" s="410"/>
      <c r="BC52" s="410"/>
      <c r="BD52" s="410"/>
      <c r="BE52" s="410"/>
      <c r="BF52" s="410"/>
      <c r="BG52" s="410"/>
      <c r="BH52" s="410"/>
      <c r="BI52" s="410"/>
      <c r="BJ52" s="410"/>
      <c r="BK52" s="410"/>
      <c r="BL52" s="410"/>
    </row>
    <row r="53" spans="1:64" x14ac:dyDescent="0.2">
      <c r="A53" s="238"/>
      <c r="C53" s="17" t="s">
        <v>178</v>
      </c>
      <c r="D53" s="411"/>
      <c r="E53" s="411"/>
      <c r="F53" s="411"/>
      <c r="G53" s="411"/>
      <c r="H53" s="411"/>
      <c r="I53" s="411"/>
      <c r="J53" s="411"/>
      <c r="K53" s="411"/>
      <c r="L53" s="411"/>
      <c r="M53" s="411"/>
      <c r="N53" s="411"/>
      <c r="O53" s="411"/>
      <c r="P53" s="411"/>
      <c r="Q53" s="411"/>
      <c r="R53" s="411"/>
      <c r="S53" s="411"/>
      <c r="T53" s="411"/>
      <c r="U53" s="411"/>
      <c r="V53" s="411"/>
      <c r="W53" s="411"/>
      <c r="X53" s="411"/>
      <c r="Y53" s="411"/>
      <c r="Z53" s="411"/>
      <c r="AA53" s="411"/>
      <c r="AB53" s="411"/>
      <c r="AC53" s="411"/>
      <c r="AD53" s="411"/>
      <c r="AE53" s="38"/>
      <c r="AF53" s="38"/>
      <c r="AG53" s="410"/>
      <c r="AH53" s="410"/>
      <c r="AI53" s="410"/>
      <c r="AJ53" s="410"/>
      <c r="AK53" s="410"/>
      <c r="AL53" s="410"/>
      <c r="AM53" s="410"/>
      <c r="AN53" s="410"/>
      <c r="AO53" s="410"/>
      <c r="AP53" s="410"/>
      <c r="AQ53" s="410"/>
      <c r="AR53" s="410"/>
      <c r="AS53" s="412"/>
      <c r="AT53" s="412"/>
      <c r="AU53" s="412"/>
      <c r="AV53" s="412"/>
      <c r="AW53" s="412"/>
      <c r="AX53" s="412"/>
      <c r="AY53" s="412"/>
      <c r="AZ53" s="412"/>
      <c r="BA53" s="410"/>
      <c r="BB53" s="410"/>
      <c r="BC53" s="410"/>
      <c r="BD53" s="410"/>
      <c r="BE53" s="410"/>
      <c r="BF53" s="410"/>
      <c r="BG53" s="410"/>
      <c r="BH53" s="410"/>
      <c r="BI53" s="410"/>
      <c r="BJ53" s="410"/>
      <c r="BK53" s="410"/>
      <c r="BL53" s="410"/>
    </row>
    <row r="54" spans="1:64" ht="38.25" x14ac:dyDescent="0.2">
      <c r="A54" s="238"/>
      <c r="C54" s="116" t="s">
        <v>184</v>
      </c>
      <c r="D54" s="411" t="s">
        <v>60</v>
      </c>
      <c r="E54" s="411" t="s">
        <v>61</v>
      </c>
      <c r="F54" s="411" t="s">
        <v>62</v>
      </c>
      <c r="G54" s="411" t="s">
        <v>63</v>
      </c>
      <c r="H54" s="411" t="s">
        <v>64</v>
      </c>
      <c r="I54" s="411" t="s">
        <v>65</v>
      </c>
      <c r="J54" s="411" t="s">
        <v>66</v>
      </c>
      <c r="K54" s="411" t="s">
        <v>67</v>
      </c>
      <c r="L54" s="411" t="s">
        <v>68</v>
      </c>
      <c r="M54" s="411" t="s">
        <v>69</v>
      </c>
      <c r="N54" s="411" t="s">
        <v>70</v>
      </c>
      <c r="O54" s="411" t="s">
        <v>71</v>
      </c>
      <c r="P54" s="411" t="s">
        <v>72</v>
      </c>
      <c r="Q54" s="411" t="s">
        <v>73</v>
      </c>
      <c r="R54" s="411" t="s">
        <v>74</v>
      </c>
      <c r="S54" s="411" t="s">
        <v>75</v>
      </c>
      <c r="T54" s="411" t="s">
        <v>76</v>
      </c>
      <c r="U54" s="411" t="s">
        <v>77</v>
      </c>
      <c r="V54" s="411" t="s">
        <v>78</v>
      </c>
      <c r="W54" s="411" t="s">
        <v>79</v>
      </c>
      <c r="X54" s="411" t="s">
        <v>80</v>
      </c>
      <c r="Y54" s="411" t="s">
        <v>81</v>
      </c>
      <c r="Z54" s="411" t="s">
        <v>82</v>
      </c>
      <c r="AA54" s="411" t="s">
        <v>83</v>
      </c>
      <c r="AB54" s="411" t="s">
        <v>84</v>
      </c>
      <c r="AC54" s="411" t="s">
        <v>85</v>
      </c>
      <c r="AD54" s="411" t="s">
        <v>86</v>
      </c>
      <c r="AE54" s="38" t="s">
        <v>208</v>
      </c>
      <c r="AF54" s="38" t="s">
        <v>207</v>
      </c>
      <c r="AG54" s="410" t="s">
        <v>87</v>
      </c>
      <c r="AH54" s="410" t="s">
        <v>88</v>
      </c>
      <c r="AI54" s="410" t="s">
        <v>89</v>
      </c>
      <c r="AJ54" s="410" t="s">
        <v>90</v>
      </c>
      <c r="AK54" s="410" t="s">
        <v>91</v>
      </c>
      <c r="AL54" s="410" t="s">
        <v>92</v>
      </c>
      <c r="AM54" s="410" t="s">
        <v>93</v>
      </c>
      <c r="AN54" s="410" t="s">
        <v>94</v>
      </c>
      <c r="AO54" s="410" t="s">
        <v>95</v>
      </c>
      <c r="AP54" s="410" t="s">
        <v>96</v>
      </c>
      <c r="AQ54" s="410" t="s">
        <v>97</v>
      </c>
      <c r="AR54" s="410" t="s">
        <v>98</v>
      </c>
      <c r="AS54" s="443" t="s">
        <v>451</v>
      </c>
      <c r="AT54" s="443" t="s">
        <v>452</v>
      </c>
      <c r="AU54" s="443" t="s">
        <v>453</v>
      </c>
      <c r="AV54" s="443" t="s">
        <v>454</v>
      </c>
      <c r="AW54" s="443" t="s">
        <v>455</v>
      </c>
      <c r="AX54" s="443" t="s">
        <v>456</v>
      </c>
      <c r="AY54" s="443" t="s">
        <v>457</v>
      </c>
      <c r="AZ54" s="443" t="s">
        <v>458</v>
      </c>
      <c r="BA54" s="410" t="s">
        <v>99</v>
      </c>
      <c r="BB54" s="410" t="s">
        <v>100</v>
      </c>
      <c r="BC54" s="410" t="s">
        <v>101</v>
      </c>
      <c r="BD54" s="410" t="s">
        <v>102</v>
      </c>
      <c r="BE54" s="410" t="s">
        <v>103</v>
      </c>
      <c r="BF54" s="410" t="s">
        <v>104</v>
      </c>
      <c r="BG54" s="410" t="s">
        <v>105</v>
      </c>
      <c r="BH54" s="410" t="s">
        <v>106</v>
      </c>
      <c r="BI54" s="410" t="s">
        <v>107</v>
      </c>
      <c r="BJ54" s="410" t="s">
        <v>108</v>
      </c>
      <c r="BK54" s="410" t="s">
        <v>109</v>
      </c>
      <c r="BL54" s="410" t="s">
        <v>59</v>
      </c>
    </row>
    <row r="55" spans="1:64" x14ac:dyDescent="0.2">
      <c r="A55" s="238"/>
      <c r="C55" s="404" t="s">
        <v>388</v>
      </c>
      <c r="D55" s="407">
        <v>1.7391763925552368</v>
      </c>
      <c r="E55" s="407">
        <v>1.7210867404937744</v>
      </c>
      <c r="F55" s="407">
        <v>2.4472184181213379</v>
      </c>
      <c r="G55" s="407">
        <v>1.5773195028305054</v>
      </c>
      <c r="H55" s="407">
        <v>3.003532886505127</v>
      </c>
      <c r="I55" s="407">
        <v>1.4974936246871948</v>
      </c>
      <c r="J55" s="407">
        <v>1.2437485456466675</v>
      </c>
      <c r="K55" s="407">
        <v>1.520105242729187</v>
      </c>
      <c r="L55" s="407">
        <v>0.49751096963882446</v>
      </c>
      <c r="M55" s="407">
        <v>3.1654932498931885</v>
      </c>
      <c r="N55" s="407">
        <v>2.2808716297149658</v>
      </c>
      <c r="O55" s="407">
        <v>2.8189980983734131</v>
      </c>
      <c r="P55" s="407">
        <v>1.7025564908981323</v>
      </c>
      <c r="Q55" s="407">
        <v>1.4647606611251831</v>
      </c>
      <c r="R55" s="407">
        <v>1.132325291633606</v>
      </c>
      <c r="S55" s="407">
        <v>1.129085898399353</v>
      </c>
      <c r="T55" s="407">
        <v>0.8725813627243042</v>
      </c>
      <c r="U55" s="407">
        <v>1.4640202522277832</v>
      </c>
      <c r="V55" s="407">
        <v>1.516236424446106</v>
      </c>
      <c r="W55" s="407">
        <v>2.5744459629058838</v>
      </c>
      <c r="X55" s="407">
        <v>1.4321439266204834</v>
      </c>
      <c r="Y55" s="407">
        <v>2.8293278217315674</v>
      </c>
      <c r="Z55" s="407">
        <v>1.8625489473342896</v>
      </c>
      <c r="AA55" s="407">
        <v>1.6081392765045166</v>
      </c>
      <c r="AB55" s="407">
        <v>1.5394821166992187</v>
      </c>
      <c r="AC55" s="407">
        <v>1.3350600004196167</v>
      </c>
      <c r="AD55" s="407">
        <v>1.4348065853118896</v>
      </c>
      <c r="AE55" s="38">
        <f>'User Add-in Location'!B61</f>
        <v>0</v>
      </c>
      <c r="AF55" s="38">
        <f>'User Add-in Location'!C61</f>
        <v>0</v>
      </c>
      <c r="AG55" s="407">
        <v>1.2253385782241821</v>
      </c>
      <c r="AH55" s="407">
        <v>0.90793806314468384</v>
      </c>
      <c r="AI55" s="407">
        <v>2.0853433609008789</v>
      </c>
      <c r="AJ55" s="407">
        <v>1.5488070249557495</v>
      </c>
      <c r="AK55" s="407">
        <v>1.5014032125473022</v>
      </c>
      <c r="AL55" s="407">
        <v>1.7304626703262329</v>
      </c>
      <c r="AM55" s="407">
        <v>2.1501553058624268</v>
      </c>
      <c r="AN55" s="409">
        <v>1.1946014165878296</v>
      </c>
      <c r="AO55" s="409">
        <v>1.5700193643569946</v>
      </c>
      <c r="AP55" s="409">
        <v>1.0706446170806885</v>
      </c>
      <c r="AQ55" s="409">
        <v>2.8591387271881104</v>
      </c>
      <c r="AR55" s="409">
        <v>2.2380716800689697</v>
      </c>
      <c r="AS55" s="409">
        <v>2.3093769550323486</v>
      </c>
      <c r="AT55" s="409">
        <v>2.0767292976379395</v>
      </c>
      <c r="AU55" s="409">
        <v>2.1854839324951172</v>
      </c>
      <c r="AV55" s="409">
        <v>2.7665588855743408</v>
      </c>
      <c r="AW55" s="409">
        <v>2.1454319953918457</v>
      </c>
      <c r="AX55" s="409">
        <v>1.9290579557418823</v>
      </c>
      <c r="AY55" s="409">
        <v>2.1557166576385498</v>
      </c>
      <c r="AZ55" s="409">
        <v>3.0217800140380859</v>
      </c>
      <c r="BA55" s="409">
        <v>2.8498322963714502</v>
      </c>
      <c r="BB55" s="409">
        <v>1.7636380195617676</v>
      </c>
      <c r="BC55" s="409">
        <v>1.3673676252365112</v>
      </c>
      <c r="BD55" s="409">
        <v>1.201507568359375</v>
      </c>
      <c r="BE55" s="409">
        <v>1.8686040639877319</v>
      </c>
      <c r="BF55" s="407">
        <v>1.4350852966308594</v>
      </c>
      <c r="BG55" s="407">
        <v>2.4587788581848145</v>
      </c>
      <c r="BH55" s="407">
        <v>1.3781135082244873</v>
      </c>
      <c r="BI55" s="407">
        <v>2.2406606674194336</v>
      </c>
      <c r="BJ55" s="407">
        <v>0.77373939752578735</v>
      </c>
      <c r="BK55" s="407">
        <v>2.0528731346130371</v>
      </c>
      <c r="BL55" s="407">
        <v>0.46229103207588196</v>
      </c>
    </row>
    <row r="56" spans="1:64" x14ac:dyDescent="0.2">
      <c r="A56" s="238"/>
      <c r="C56" s="404" t="s">
        <v>124</v>
      </c>
      <c r="D56" s="407">
        <v>2.2859170436859131</v>
      </c>
      <c r="E56" s="407">
        <v>1.6000403165817261</v>
      </c>
      <c r="F56" s="407">
        <v>2.4046902656555176</v>
      </c>
      <c r="G56" s="407">
        <v>1.8702783584594727</v>
      </c>
      <c r="H56" s="407">
        <v>2.4244081974029541</v>
      </c>
      <c r="I56" s="407">
        <v>2.4309389591217041</v>
      </c>
      <c r="J56" s="407">
        <v>2.1237692832946777</v>
      </c>
      <c r="K56" s="407">
        <v>1.7375475168228149</v>
      </c>
      <c r="L56" s="407">
        <v>0.62341982126235962</v>
      </c>
      <c r="M56" s="407">
        <v>3.0534329414367676</v>
      </c>
      <c r="N56" s="407">
        <v>3.0341570377349854</v>
      </c>
      <c r="O56" s="407">
        <v>3.0287268161773682</v>
      </c>
      <c r="P56" s="407">
        <v>2.1162614822387695</v>
      </c>
      <c r="Q56" s="407">
        <v>2.6264834403991699</v>
      </c>
      <c r="R56" s="407">
        <v>2.5110938549041748</v>
      </c>
      <c r="S56" s="407">
        <v>2.1332921981811523</v>
      </c>
      <c r="T56" s="407">
        <v>1.7987504005432129</v>
      </c>
      <c r="U56" s="407">
        <v>2.0695505142211914</v>
      </c>
      <c r="V56" s="407">
        <v>1.8136755228042603</v>
      </c>
      <c r="W56" s="407">
        <v>2.5430028438568115</v>
      </c>
      <c r="X56" s="407">
        <v>2.086167573928833</v>
      </c>
      <c r="Y56" s="407">
        <v>2.4021642208099365</v>
      </c>
      <c r="Z56" s="407">
        <v>2.6480872631072998</v>
      </c>
      <c r="AA56" s="407">
        <v>2.4907987117767334</v>
      </c>
      <c r="AB56" s="407">
        <v>1.8067480325698853</v>
      </c>
      <c r="AC56" s="407">
        <v>2.4178335666656494</v>
      </c>
      <c r="AD56" s="407">
        <v>2.0047187805175781</v>
      </c>
      <c r="AE56" s="38">
        <f>'User Add-in Location'!B62</f>
        <v>0</v>
      </c>
      <c r="AF56" s="38">
        <f>'User Add-in Location'!C62</f>
        <v>0</v>
      </c>
      <c r="AG56" s="407">
        <v>2.548429012298584</v>
      </c>
      <c r="AH56" s="407">
        <v>1.6260640621185303</v>
      </c>
      <c r="AI56" s="407">
        <v>2.5089104175567627</v>
      </c>
      <c r="AJ56" s="407">
        <v>2.1470153331756592</v>
      </c>
      <c r="AK56" s="407">
        <v>1.861838698387146</v>
      </c>
      <c r="AL56" s="407">
        <v>2.0721609592437744</v>
      </c>
      <c r="AM56" s="407">
        <v>2.7281911373138428</v>
      </c>
      <c r="AN56" s="409">
        <v>1.4928184747695923</v>
      </c>
      <c r="AO56" s="409">
        <v>2.6827249526977539</v>
      </c>
      <c r="AP56" s="409">
        <v>1.8905495405197144</v>
      </c>
      <c r="AQ56" s="409">
        <v>3.0399405956268311</v>
      </c>
      <c r="AR56" s="409">
        <v>2.8000929355621338</v>
      </c>
      <c r="AS56" s="409">
        <v>2.6026184558868408</v>
      </c>
      <c r="AT56" s="409">
        <v>2.7202379703521729</v>
      </c>
      <c r="AU56" s="409">
        <v>3.008310079574585</v>
      </c>
      <c r="AV56" s="409">
        <v>3.2308356761932373</v>
      </c>
      <c r="AW56" s="409">
        <v>3.3041279315948486</v>
      </c>
      <c r="AX56" s="409">
        <v>2.4595799446105957</v>
      </c>
      <c r="AY56" s="409">
        <v>2.6670961380004883</v>
      </c>
      <c r="AZ56" s="409">
        <v>2.4437589645385742</v>
      </c>
      <c r="BA56" s="409">
        <v>2.8490719795227051</v>
      </c>
      <c r="BB56" s="409">
        <v>2.2538425922393799</v>
      </c>
      <c r="BC56" s="409">
        <v>2.0532574653625488</v>
      </c>
      <c r="BD56" s="409">
        <v>2.5301783084869385</v>
      </c>
      <c r="BE56" s="409">
        <v>2.247736930847168</v>
      </c>
      <c r="BF56" s="407">
        <v>2.6904687881469727</v>
      </c>
      <c r="BG56" s="407">
        <v>2.7542338371276855</v>
      </c>
      <c r="BH56" s="407">
        <v>2.3536698818206787</v>
      </c>
      <c r="BI56" s="407">
        <v>2.7436141967773437</v>
      </c>
      <c r="BJ56" s="407">
        <v>1.6708509922027588</v>
      </c>
      <c r="BK56" s="407">
        <v>3.0991661548614502</v>
      </c>
      <c r="BL56" s="407">
        <v>1.1901240348815918</v>
      </c>
    </row>
    <row r="57" spans="1:64" x14ac:dyDescent="0.2">
      <c r="A57" s="238"/>
      <c r="C57" s="404" t="s">
        <v>56</v>
      </c>
      <c r="D57" s="407">
        <v>2.7350685596466064</v>
      </c>
      <c r="E57" s="407">
        <v>2.636540412902832</v>
      </c>
      <c r="F57" s="407">
        <v>4.0237698554992676</v>
      </c>
      <c r="G57" s="407">
        <v>2.4832026958465576</v>
      </c>
      <c r="H57" s="407">
        <v>3.950040340423584</v>
      </c>
      <c r="I57" s="407">
        <v>3.6365137100219727</v>
      </c>
      <c r="J57" s="407">
        <v>2.7300035953521729</v>
      </c>
      <c r="K57" s="407">
        <v>2.6579289436340332</v>
      </c>
      <c r="L57" s="407">
        <v>0.72304797172546387</v>
      </c>
      <c r="M57" s="407">
        <v>4.3423810005187988</v>
      </c>
      <c r="N57" s="407">
        <v>3.4411871433258057</v>
      </c>
      <c r="O57" s="407">
        <v>3.5197405815124512</v>
      </c>
      <c r="P57" s="407">
        <v>3.0441379547119141</v>
      </c>
      <c r="Q57" s="407">
        <v>3.9528298377990723</v>
      </c>
      <c r="R57" s="407">
        <v>3.0841960906982422</v>
      </c>
      <c r="S57" s="407">
        <v>2.642453670501709</v>
      </c>
      <c r="T57" s="407">
        <v>2.6568789482116699</v>
      </c>
      <c r="U57" s="407">
        <v>2.5297615528106689</v>
      </c>
      <c r="V57" s="407">
        <v>2.6461477279663086</v>
      </c>
      <c r="W57" s="407">
        <v>3.3415217399597168</v>
      </c>
      <c r="X57" s="407">
        <v>3.0304512977600098</v>
      </c>
      <c r="Y57" s="407">
        <v>3.3895902633666992</v>
      </c>
      <c r="Z57" s="407">
        <v>3.8873305320739746</v>
      </c>
      <c r="AA57" s="407">
        <v>3.839092493057251</v>
      </c>
      <c r="AB57" s="407">
        <v>2.4246385097503662</v>
      </c>
      <c r="AC57" s="407">
        <v>3.2878358364105225</v>
      </c>
      <c r="AD57" s="407">
        <v>2.7762012481689453</v>
      </c>
      <c r="AE57" s="38">
        <f>'User Add-in Location'!B63</f>
        <v>0</v>
      </c>
      <c r="AF57" s="38">
        <f>'User Add-in Location'!C63</f>
        <v>0</v>
      </c>
      <c r="AG57" s="407">
        <v>2.9674596786499023</v>
      </c>
      <c r="AH57" s="407">
        <v>2.9277091026306152</v>
      </c>
      <c r="AI57" s="407">
        <v>3.1273117065429687</v>
      </c>
      <c r="AJ57" s="407">
        <v>2.8700313568115234</v>
      </c>
      <c r="AK57" s="407">
        <v>2.64308762550354</v>
      </c>
      <c r="AL57" s="407">
        <v>3.0188224315643311</v>
      </c>
      <c r="AM57" s="407">
        <v>3.1935033798217773</v>
      </c>
      <c r="AN57" s="409">
        <v>2.2514965534210205</v>
      </c>
      <c r="AO57" s="409">
        <v>3.7123603820800781</v>
      </c>
      <c r="AP57" s="409">
        <v>2.5474214553833008</v>
      </c>
      <c r="AQ57" s="409">
        <v>3.7118637561798096</v>
      </c>
      <c r="AR57" s="409">
        <v>3.8885300159454346</v>
      </c>
      <c r="AS57" s="409">
        <v>3.7199113368988037</v>
      </c>
      <c r="AT57" s="409">
        <v>3.8192579746246338</v>
      </c>
      <c r="AU57" s="409">
        <v>3.7970788478851318</v>
      </c>
      <c r="AV57" s="409">
        <v>4.2614812850952148</v>
      </c>
      <c r="AW57" s="409">
        <v>4.7801017761230469</v>
      </c>
      <c r="AX57" s="409">
        <v>3.6754004955291748</v>
      </c>
      <c r="AY57" s="409">
        <v>4.0367279052734375</v>
      </c>
      <c r="AZ57" s="409">
        <v>3.9713160991668701</v>
      </c>
      <c r="BA57" s="409">
        <v>3.6195492744445801</v>
      </c>
      <c r="BB57" s="409">
        <v>3.0437698364257813</v>
      </c>
      <c r="BC57" s="409">
        <v>2.6911897659301758</v>
      </c>
      <c r="BD57" s="409">
        <v>3.2970716953277588</v>
      </c>
      <c r="BE57" s="409">
        <v>3.4884893894195557</v>
      </c>
      <c r="BF57" s="407">
        <v>3.9056694507598877</v>
      </c>
      <c r="BG57" s="407">
        <v>2.9935040473937988</v>
      </c>
      <c r="BH57" s="407">
        <v>2.9625749588012695</v>
      </c>
      <c r="BI57" s="407">
        <v>2.6476635932922363</v>
      </c>
      <c r="BJ57" s="407">
        <v>2.2429947853088379</v>
      </c>
      <c r="BK57" s="407">
        <v>3.6698205471038818</v>
      </c>
      <c r="BL57" s="407">
        <v>1.7196999788284302</v>
      </c>
    </row>
    <row r="58" spans="1:64" x14ac:dyDescent="0.2">
      <c r="A58" s="238"/>
      <c r="C58" s="404" t="s">
        <v>389</v>
      </c>
      <c r="D58" s="407">
        <v>3.6238107681274414</v>
      </c>
      <c r="E58" s="407">
        <v>3.3773045539855957</v>
      </c>
      <c r="F58" s="407">
        <v>5.1712026596069336</v>
      </c>
      <c r="G58" s="407">
        <v>3.4164862632751465</v>
      </c>
      <c r="H58" s="407">
        <v>4.736121654510498</v>
      </c>
      <c r="I58" s="407">
        <v>4.6209745407104492</v>
      </c>
      <c r="J58" s="407">
        <v>3.344257116317749</v>
      </c>
      <c r="K58" s="407">
        <v>3.4889719486236572</v>
      </c>
      <c r="L58" s="407">
        <v>0.9262959361076355</v>
      </c>
      <c r="M58" s="407">
        <v>5.5750560760498047</v>
      </c>
      <c r="N58" s="407">
        <v>4.4828066825866699</v>
      </c>
      <c r="O58" s="407">
        <v>4.6433191299438477</v>
      </c>
      <c r="P58" s="407">
        <v>4.0615253448486328</v>
      </c>
      <c r="Q58" s="407">
        <v>4.9731817245483398</v>
      </c>
      <c r="R58" s="407">
        <v>4.0984444618225098</v>
      </c>
      <c r="S58" s="407">
        <v>3.5997586250305176</v>
      </c>
      <c r="T58" s="407">
        <v>3.6401121616363525</v>
      </c>
      <c r="U58" s="407">
        <v>3.4056568145751953</v>
      </c>
      <c r="V58" s="407">
        <v>3.5551903247833252</v>
      </c>
      <c r="W58" s="407">
        <v>4.3340106010437012</v>
      </c>
      <c r="X58" s="407">
        <v>3.8814308643341064</v>
      </c>
      <c r="Y58" s="407">
        <v>4.194948673248291</v>
      </c>
      <c r="Z58" s="407">
        <v>4.8366837501525879</v>
      </c>
      <c r="AA58" s="407">
        <v>4.913386344909668</v>
      </c>
      <c r="AB58" s="407">
        <v>3.3705592155456543</v>
      </c>
      <c r="AC58" s="407">
        <v>4.2771091461181641</v>
      </c>
      <c r="AD58" s="407">
        <v>3.8066160678863525</v>
      </c>
      <c r="AE58" s="38">
        <f>'User Add-in Location'!B64</f>
        <v>0</v>
      </c>
      <c r="AF58" s="38">
        <f>'User Add-in Location'!C64</f>
        <v>0</v>
      </c>
      <c r="AG58" s="407">
        <v>4.1001782417297363</v>
      </c>
      <c r="AH58" s="407">
        <v>3.840085506439209</v>
      </c>
      <c r="AI58" s="407">
        <v>3.9029200077056885</v>
      </c>
      <c r="AJ58" s="407">
        <v>3.5237236022949219</v>
      </c>
      <c r="AK58" s="407">
        <v>3.6930060386657715</v>
      </c>
      <c r="AL58" s="407">
        <v>3.8337631225585937</v>
      </c>
      <c r="AM58" s="407">
        <v>4.216865062713623</v>
      </c>
      <c r="AN58" s="409">
        <v>3.1394979953765869</v>
      </c>
      <c r="AO58" s="409">
        <v>4.7627315521240234</v>
      </c>
      <c r="AP58" s="409">
        <v>3.4438266754150391</v>
      </c>
      <c r="AQ58" s="409">
        <v>4.7434544563293457</v>
      </c>
      <c r="AR58" s="409">
        <v>4.8951215744018555</v>
      </c>
      <c r="AS58" s="409">
        <v>4.5862631797790527</v>
      </c>
      <c r="AT58" s="409">
        <v>4.7370147705078125</v>
      </c>
      <c r="AU58" s="409">
        <v>4.8514423370361328</v>
      </c>
      <c r="AV58" s="409">
        <v>5.4139108657836914</v>
      </c>
      <c r="AW58" s="409">
        <v>5.8847236633300781</v>
      </c>
      <c r="AX58" s="409">
        <v>4.6888875961303711</v>
      </c>
      <c r="AY58" s="409">
        <v>5.1459136009216309</v>
      </c>
      <c r="AZ58" s="409">
        <v>4.7704524993896484</v>
      </c>
      <c r="BA58" s="409">
        <v>4.6898651123046875</v>
      </c>
      <c r="BB58" s="409">
        <v>4.0878357887268066</v>
      </c>
      <c r="BC58" s="409">
        <v>3.6751883029937744</v>
      </c>
      <c r="BD58" s="409">
        <v>4.223731517791748</v>
      </c>
      <c r="BE58" s="409">
        <v>4.4529910087585449</v>
      </c>
      <c r="BF58" s="407">
        <v>5.0615663528442383</v>
      </c>
      <c r="BG58" s="407">
        <v>3.9395582675933838</v>
      </c>
      <c r="BH58" s="407">
        <v>3.8652498722076416</v>
      </c>
      <c r="BI58" s="407">
        <v>1.9124383926391602</v>
      </c>
      <c r="BJ58" s="407">
        <v>3.1046969890594482</v>
      </c>
      <c r="BK58" s="407">
        <v>4.7188911437988281</v>
      </c>
      <c r="BL58" s="407">
        <v>2.4715609550476074</v>
      </c>
    </row>
    <row r="59" spans="1:64" x14ac:dyDescent="0.2">
      <c r="A59" s="238"/>
      <c r="C59" s="404" t="s">
        <v>390</v>
      </c>
      <c r="D59" s="407">
        <v>3.2431995868682861</v>
      </c>
      <c r="E59" s="407">
        <v>2.5810036659240723</v>
      </c>
      <c r="F59" s="407">
        <v>4.0553293228149414</v>
      </c>
      <c r="G59" s="407">
        <v>3.2758269309997559</v>
      </c>
      <c r="H59" s="407">
        <v>3.7301418781280518</v>
      </c>
      <c r="I59" s="407">
        <v>3.6722252368927002</v>
      </c>
      <c r="J59" s="407">
        <v>2.8142294883728027</v>
      </c>
      <c r="K59" s="407">
        <v>2.7783114910125732</v>
      </c>
      <c r="L59" s="407">
        <v>0.69013798236846924</v>
      </c>
      <c r="M59" s="407">
        <v>4.4665646553039551</v>
      </c>
      <c r="N59" s="407">
        <v>3.8432080745697021</v>
      </c>
      <c r="O59" s="407">
        <v>3.3002564907073975</v>
      </c>
      <c r="P59" s="407">
        <v>3.6927769184112549</v>
      </c>
      <c r="Q59" s="407">
        <v>3.7442648410797119</v>
      </c>
      <c r="R59" s="407">
        <v>3.3794336318969727</v>
      </c>
      <c r="S59" s="407">
        <v>3.1588103771209717</v>
      </c>
      <c r="T59" s="407">
        <v>3.0102431774139404</v>
      </c>
      <c r="U59" s="407">
        <v>3.1227326393127441</v>
      </c>
      <c r="V59" s="407">
        <v>2.8085622787475586</v>
      </c>
      <c r="W59" s="407">
        <v>4.2710409164428711</v>
      </c>
      <c r="X59" s="407">
        <v>2.9646177291870117</v>
      </c>
      <c r="Y59" s="407">
        <v>3.3090243339538574</v>
      </c>
      <c r="Z59" s="407">
        <v>4.1009740829467773</v>
      </c>
      <c r="AA59" s="407">
        <v>3.9312989711761475</v>
      </c>
      <c r="AB59" s="407">
        <v>3.0993742942810059</v>
      </c>
      <c r="AC59" s="407">
        <v>3.5995562076568604</v>
      </c>
      <c r="AD59" s="407">
        <v>3.4519600868225098</v>
      </c>
      <c r="AE59" s="38">
        <f>'User Add-in Location'!B65</f>
        <v>0</v>
      </c>
      <c r="AF59" s="38">
        <f>'User Add-in Location'!C65</f>
        <v>0</v>
      </c>
      <c r="AG59" s="407">
        <v>3.4453203678131104</v>
      </c>
      <c r="AH59" s="407">
        <v>2.6599035263061523</v>
      </c>
      <c r="AI59" s="407">
        <v>3.6063978672027588</v>
      </c>
      <c r="AJ59" s="407">
        <v>2.7806515693664551</v>
      </c>
      <c r="AK59" s="407">
        <v>2.9970481395721436</v>
      </c>
      <c r="AL59" s="407">
        <v>2.8283743858337402</v>
      </c>
      <c r="AM59" s="407">
        <v>3.7862141132354736</v>
      </c>
      <c r="AN59" s="409">
        <v>2.6030306816101074</v>
      </c>
      <c r="AO59" s="409">
        <v>4.0770978927612305</v>
      </c>
      <c r="AP59" s="409">
        <v>3.1469323635101318</v>
      </c>
      <c r="AQ59" s="409">
        <v>3.857236385345459</v>
      </c>
      <c r="AR59" s="409">
        <v>3.9577474594116211</v>
      </c>
      <c r="AS59" s="409">
        <v>3.5852618217468262</v>
      </c>
      <c r="AT59" s="409">
        <v>3.7507400512695312</v>
      </c>
      <c r="AU59" s="409">
        <v>3.9496488571166992</v>
      </c>
      <c r="AV59" s="409">
        <v>4.5736446380615234</v>
      </c>
      <c r="AW59" s="409">
        <v>4.7512087821960449</v>
      </c>
      <c r="AX59" s="409">
        <v>3.7978026866912842</v>
      </c>
      <c r="AY59" s="409">
        <v>4.0411295890808105</v>
      </c>
      <c r="AZ59" s="409">
        <v>3.7432005405426025</v>
      </c>
      <c r="BA59" s="409">
        <v>3.7970013618469238</v>
      </c>
      <c r="BB59" s="409">
        <v>3.520641565322876</v>
      </c>
      <c r="BC59" s="409">
        <v>3.3934884071350098</v>
      </c>
      <c r="BD59" s="409">
        <v>3.8759365081787109</v>
      </c>
      <c r="BE59" s="409">
        <v>3.5359616279602051</v>
      </c>
      <c r="BF59" s="407">
        <v>4.1779675483703613</v>
      </c>
      <c r="BG59" s="407">
        <v>3.8195743560791016</v>
      </c>
      <c r="BH59" s="407">
        <v>3.1365656852722168</v>
      </c>
      <c r="BI59" s="407">
        <v>1.6762638092041016</v>
      </c>
      <c r="BJ59" s="407">
        <v>2.5466690063476562</v>
      </c>
      <c r="BK59" s="407">
        <v>3.8805325031280518</v>
      </c>
      <c r="BL59" s="407">
        <v>1.856629490852356</v>
      </c>
    </row>
    <row r="60" spans="1:64" x14ac:dyDescent="0.2">
      <c r="A60" s="238"/>
      <c r="C60" s="404" t="s">
        <v>125</v>
      </c>
      <c r="D60" s="407">
        <v>1.4972007274627686</v>
      </c>
      <c r="E60" s="407">
        <v>1.1104016304016113</v>
      </c>
      <c r="F60" s="407">
        <v>2.3908016681671143</v>
      </c>
      <c r="G60" s="407">
        <v>1.405576229095459</v>
      </c>
      <c r="H60" s="407">
        <v>2.4052138328552246</v>
      </c>
      <c r="I60" s="407">
        <v>2.1337790489196777</v>
      </c>
      <c r="J60" s="407">
        <v>1.6513932943344116</v>
      </c>
      <c r="K60" s="407">
        <v>1.3493162393569946</v>
      </c>
      <c r="L60" s="407">
        <v>0.33382919430732727</v>
      </c>
      <c r="M60" s="407">
        <v>2.6721792221069336</v>
      </c>
      <c r="N60" s="407">
        <v>1.9462864398956299</v>
      </c>
      <c r="O60" s="407">
        <v>1.7257080078125</v>
      </c>
      <c r="P60" s="407">
        <v>1.6678847074508667</v>
      </c>
      <c r="Q60" s="407">
        <v>2.213407039642334</v>
      </c>
      <c r="R60" s="407">
        <v>1.6504272222518921</v>
      </c>
      <c r="S60" s="407">
        <v>1.3803812265396118</v>
      </c>
      <c r="T60" s="407">
        <v>1.2946608066558838</v>
      </c>
      <c r="U60" s="407">
        <v>1.3689475059509277</v>
      </c>
      <c r="V60" s="407">
        <v>1.1124167442321777</v>
      </c>
      <c r="W60" s="407">
        <v>2.1695165634155273</v>
      </c>
      <c r="X60" s="407">
        <v>1.7541766166687012</v>
      </c>
      <c r="Y60" s="407">
        <v>2.1098952293395996</v>
      </c>
      <c r="Z60" s="407">
        <v>2.3776493072509766</v>
      </c>
      <c r="AA60" s="407">
        <v>2.369208812713623</v>
      </c>
      <c r="AB60" s="407">
        <v>1.21248459815979</v>
      </c>
      <c r="AC60" s="407">
        <v>1.7218095064163208</v>
      </c>
      <c r="AD60" s="407">
        <v>1.167319655418396</v>
      </c>
      <c r="AE60" s="38">
        <f>'User Add-in Location'!B66</f>
        <v>0</v>
      </c>
      <c r="AF60" s="38">
        <f>'User Add-in Location'!C66</f>
        <v>0</v>
      </c>
      <c r="AG60" s="407">
        <v>1.479633092880249</v>
      </c>
      <c r="AH60" s="407">
        <v>1.6807079315185547</v>
      </c>
      <c r="AI60" s="407">
        <v>2.056013822555542</v>
      </c>
      <c r="AJ60" s="407">
        <v>1.5464609861373901</v>
      </c>
      <c r="AK60" s="407">
        <v>1.259886622428894</v>
      </c>
      <c r="AL60" s="407">
        <v>1.757032036781311</v>
      </c>
      <c r="AM60" s="407">
        <v>1.8754160404205322</v>
      </c>
      <c r="AN60" s="409">
        <v>1.0526533126831055</v>
      </c>
      <c r="AO60" s="409">
        <v>2.1437070369720459</v>
      </c>
      <c r="AP60" s="409">
        <v>1.6021628379821777</v>
      </c>
      <c r="AQ60" s="409">
        <v>2.3281807899475098</v>
      </c>
      <c r="AR60" s="409">
        <v>2.1778984069824219</v>
      </c>
      <c r="AS60" s="409">
        <v>2.3252661228179932</v>
      </c>
      <c r="AT60" s="409">
        <v>2.1797800064086914</v>
      </c>
      <c r="AU60" s="409">
        <v>2.2274959087371826</v>
      </c>
      <c r="AV60" s="409">
        <v>2.5682439804077148</v>
      </c>
      <c r="AW60" s="409">
        <v>2.9637198448181152</v>
      </c>
      <c r="AX60" s="409">
        <v>2.0876481533050537</v>
      </c>
      <c r="AY60" s="409">
        <v>2.3532698154449463</v>
      </c>
      <c r="AZ60" s="409">
        <v>2.4124548435211182</v>
      </c>
      <c r="BA60" s="409">
        <v>2.1250848770141602</v>
      </c>
      <c r="BB60" s="409">
        <v>1.7263661623001099</v>
      </c>
      <c r="BC60" s="409">
        <v>1.4850963354110718</v>
      </c>
      <c r="BD60" s="409">
        <v>1.9230965375900269</v>
      </c>
      <c r="BE60" s="409">
        <v>1.9002586603164673</v>
      </c>
      <c r="BF60" s="407">
        <v>2.1044251918792725</v>
      </c>
      <c r="BG60" s="407">
        <v>1.8738241195678711</v>
      </c>
      <c r="BH60" s="407">
        <v>1.6148818731307983</v>
      </c>
      <c r="BI60" s="407">
        <v>2.3122437000274658</v>
      </c>
      <c r="BJ60" s="407">
        <v>1.023033618927002</v>
      </c>
      <c r="BK60" s="407">
        <v>2.0867142677307129</v>
      </c>
      <c r="BL60" s="407">
        <v>0.52488839626312256</v>
      </c>
    </row>
    <row r="61" spans="1:64" x14ac:dyDescent="0.2">
      <c r="A61" s="238"/>
      <c r="C61" s="404" t="s">
        <v>126</v>
      </c>
      <c r="D61" s="407">
        <v>1.8028076887130737</v>
      </c>
      <c r="E61" s="407">
        <v>1.2965587377548218</v>
      </c>
      <c r="F61" s="407">
        <v>2.5576772689819336</v>
      </c>
      <c r="G61" s="407">
        <v>1.7637556791305542</v>
      </c>
      <c r="H61" s="407">
        <v>2.6701450347900391</v>
      </c>
      <c r="I61" s="407">
        <v>2.4018635749816895</v>
      </c>
      <c r="J61" s="407">
        <v>1.8043884038925171</v>
      </c>
      <c r="K61" s="407">
        <v>1.7505139112472534</v>
      </c>
      <c r="L61" s="407">
        <v>0.41669654846191406</v>
      </c>
      <c r="M61" s="407">
        <v>2.9003763198852539</v>
      </c>
      <c r="N61" s="407">
        <v>2.2869923114776611</v>
      </c>
      <c r="O61" s="407">
        <v>2.0144598484039307</v>
      </c>
      <c r="P61" s="407">
        <v>2.002582311630249</v>
      </c>
      <c r="Q61" s="407">
        <v>2.5871403217315674</v>
      </c>
      <c r="R61" s="407">
        <v>2.0197203159332275</v>
      </c>
      <c r="S61" s="407">
        <v>1.7301926612854004</v>
      </c>
      <c r="T61" s="407">
        <v>1.6432508230209351</v>
      </c>
      <c r="U61" s="407">
        <v>1.6457111835479736</v>
      </c>
      <c r="V61" s="407">
        <v>1.7303081750869751</v>
      </c>
      <c r="W61" s="407">
        <v>2.3465931415557861</v>
      </c>
      <c r="X61" s="407">
        <v>1.8809406757354736</v>
      </c>
      <c r="Y61" s="407">
        <v>2.2814273834228516</v>
      </c>
      <c r="Z61" s="407">
        <v>2.6357560157775879</v>
      </c>
      <c r="AA61" s="407">
        <v>2.6220457553863525</v>
      </c>
      <c r="AB61" s="407">
        <v>1.6017228364944458</v>
      </c>
      <c r="AC61" s="407">
        <v>2.1318528652191162</v>
      </c>
      <c r="AD61" s="407">
        <v>1.7923450469970703</v>
      </c>
      <c r="AE61" s="38">
        <f>'User Add-in Location'!B67</f>
        <v>0</v>
      </c>
      <c r="AF61" s="38">
        <f>'User Add-in Location'!C67</f>
        <v>0</v>
      </c>
      <c r="AG61" s="407">
        <v>1.9365279674530029</v>
      </c>
      <c r="AH61" s="407">
        <v>1.7241442203521729</v>
      </c>
      <c r="AI61" s="407">
        <v>2.131591796875</v>
      </c>
      <c r="AJ61" s="407">
        <v>1.9120553731918335</v>
      </c>
      <c r="AK61" s="407">
        <v>1.5394226312637329</v>
      </c>
      <c r="AL61" s="407">
        <v>2.0161449909210205</v>
      </c>
      <c r="AM61" s="407">
        <v>2.2480463981628418</v>
      </c>
      <c r="AN61" s="409">
        <v>1.4342844486236572</v>
      </c>
      <c r="AO61" s="409">
        <v>2.5346872806549072</v>
      </c>
      <c r="AP61" s="409">
        <v>1.840614914894104</v>
      </c>
      <c r="AQ61" s="409">
        <v>2.4691641330718994</v>
      </c>
      <c r="AR61" s="409">
        <v>2.6096832752227783</v>
      </c>
      <c r="AS61" s="409">
        <v>2.5759987831115723</v>
      </c>
      <c r="AT61" s="409">
        <v>2.601351261138916</v>
      </c>
      <c r="AU61" s="409">
        <v>2.6569395065307617</v>
      </c>
      <c r="AV61" s="409">
        <v>2.9832267761230469</v>
      </c>
      <c r="AW61" s="409">
        <v>3.3659501075744629</v>
      </c>
      <c r="AX61" s="409">
        <v>2.5872194766998291</v>
      </c>
      <c r="AY61" s="409">
        <v>2.6764812469482422</v>
      </c>
      <c r="AZ61" s="409">
        <v>2.6785521507263184</v>
      </c>
      <c r="BA61" s="409">
        <v>2.3873071670532227</v>
      </c>
      <c r="BB61" s="409">
        <v>2.0704994201660156</v>
      </c>
      <c r="BC61" s="409">
        <v>1.8503061532974243</v>
      </c>
      <c r="BD61" s="409">
        <v>2.3588824272155762</v>
      </c>
      <c r="BE61" s="409">
        <v>2.4330461025238037</v>
      </c>
      <c r="BF61" s="407">
        <v>2.6317837238311768</v>
      </c>
      <c r="BG61" s="407">
        <v>2.0505931377410889</v>
      </c>
      <c r="BH61" s="407">
        <v>2.0467691421508789</v>
      </c>
      <c r="BI61" s="407">
        <v>2.3820445537567139</v>
      </c>
      <c r="BJ61" s="407">
        <v>1.3255646228790283</v>
      </c>
      <c r="BK61" s="407">
        <v>2.4143600463867187</v>
      </c>
      <c r="BL61" s="407">
        <v>0.94434833526611328</v>
      </c>
    </row>
    <row r="62" spans="1:64" x14ac:dyDescent="0.2">
      <c r="A62" s="238"/>
      <c r="C62" s="404" t="s">
        <v>127</v>
      </c>
      <c r="D62" s="407">
        <v>1.7941274642944336</v>
      </c>
      <c r="E62" s="407">
        <v>1.0426974296569824</v>
      </c>
      <c r="F62" s="407">
        <v>2.5435676574707031</v>
      </c>
      <c r="G62" s="407">
        <v>1.7593982219696045</v>
      </c>
      <c r="H62" s="407">
        <v>2.717294454574585</v>
      </c>
      <c r="I62" s="407">
        <v>2.407559871673584</v>
      </c>
      <c r="J62" s="407">
        <v>1.7067596912384033</v>
      </c>
      <c r="K62" s="407">
        <v>2.187891960144043</v>
      </c>
      <c r="L62" s="407">
        <v>0.39618974924087524</v>
      </c>
      <c r="M62" s="407">
        <v>3.152090311050415</v>
      </c>
      <c r="N62" s="407">
        <v>2.6930520534515381</v>
      </c>
      <c r="O62" s="407">
        <v>0</v>
      </c>
      <c r="P62" s="407">
        <v>2.3110020160675049</v>
      </c>
      <c r="Q62" s="407">
        <v>2.813133716583252</v>
      </c>
      <c r="R62" s="407">
        <v>2.1118829250335693</v>
      </c>
      <c r="S62" s="407">
        <v>1.6832541227340698</v>
      </c>
      <c r="T62" s="407">
        <v>1.8213120698928833</v>
      </c>
      <c r="U62" s="407">
        <v>1.7635953426361084</v>
      </c>
      <c r="V62" s="407">
        <v>1.8510565757751465</v>
      </c>
      <c r="W62" s="407">
        <v>2.3146941661834717</v>
      </c>
      <c r="X62" s="407">
        <v>2.2586040496826172</v>
      </c>
      <c r="Y62" s="407">
        <v>2.4474458694458008</v>
      </c>
      <c r="Z62" s="407">
        <v>3.0128509998321533</v>
      </c>
      <c r="AA62" s="407">
        <v>3.067908763885498</v>
      </c>
      <c r="AB62" s="407">
        <v>1.7540866136550903</v>
      </c>
      <c r="AC62" s="407">
        <v>2.4525132179260254</v>
      </c>
      <c r="AD62" s="407">
        <v>1.8527168035507202</v>
      </c>
      <c r="AE62" s="38">
        <f>'User Add-in Location'!B68</f>
        <v>0</v>
      </c>
      <c r="AF62" s="38">
        <f>'User Add-in Location'!C68</f>
        <v>0</v>
      </c>
      <c r="AG62" s="407">
        <v>1.8658493757247925</v>
      </c>
      <c r="AH62" s="407">
        <v>1.6679391860961914</v>
      </c>
      <c r="AI62" s="407">
        <v>2.7181615829467773</v>
      </c>
      <c r="AJ62" s="407">
        <v>2.2179596424102783</v>
      </c>
      <c r="AK62" s="407">
        <v>1.8315351009368896</v>
      </c>
      <c r="AL62" s="407">
        <v>2.1041700839996338</v>
      </c>
      <c r="AM62" s="407">
        <v>2.4360196590423584</v>
      </c>
      <c r="AN62" s="409">
        <v>1.0231785774230957</v>
      </c>
      <c r="AO62" s="409">
        <v>2.8147382736206055</v>
      </c>
      <c r="AP62" s="409">
        <v>2.0237724781036377</v>
      </c>
      <c r="AQ62" s="409">
        <v>2.8095293045043945</v>
      </c>
      <c r="AR62" s="409">
        <v>2.7605288028717041</v>
      </c>
      <c r="AS62" s="409">
        <v>2.7001872062683105</v>
      </c>
      <c r="AT62" s="409">
        <v>2.8322489261627197</v>
      </c>
      <c r="AU62" s="409">
        <v>2.7704710960388184</v>
      </c>
      <c r="AV62" s="409">
        <v>3.180372953414917</v>
      </c>
      <c r="AW62" s="409">
        <v>3.6990907192230225</v>
      </c>
      <c r="AX62" s="409">
        <v>2.6944687366485596</v>
      </c>
      <c r="AY62" s="409">
        <v>2.7974908351898193</v>
      </c>
      <c r="AZ62" s="409">
        <v>2.7278196811676025</v>
      </c>
      <c r="BA62" s="409">
        <v>2.7279443740844727</v>
      </c>
      <c r="BB62" s="409">
        <v>2.0852608680725098</v>
      </c>
      <c r="BC62" s="409">
        <v>1.5863577127456665</v>
      </c>
      <c r="BD62" s="409">
        <v>2.4175634384155273</v>
      </c>
      <c r="BE62" s="409">
        <v>2.4844341278076172</v>
      </c>
      <c r="BF62" s="407">
        <v>2.6860485076904297</v>
      </c>
      <c r="BG62" s="407">
        <v>2.3390798568725586</v>
      </c>
      <c r="BH62" s="407">
        <v>2.1752851009368896</v>
      </c>
      <c r="BI62" s="407">
        <v>2.3424296379089355</v>
      </c>
      <c r="BJ62" s="407">
        <v>1.0940234661102295</v>
      </c>
      <c r="BK62" s="407">
        <v>2.816814661026001</v>
      </c>
      <c r="BL62" s="407">
        <v>0.87057840824127197</v>
      </c>
    </row>
    <row r="63" spans="1:64" x14ac:dyDescent="0.2">
      <c r="A63" s="238"/>
      <c r="C63" s="404" t="s">
        <v>391</v>
      </c>
      <c r="D63" s="407">
        <v>1.6776772737503052</v>
      </c>
      <c r="E63" s="407">
        <v>1.2265480756759644</v>
      </c>
      <c r="F63" s="407">
        <v>2.4572536945343018</v>
      </c>
      <c r="G63" s="407">
        <v>1.5474332571029663</v>
      </c>
      <c r="H63" s="407">
        <v>2.5623111724853516</v>
      </c>
      <c r="I63" s="407">
        <v>2.2761189937591553</v>
      </c>
      <c r="J63" s="407">
        <v>1.9826289415359497</v>
      </c>
      <c r="K63" s="407">
        <v>1.7979494333267212</v>
      </c>
      <c r="L63" s="407">
        <v>0</v>
      </c>
      <c r="M63" s="407">
        <v>2.796987771987915</v>
      </c>
      <c r="N63" s="407">
        <v>2.2748675346374512</v>
      </c>
      <c r="O63" s="407">
        <v>0</v>
      </c>
      <c r="P63" s="407">
        <v>1.8623063564300537</v>
      </c>
      <c r="Q63" s="407">
        <v>2.524334192276001</v>
      </c>
      <c r="R63" s="407">
        <v>1.7891550064086914</v>
      </c>
      <c r="S63" s="407">
        <v>1.638824462890625</v>
      </c>
      <c r="T63" s="407">
        <v>1.5199627876281738</v>
      </c>
      <c r="U63" s="407">
        <v>1.6200557947158813</v>
      </c>
      <c r="V63" s="407">
        <v>1.4856600761413574</v>
      </c>
      <c r="W63" s="407">
        <v>2.2870829105377197</v>
      </c>
      <c r="X63" s="407">
        <v>1.8165478706359863</v>
      </c>
      <c r="Y63" s="407">
        <v>2.2313246726989746</v>
      </c>
      <c r="Z63" s="407">
        <v>2.5182244777679443</v>
      </c>
      <c r="AA63" s="407">
        <v>2.51224684715271</v>
      </c>
      <c r="AB63" s="407">
        <v>1.3777201175689697</v>
      </c>
      <c r="AC63" s="407">
        <v>1.9585429430007935</v>
      </c>
      <c r="AD63" s="407">
        <v>1.8993929624557495</v>
      </c>
      <c r="AE63" s="38">
        <f>'User Add-in Location'!B69</f>
        <v>0</v>
      </c>
      <c r="AF63" s="38">
        <f>'User Add-in Location'!C69</f>
        <v>0</v>
      </c>
      <c r="AG63" s="407">
        <v>1.790952205657959</v>
      </c>
      <c r="AH63" s="407">
        <v>1.9793670177459717</v>
      </c>
      <c r="AI63" s="407">
        <v>2.0679223537445068</v>
      </c>
      <c r="AJ63" s="407">
        <v>1.7850604057312012</v>
      </c>
      <c r="AK63" s="407">
        <v>1.4251052141189575</v>
      </c>
      <c r="AL63" s="407">
        <v>1.9952157735824585</v>
      </c>
      <c r="AM63" s="407">
        <v>2.2723939418792725</v>
      </c>
      <c r="AN63" s="409">
        <v>1.1367396116256714</v>
      </c>
      <c r="AO63" s="409">
        <v>2.4379456043243408</v>
      </c>
      <c r="AP63" s="409">
        <v>1.6597864627838135</v>
      </c>
      <c r="AQ63" s="409">
        <v>2.4294536113739014</v>
      </c>
      <c r="AR63" s="409">
        <v>2.5340335369110107</v>
      </c>
      <c r="AS63" s="409">
        <v>2.6054747104644775</v>
      </c>
      <c r="AT63" s="409">
        <v>2.5024070739746094</v>
      </c>
      <c r="AU63" s="409">
        <v>2.5097644329071045</v>
      </c>
      <c r="AV63" s="409">
        <v>2.7620434761047363</v>
      </c>
      <c r="AW63" s="409">
        <v>3.2131664752960205</v>
      </c>
      <c r="AX63" s="409">
        <v>2.3325157165527344</v>
      </c>
      <c r="AY63" s="409">
        <v>2.596444845199585</v>
      </c>
      <c r="AZ63" s="409">
        <v>2.5719203948974609</v>
      </c>
      <c r="BA63" s="409">
        <v>2.4687795639038086</v>
      </c>
      <c r="BB63" s="409">
        <v>1.9758641719818115</v>
      </c>
      <c r="BC63" s="409">
        <v>1.4975022077560425</v>
      </c>
      <c r="BD63" s="409">
        <v>2.077528715133667</v>
      </c>
      <c r="BE63" s="409">
        <v>2.2438509464263916</v>
      </c>
      <c r="BF63" s="407">
        <v>2.8117971420288086</v>
      </c>
      <c r="BG63" s="407">
        <v>2.0366384983062744</v>
      </c>
      <c r="BH63" s="407">
        <v>1.7725597620010376</v>
      </c>
      <c r="BI63" s="407">
        <v>1.8835418224334717</v>
      </c>
      <c r="BJ63" s="407">
        <v>1.3030132055282593</v>
      </c>
      <c r="BK63" s="407">
        <v>2.356417179107666</v>
      </c>
      <c r="BL63" s="407">
        <v>1.0053402185440063</v>
      </c>
    </row>
    <row r="64" spans="1:64" x14ac:dyDescent="0.2">
      <c r="A64" s="238"/>
      <c r="C64" s="404" t="s">
        <v>392</v>
      </c>
      <c r="D64" s="407">
        <v>0</v>
      </c>
      <c r="E64" s="407">
        <v>0</v>
      </c>
      <c r="F64" s="407">
        <v>2.5444281101226807</v>
      </c>
      <c r="G64" s="407">
        <v>1.8728418350219727</v>
      </c>
      <c r="H64" s="407">
        <v>2.7145719528198242</v>
      </c>
      <c r="I64" s="407">
        <v>2.3687701225280762</v>
      </c>
      <c r="J64" s="407">
        <v>1.8434916734695435</v>
      </c>
      <c r="K64" s="407">
        <v>2.0594644546508789</v>
      </c>
      <c r="L64" s="407">
        <v>0</v>
      </c>
      <c r="M64" s="407">
        <v>3.2209658622741699</v>
      </c>
      <c r="N64" s="407">
        <v>2.7388668060302734</v>
      </c>
      <c r="O64" s="407">
        <v>0</v>
      </c>
      <c r="P64" s="407">
        <v>0</v>
      </c>
      <c r="Q64" s="407">
        <v>2.7994036674499512</v>
      </c>
      <c r="R64" s="407">
        <v>1.9963299036026001</v>
      </c>
      <c r="S64" s="407">
        <v>1.7408535480499268</v>
      </c>
      <c r="T64" s="407">
        <v>1.6486790180206299</v>
      </c>
      <c r="U64" s="407">
        <v>1.7155823707580566</v>
      </c>
      <c r="V64" s="407">
        <v>0</v>
      </c>
      <c r="W64" s="407">
        <v>0</v>
      </c>
      <c r="X64" s="407">
        <v>2.5587077140808105</v>
      </c>
      <c r="Y64" s="407">
        <v>0</v>
      </c>
      <c r="Z64" s="407">
        <v>2.9468457698822021</v>
      </c>
      <c r="AA64" s="407">
        <v>2.8077609539031982</v>
      </c>
      <c r="AB64" s="407">
        <v>1.6430560350418091</v>
      </c>
      <c r="AC64" s="407">
        <v>2.1338455677032471</v>
      </c>
      <c r="AD64" s="407">
        <v>0</v>
      </c>
      <c r="AE64" s="38">
        <f>'User Add-in Location'!B70</f>
        <v>0</v>
      </c>
      <c r="AF64" s="38">
        <f>'User Add-in Location'!C70</f>
        <v>0</v>
      </c>
      <c r="AG64" s="407">
        <v>0</v>
      </c>
      <c r="AH64" s="407">
        <v>0</v>
      </c>
      <c r="AI64" s="407">
        <v>0</v>
      </c>
      <c r="AJ64" s="407">
        <v>1.9785016775131226</v>
      </c>
      <c r="AK64" s="407">
        <v>0</v>
      </c>
      <c r="AL64" s="407">
        <v>1.9881438016891479</v>
      </c>
      <c r="AM64" s="407">
        <v>2.3368363380432129</v>
      </c>
      <c r="AN64" s="409">
        <v>0</v>
      </c>
      <c r="AO64" s="409">
        <v>2.575021505355835</v>
      </c>
      <c r="AP64" s="409">
        <v>1.6256383657455444</v>
      </c>
      <c r="AQ64" s="409">
        <v>2.5044469833374023</v>
      </c>
      <c r="AR64" s="409">
        <v>2.5940916538238525</v>
      </c>
      <c r="AS64" s="409">
        <v>2.6076154708862305</v>
      </c>
      <c r="AT64" s="409">
        <v>2.751112699508667</v>
      </c>
      <c r="AU64" s="409">
        <v>2.6776869297027588</v>
      </c>
      <c r="AV64" s="409">
        <v>3.2698469161987305</v>
      </c>
      <c r="AW64" s="409">
        <v>3.4631800651550293</v>
      </c>
      <c r="AX64" s="409">
        <v>2.4994258880615234</v>
      </c>
      <c r="AY64" s="409">
        <v>2.6388590335845947</v>
      </c>
      <c r="AZ64" s="409">
        <v>2.7250444889068604</v>
      </c>
      <c r="BA64" s="409">
        <v>2.513805627822876</v>
      </c>
      <c r="BB64" s="409">
        <v>2.1093690395355225</v>
      </c>
      <c r="BC64" s="409">
        <v>0</v>
      </c>
      <c r="BD64" s="409">
        <v>2.2676584720611572</v>
      </c>
      <c r="BE64" s="409">
        <v>2.4887347221374512</v>
      </c>
      <c r="BF64" s="407">
        <v>2.4847648143768311</v>
      </c>
      <c r="BG64" s="407">
        <v>0</v>
      </c>
      <c r="BH64" s="407">
        <v>0</v>
      </c>
      <c r="BI64" s="407">
        <v>2.7198202610015869</v>
      </c>
      <c r="BJ64" s="407">
        <v>1.4894055128097534</v>
      </c>
      <c r="BK64" s="407">
        <v>2.606553316116333</v>
      </c>
      <c r="BL64" s="407">
        <v>0</v>
      </c>
    </row>
    <row r="65" spans="3:64" x14ac:dyDescent="0.2">
      <c r="C65" s="404" t="s">
        <v>393</v>
      </c>
      <c r="D65" s="407">
        <v>1.1381187438964844</v>
      </c>
      <c r="E65" s="407">
        <v>0</v>
      </c>
      <c r="F65" s="407">
        <v>1.848183274269104</v>
      </c>
      <c r="G65" s="407">
        <v>1.2600834369659424</v>
      </c>
      <c r="H65" s="407">
        <v>2.0664615631103516</v>
      </c>
      <c r="I65" s="407">
        <v>1.4691991806030273</v>
      </c>
      <c r="J65" s="407">
        <v>1.2359522581100464</v>
      </c>
      <c r="K65" s="407">
        <v>1.3890621662139893</v>
      </c>
      <c r="L65" s="407">
        <v>0.26970797777175903</v>
      </c>
      <c r="M65" s="407">
        <v>1.9253451824188232</v>
      </c>
      <c r="N65" s="407">
        <v>1.6330726146697998</v>
      </c>
      <c r="O65" s="407">
        <v>0</v>
      </c>
      <c r="P65" s="407">
        <v>1.2995017766952515</v>
      </c>
      <c r="Q65" s="407">
        <v>1.8958104848861694</v>
      </c>
      <c r="R65" s="407">
        <v>1.3312234878540039</v>
      </c>
      <c r="S65" s="407">
        <v>1.1301295757293701</v>
      </c>
      <c r="T65" s="407">
        <v>0</v>
      </c>
      <c r="U65" s="407">
        <v>1.1233353614807129</v>
      </c>
      <c r="V65" s="407">
        <v>0</v>
      </c>
      <c r="W65" s="407">
        <v>1.5168895721435547</v>
      </c>
      <c r="X65" s="407">
        <v>1.4470729827880859</v>
      </c>
      <c r="Y65" s="407">
        <v>1.577822208404541</v>
      </c>
      <c r="Z65" s="407">
        <v>1.9710426330566406</v>
      </c>
      <c r="AA65" s="407">
        <v>1.7963745594024658</v>
      </c>
      <c r="AB65" s="407">
        <v>1.080573558807373</v>
      </c>
      <c r="AC65" s="407">
        <v>1.3121558427810669</v>
      </c>
      <c r="AD65" s="407">
        <v>1.1293193101882935</v>
      </c>
      <c r="AE65" s="38">
        <f>'User Add-in Location'!B71</f>
        <v>0</v>
      </c>
      <c r="AF65" s="38">
        <f>'User Add-in Location'!C71</f>
        <v>0</v>
      </c>
      <c r="AG65" s="407">
        <v>1.2951993942260742</v>
      </c>
      <c r="AH65" s="407">
        <v>1.1014848947525024</v>
      </c>
      <c r="AI65" s="407">
        <v>1.4204226732254028</v>
      </c>
      <c r="AJ65" s="407">
        <v>1.3463747501373291</v>
      </c>
      <c r="AK65" s="407">
        <v>0.94503331184387207</v>
      </c>
      <c r="AL65" s="407">
        <v>1.3092464208602905</v>
      </c>
      <c r="AM65" s="407">
        <v>1.6045768260955811</v>
      </c>
      <c r="AN65" s="409">
        <v>0.71002739667892456</v>
      </c>
      <c r="AO65" s="409">
        <v>1.626029372215271</v>
      </c>
      <c r="AP65" s="409">
        <v>1.0893818140029907</v>
      </c>
      <c r="AQ65" s="409">
        <v>1.7606296539306641</v>
      </c>
      <c r="AR65" s="409">
        <v>1.8701167106628418</v>
      </c>
      <c r="AS65" s="409">
        <v>1.8335367441177368</v>
      </c>
      <c r="AT65" s="409">
        <v>1.9207091331481934</v>
      </c>
      <c r="AU65" s="409">
        <v>1.8642022609710693</v>
      </c>
      <c r="AV65" s="409">
        <v>2.080366849899292</v>
      </c>
      <c r="AW65" s="409">
        <v>2.5274519920349121</v>
      </c>
      <c r="AX65" s="409">
        <v>1.9263361692428589</v>
      </c>
      <c r="AY65" s="409">
        <v>1.8385552167892456</v>
      </c>
      <c r="AZ65" s="409">
        <v>2.0716361999511719</v>
      </c>
      <c r="BA65" s="409">
        <v>1.6364625692367554</v>
      </c>
      <c r="BB65" s="409">
        <v>1.4614222049713135</v>
      </c>
      <c r="BC65" s="409">
        <v>0</v>
      </c>
      <c r="BD65" s="409">
        <v>1.3877676725387573</v>
      </c>
      <c r="BE65" s="409">
        <v>1.8360772132873535</v>
      </c>
      <c r="BF65" s="407">
        <v>1.6543413400650024</v>
      </c>
      <c r="BG65" s="407">
        <v>1.337694525718689</v>
      </c>
      <c r="BH65" s="407">
        <v>1.2524933815002441</v>
      </c>
      <c r="BI65" s="407">
        <v>1.7882169485092163</v>
      </c>
      <c r="BJ65" s="407">
        <v>0</v>
      </c>
      <c r="BK65" s="407">
        <v>1.7902841567993164</v>
      </c>
      <c r="BL65" s="407">
        <v>0.53050351142883301</v>
      </c>
    </row>
    <row r="66" spans="3:64" x14ac:dyDescent="0.2">
      <c r="C66" s="404" t="s">
        <v>57</v>
      </c>
      <c r="D66" s="407">
        <v>2.8870327472686768</v>
      </c>
      <c r="E66" s="407">
        <v>2.2828121185302734</v>
      </c>
      <c r="F66" s="407">
        <v>3.9503834247589111</v>
      </c>
      <c r="G66" s="407">
        <v>2.8725581169128418</v>
      </c>
      <c r="H66" s="407">
        <v>3.5467801094055176</v>
      </c>
      <c r="I66" s="407">
        <v>3.6215658187866211</v>
      </c>
      <c r="J66" s="407">
        <v>2.6811182498931885</v>
      </c>
      <c r="K66" s="407">
        <v>2.686948299407959</v>
      </c>
      <c r="L66" s="407">
        <v>0.68127536773681641</v>
      </c>
      <c r="M66" s="407">
        <v>4.4239616394042969</v>
      </c>
      <c r="N66" s="407">
        <v>3.647968053817749</v>
      </c>
      <c r="O66" s="407">
        <v>3.2848789691925049</v>
      </c>
      <c r="P66" s="407">
        <v>3.348675012588501</v>
      </c>
      <c r="Q66" s="407">
        <v>3.745509147644043</v>
      </c>
      <c r="R66" s="407">
        <v>3.1085102558135986</v>
      </c>
      <c r="S66" s="407">
        <v>2.841238260269165</v>
      </c>
      <c r="T66" s="407">
        <v>2.7945802211761475</v>
      </c>
      <c r="U66" s="407">
        <v>2.7571902275085449</v>
      </c>
      <c r="V66" s="407">
        <v>2.6363942623138428</v>
      </c>
      <c r="W66" s="407">
        <v>3.7963452339172363</v>
      </c>
      <c r="X66" s="407">
        <v>2.9268465042114258</v>
      </c>
      <c r="Y66" s="407">
        <v>3.2953717708587646</v>
      </c>
      <c r="Z66" s="407">
        <v>3.7840607166290283</v>
      </c>
      <c r="AA66" s="407">
        <v>3.851398229598999</v>
      </c>
      <c r="AB66" s="407">
        <v>2.7737550735473633</v>
      </c>
      <c r="AC66" s="407">
        <v>3.3491613864898682</v>
      </c>
      <c r="AD66" s="407">
        <v>3.0416088104248047</v>
      </c>
      <c r="AE66" s="38">
        <f>'User Add-in Location'!B72</f>
        <v>0</v>
      </c>
      <c r="AF66" s="38">
        <f>'User Add-in Location'!C72</f>
        <v>0</v>
      </c>
      <c r="AG66" s="407">
        <v>3.1093194484710693</v>
      </c>
      <c r="AH66" s="407">
        <v>2.7161257266998291</v>
      </c>
      <c r="AI66" s="407">
        <v>3.2989852428436279</v>
      </c>
      <c r="AJ66" s="407">
        <v>2.6740567684173584</v>
      </c>
      <c r="AK66" s="407">
        <v>2.8626928329467773</v>
      </c>
      <c r="AL66" s="407">
        <v>2.9383254051208496</v>
      </c>
      <c r="AM66" s="407">
        <v>3.5545432567596436</v>
      </c>
      <c r="AN66" s="409">
        <v>2.3869116306304932</v>
      </c>
      <c r="AO66" s="409">
        <v>3.777362585067749</v>
      </c>
      <c r="AP66" s="409">
        <v>2.8523521423339844</v>
      </c>
      <c r="AQ66" s="409">
        <v>3.6661884784698486</v>
      </c>
      <c r="AR66" s="409">
        <v>3.8091082572937012</v>
      </c>
      <c r="AS66" s="409">
        <v>3.6016168594360352</v>
      </c>
      <c r="AT66" s="409">
        <v>3.6567656993865967</v>
      </c>
      <c r="AU66" s="409">
        <v>3.8775324821472168</v>
      </c>
      <c r="AV66" s="409">
        <v>4.3300685882568359</v>
      </c>
      <c r="AW66" s="409">
        <v>4.5155205726623535</v>
      </c>
      <c r="AX66" s="409">
        <v>3.5666944980621338</v>
      </c>
      <c r="AY66" s="409">
        <v>3.8951482772827148</v>
      </c>
      <c r="AZ66" s="409">
        <v>3.566645622253418</v>
      </c>
      <c r="BA66" s="409">
        <v>3.7406594753265381</v>
      </c>
      <c r="BB66" s="409">
        <v>3.2737500667572021</v>
      </c>
      <c r="BC66" s="409">
        <v>3.0452456474304199</v>
      </c>
      <c r="BD66" s="409">
        <v>3.4760775566101074</v>
      </c>
      <c r="BE66" s="409">
        <v>3.3472731113433838</v>
      </c>
      <c r="BF66" s="407">
        <v>4.0014333724975586</v>
      </c>
      <c r="BG66" s="407">
        <v>3.378288745880127</v>
      </c>
      <c r="BH66" s="407">
        <v>3.027782678604126</v>
      </c>
      <c r="BI66" s="407">
        <v>2.1501579284667969</v>
      </c>
      <c r="BJ66" s="407">
        <v>2.2885475158691406</v>
      </c>
      <c r="BK66" s="407">
        <v>3.6341691017150879</v>
      </c>
      <c r="BL66" s="407">
        <v>1.7466472387313843</v>
      </c>
    </row>
    <row r="67" spans="3:64" x14ac:dyDescent="0.2">
      <c r="C67" s="404" t="s">
        <v>394</v>
      </c>
      <c r="D67" s="407">
        <v>3.1320407390594482</v>
      </c>
      <c r="E67" s="407">
        <v>2.4998681545257568</v>
      </c>
      <c r="F67" s="407">
        <v>4.1182732582092285</v>
      </c>
      <c r="G67" s="407">
        <v>3.1362733840942383</v>
      </c>
      <c r="H67" s="407">
        <v>3.5983295440673828</v>
      </c>
      <c r="I67" s="407">
        <v>3.7840991020202637</v>
      </c>
      <c r="J67" s="407">
        <v>2.6328377723693848</v>
      </c>
      <c r="K67" s="407">
        <v>2.8379580974578857</v>
      </c>
      <c r="L67" s="407">
        <v>0.69831722974777222</v>
      </c>
      <c r="M67" s="407">
        <v>4.6513261795043945</v>
      </c>
      <c r="N67" s="407">
        <v>3.8544635772705078</v>
      </c>
      <c r="O67" s="407">
        <v>3.545250415802002</v>
      </c>
      <c r="P67" s="407">
        <v>3.5705025196075439</v>
      </c>
      <c r="Q67" s="407">
        <v>3.9011480808258057</v>
      </c>
      <c r="R67" s="407">
        <v>3.3324289321899414</v>
      </c>
      <c r="S67" s="407">
        <v>2.9966208934783936</v>
      </c>
      <c r="T67" s="407">
        <v>3.028226375579834</v>
      </c>
      <c r="U67" s="407">
        <v>2.9645137786865234</v>
      </c>
      <c r="V67" s="407">
        <v>2.8674640655517578</v>
      </c>
      <c r="W67" s="407">
        <v>3.7835013866424561</v>
      </c>
      <c r="X67" s="407">
        <v>3.1064620018005371</v>
      </c>
      <c r="Y67" s="407">
        <v>3.3158390522003174</v>
      </c>
      <c r="Z67" s="407">
        <v>4.021723747253418</v>
      </c>
      <c r="AA67" s="407">
        <v>3.9168157577514648</v>
      </c>
      <c r="AB67" s="407">
        <v>2.9821224212646484</v>
      </c>
      <c r="AC67" s="407">
        <v>3.4725000858306885</v>
      </c>
      <c r="AD67" s="407">
        <v>3.3167672157287598</v>
      </c>
      <c r="AE67" s="38">
        <f>'User Add-in Location'!B73</f>
        <v>0</v>
      </c>
      <c r="AF67" s="38">
        <f>'User Add-in Location'!C73</f>
        <v>0</v>
      </c>
      <c r="AG67" s="407">
        <v>3.1924929618835449</v>
      </c>
      <c r="AH67" s="407">
        <v>2.7501523494720459</v>
      </c>
      <c r="AI67" s="407">
        <v>3.2886793613433838</v>
      </c>
      <c r="AJ67" s="407">
        <v>2.7068519592285156</v>
      </c>
      <c r="AK67" s="407">
        <v>3.0737922191619873</v>
      </c>
      <c r="AL67" s="407">
        <v>2.9594717025756836</v>
      </c>
      <c r="AM67" s="407">
        <v>3.7399778366088867</v>
      </c>
      <c r="AN67" s="409">
        <v>2.5358068943023682</v>
      </c>
      <c r="AO67" s="409">
        <v>3.9172461032867432</v>
      </c>
      <c r="AP67" s="409">
        <v>3.0803744792938232</v>
      </c>
      <c r="AQ67" s="409">
        <v>3.8338286876678467</v>
      </c>
      <c r="AR67" s="409">
        <v>3.8352210521697998</v>
      </c>
      <c r="AS67" s="409">
        <v>3.5994513034820557</v>
      </c>
      <c r="AT67" s="409">
        <v>3.6932046413421631</v>
      </c>
      <c r="AU67" s="409">
        <v>4.0426764488220215</v>
      </c>
      <c r="AV67" s="409">
        <v>4.5751829147338867</v>
      </c>
      <c r="AW67" s="409">
        <v>4.655390739440918</v>
      </c>
      <c r="AX67" s="409">
        <v>3.7971816062927246</v>
      </c>
      <c r="AY67" s="409">
        <v>4.0172328948974609</v>
      </c>
      <c r="AZ67" s="409">
        <v>3.6228227615356445</v>
      </c>
      <c r="BA67" s="409">
        <v>3.8384649753570557</v>
      </c>
      <c r="BB67" s="409">
        <v>3.5218639373779297</v>
      </c>
      <c r="BC67" s="409">
        <v>3.2104074954986572</v>
      </c>
      <c r="BD67" s="409">
        <v>3.6929905414581299</v>
      </c>
      <c r="BE67" s="409">
        <v>3.5879688262939453</v>
      </c>
      <c r="BF67" s="407">
        <v>4.0414614677429199</v>
      </c>
      <c r="BG67" s="407">
        <v>3.3788619041442871</v>
      </c>
      <c r="BH67" s="407">
        <v>3.1586270332336426</v>
      </c>
      <c r="BI67" s="407">
        <v>1.9972877502441406</v>
      </c>
      <c r="BJ67" s="407">
        <v>2.4821023941040039</v>
      </c>
      <c r="BK67" s="407">
        <v>3.613473653793335</v>
      </c>
      <c r="BL67" s="407">
        <v>1.8500477075576782</v>
      </c>
    </row>
    <row r="68" spans="3:64" x14ac:dyDescent="0.2">
      <c r="C68" s="404" t="s">
        <v>128</v>
      </c>
      <c r="D68" s="407">
        <v>1.9505950212478638</v>
      </c>
      <c r="E68" s="407">
        <v>1.9014374017715454</v>
      </c>
      <c r="F68" s="407">
        <v>2.8253896236419678</v>
      </c>
      <c r="G68" s="407">
        <v>2.2258000373840332</v>
      </c>
      <c r="H68" s="407">
        <v>2.521064281463623</v>
      </c>
      <c r="I68" s="407">
        <v>2.6344506740570068</v>
      </c>
      <c r="J68" s="407">
        <v>1.6652950048446655</v>
      </c>
      <c r="K68" s="407">
        <v>1.7093456983566284</v>
      </c>
      <c r="L68" s="407">
        <v>0.39331009984016418</v>
      </c>
      <c r="M68" s="407">
        <v>3.0062482357025146</v>
      </c>
      <c r="N68" s="407">
        <v>2.4887511730194092</v>
      </c>
      <c r="O68" s="407">
        <v>2.1803035736083984</v>
      </c>
      <c r="P68" s="407">
        <v>2.5108919143676758</v>
      </c>
      <c r="Q68" s="407">
        <v>2.7456104755401611</v>
      </c>
      <c r="R68" s="407">
        <v>2.3003995418548584</v>
      </c>
      <c r="S68" s="407">
        <v>2.0935325622558594</v>
      </c>
      <c r="T68" s="407">
        <v>1.8970402479171753</v>
      </c>
      <c r="U68" s="407">
        <v>2.0428919792175293</v>
      </c>
      <c r="V68" s="407">
        <v>1.8988680839538574</v>
      </c>
      <c r="W68" s="407">
        <v>2.7084243297576904</v>
      </c>
      <c r="X68" s="407">
        <v>1.742501974105835</v>
      </c>
      <c r="Y68" s="407">
        <v>2.1147644519805908</v>
      </c>
      <c r="Z68" s="407">
        <v>2.6090035438537598</v>
      </c>
      <c r="AA68" s="407">
        <v>2.8004043102264404</v>
      </c>
      <c r="AB68" s="407">
        <v>1.9718426465988159</v>
      </c>
      <c r="AC68" s="407">
        <v>2.431795597076416</v>
      </c>
      <c r="AD68" s="407">
        <v>2.080204963684082</v>
      </c>
      <c r="AE68" s="38">
        <f>'User Add-in Location'!B74</f>
        <v>0</v>
      </c>
      <c r="AF68" s="38">
        <f>'User Add-in Location'!C74</f>
        <v>0</v>
      </c>
      <c r="AG68" s="407">
        <v>2.3055534362792969</v>
      </c>
      <c r="AH68" s="407">
        <v>1.8779373168945313</v>
      </c>
      <c r="AI68" s="407">
        <v>2.08612060546875</v>
      </c>
      <c r="AJ68" s="407">
        <v>1.9572323560714722</v>
      </c>
      <c r="AK68" s="407">
        <v>1.9897961616516113</v>
      </c>
      <c r="AL68" s="407">
        <v>1.8832128047943115</v>
      </c>
      <c r="AM68" s="407">
        <v>2.5436146259307861</v>
      </c>
      <c r="AN68" s="409">
        <v>1.6784451007843018</v>
      </c>
      <c r="AO68" s="409">
        <v>2.7824821472167969</v>
      </c>
      <c r="AP68" s="409">
        <v>2.1148133277893066</v>
      </c>
      <c r="AQ68" s="409">
        <v>2.6231741905212402</v>
      </c>
      <c r="AR68" s="409">
        <v>2.7159528732299805</v>
      </c>
      <c r="AS68" s="409">
        <v>2.3226501941680908</v>
      </c>
      <c r="AT68" s="409">
        <v>2.6327135562896729</v>
      </c>
      <c r="AU68" s="409">
        <v>2.5606889724731445</v>
      </c>
      <c r="AV68" s="409">
        <v>3.1051702499389648</v>
      </c>
      <c r="AW68" s="409">
        <v>3.3475198745727539</v>
      </c>
      <c r="AX68" s="409">
        <v>2.7678854465484619</v>
      </c>
      <c r="AY68" s="409">
        <v>2.9091396331787109</v>
      </c>
      <c r="AZ68" s="409">
        <v>2.5308845043182373</v>
      </c>
      <c r="BA68" s="409">
        <v>2.3572039604187012</v>
      </c>
      <c r="BB68" s="409">
        <v>2.1672556400299072</v>
      </c>
      <c r="BC68" s="409">
        <v>2.1758737564086914</v>
      </c>
      <c r="BD68" s="409">
        <v>2.694758415222168</v>
      </c>
      <c r="BE68" s="409">
        <v>2.5344138145446777</v>
      </c>
      <c r="BF68" s="407">
        <v>3.0618813037872314</v>
      </c>
      <c r="BG68" s="407">
        <v>2.2044913768768311</v>
      </c>
      <c r="BH68" s="407">
        <v>2.0482227802276611</v>
      </c>
      <c r="BI68" s="407">
        <v>1.9411799907684326</v>
      </c>
      <c r="BJ68" s="407">
        <v>1.574731707572937</v>
      </c>
      <c r="BK68" s="407">
        <v>2.7558262348175049</v>
      </c>
      <c r="BL68" s="407">
        <v>1.2683171033859253</v>
      </c>
    </row>
    <row r="69" spans="3:64" x14ac:dyDescent="0.2">
      <c r="C69" s="404" t="s">
        <v>395</v>
      </c>
      <c r="D69" s="407">
        <v>1.974982738494873</v>
      </c>
      <c r="E69" s="407">
        <v>1.6159453392028809</v>
      </c>
      <c r="F69" s="407">
        <v>2.4529159069061279</v>
      </c>
      <c r="G69" s="407">
        <v>1.9032496213912964</v>
      </c>
      <c r="H69" s="407">
        <v>2.2340006828308105</v>
      </c>
      <c r="I69" s="407">
        <v>2.3424797058105469</v>
      </c>
      <c r="J69" s="407">
        <v>2.2807772159576416</v>
      </c>
      <c r="K69" s="407">
        <v>1.9896368980407715</v>
      </c>
      <c r="L69" s="407">
        <v>0.46583208441734314</v>
      </c>
      <c r="M69" s="407">
        <v>2.8648920059204102</v>
      </c>
      <c r="N69" s="407">
        <v>2.4826929569244385</v>
      </c>
      <c r="O69" s="407">
        <v>1.9157638549804687</v>
      </c>
      <c r="P69" s="407">
        <v>2.1579258441925049</v>
      </c>
      <c r="Q69" s="407">
        <v>2.6918480396270752</v>
      </c>
      <c r="R69" s="407">
        <v>2.1162140369415283</v>
      </c>
      <c r="S69" s="407">
        <v>2.2008523941040039</v>
      </c>
      <c r="T69" s="407">
        <v>2.033550500869751</v>
      </c>
      <c r="U69" s="407">
        <v>1.9837973117828369</v>
      </c>
      <c r="V69" s="407">
        <v>1.8122599124908447</v>
      </c>
      <c r="W69" s="407">
        <v>2.7619342803955078</v>
      </c>
      <c r="X69" s="407">
        <v>1.8286216259002686</v>
      </c>
      <c r="Y69" s="407">
        <v>2.4198460578918457</v>
      </c>
      <c r="Z69" s="407">
        <v>2.4524133205413818</v>
      </c>
      <c r="AA69" s="407">
        <v>2.8519957065582275</v>
      </c>
      <c r="AB69" s="407">
        <v>1.8370805978775024</v>
      </c>
      <c r="AC69" s="407">
        <v>2.4094796180725098</v>
      </c>
      <c r="AD69" s="407">
        <v>1.9882345199584961</v>
      </c>
      <c r="AE69" s="38">
        <f>'User Add-in Location'!B75</f>
        <v>0</v>
      </c>
      <c r="AF69" s="38">
        <f>'User Add-in Location'!C75</f>
        <v>0</v>
      </c>
      <c r="AG69" s="407">
        <v>2.3444869518280029</v>
      </c>
      <c r="AH69" s="407">
        <v>1.5855534076690674</v>
      </c>
      <c r="AI69" s="407">
        <v>2.3571972846984863</v>
      </c>
      <c r="AJ69" s="407">
        <v>1.9982600212097168</v>
      </c>
      <c r="AK69" s="407">
        <v>1.7937501668930054</v>
      </c>
      <c r="AL69" s="407">
        <v>2.0877172946929932</v>
      </c>
      <c r="AM69" s="407">
        <v>2.3432633876800537</v>
      </c>
      <c r="AN69" s="409">
        <v>1.6720665693283081</v>
      </c>
      <c r="AO69" s="409">
        <v>2.7339131832122803</v>
      </c>
      <c r="AP69" s="409">
        <v>1.8936207294464111</v>
      </c>
      <c r="AQ69" s="409">
        <v>2.4270915985107422</v>
      </c>
      <c r="AR69" s="409">
        <v>2.9461400508880615</v>
      </c>
      <c r="AS69" s="409">
        <v>2.6872961521148682</v>
      </c>
      <c r="AT69" s="409">
        <v>2.7862570285797119</v>
      </c>
      <c r="AU69" s="409">
        <v>2.4829370975494385</v>
      </c>
      <c r="AV69" s="409">
        <v>2.912071704864502</v>
      </c>
      <c r="AW69" s="409">
        <v>3.2481186389923096</v>
      </c>
      <c r="AX69" s="409">
        <v>2.4249591827392578</v>
      </c>
      <c r="AY69" s="409">
        <v>2.5605804920196533</v>
      </c>
      <c r="AZ69" s="409">
        <v>2.2406837940216064</v>
      </c>
      <c r="BA69" s="409">
        <v>2.6728053092956543</v>
      </c>
      <c r="BB69" s="409">
        <v>2.1828043460845947</v>
      </c>
      <c r="BC69" s="409">
        <v>2.1310369968414307</v>
      </c>
      <c r="BD69" s="409">
        <v>2.4020497798919678</v>
      </c>
      <c r="BE69" s="409">
        <v>2.2560486793518066</v>
      </c>
      <c r="BF69" s="407">
        <v>2.7392518520355225</v>
      </c>
      <c r="BG69" s="407">
        <v>2.3237624168395996</v>
      </c>
      <c r="BH69" s="407">
        <v>1.9049638509750366</v>
      </c>
      <c r="BI69" s="407">
        <v>2.0794997215270996</v>
      </c>
      <c r="BJ69" s="407">
        <v>1.5267786979675293</v>
      </c>
      <c r="BK69" s="407">
        <v>2.7089238166809082</v>
      </c>
      <c r="BL69" s="407">
        <v>1.023349404335022</v>
      </c>
    </row>
    <row r="70" spans="3:64" x14ac:dyDescent="0.2">
      <c r="C70" s="404" t="s">
        <v>396</v>
      </c>
      <c r="D70" s="407">
        <v>2.4270563125610352</v>
      </c>
      <c r="E70" s="407">
        <v>1.8960700035095215</v>
      </c>
      <c r="F70" s="407">
        <v>3.9136536121368408</v>
      </c>
      <c r="G70" s="407">
        <v>2.5089170932769775</v>
      </c>
      <c r="H70" s="407">
        <v>3.7345340251922607</v>
      </c>
      <c r="I70" s="407">
        <v>3.8848459720611572</v>
      </c>
      <c r="J70" s="407">
        <v>3.4857180118560791</v>
      </c>
      <c r="K70" s="407">
        <v>2.8992140293121338</v>
      </c>
      <c r="L70" s="407">
        <v>0.78873288631439209</v>
      </c>
      <c r="M70" s="407">
        <v>4.4723119735717773</v>
      </c>
      <c r="N70" s="407">
        <v>3.559767484664917</v>
      </c>
      <c r="O70" s="407">
        <v>2.7778160572052002</v>
      </c>
      <c r="P70" s="407">
        <v>2.9961059093475342</v>
      </c>
      <c r="Q70" s="407">
        <v>4.1282663345336914</v>
      </c>
      <c r="R70" s="407">
        <v>2.7954607009887695</v>
      </c>
      <c r="S70" s="407">
        <v>2.576197624206543</v>
      </c>
      <c r="T70" s="407">
        <v>2.5461413860321045</v>
      </c>
      <c r="U70" s="407">
        <v>2.5408051013946533</v>
      </c>
      <c r="V70" s="407">
        <v>2.2920608520507813</v>
      </c>
      <c r="W70" s="407">
        <v>3.3806884288787842</v>
      </c>
      <c r="X70" s="407">
        <v>3.1044156551361084</v>
      </c>
      <c r="Y70" s="407">
        <v>3.8552207946777344</v>
      </c>
      <c r="Z70" s="407">
        <v>3.5100383758544922</v>
      </c>
      <c r="AA70" s="407">
        <v>3.9361691474914551</v>
      </c>
      <c r="AB70" s="407">
        <v>2.2965426445007324</v>
      </c>
      <c r="AC70" s="407">
        <v>3.2892670631408691</v>
      </c>
      <c r="AD70" s="407">
        <v>2.645859956741333</v>
      </c>
      <c r="AE70" s="38">
        <f>'User Add-in Location'!B76</f>
        <v>0</v>
      </c>
      <c r="AF70" s="38">
        <f>'User Add-in Location'!C76</f>
        <v>0</v>
      </c>
      <c r="AG70" s="407">
        <v>2.8890848159790039</v>
      </c>
      <c r="AH70" s="407">
        <v>2.600109338760376</v>
      </c>
      <c r="AI70" s="407">
        <v>3.5959835052490234</v>
      </c>
      <c r="AJ70" s="407">
        <v>3.1263182163238525</v>
      </c>
      <c r="AK70" s="407">
        <v>2.6817073822021484</v>
      </c>
      <c r="AL70" s="407">
        <v>4.0836181640625</v>
      </c>
      <c r="AM70" s="407">
        <v>3.2139098644256592</v>
      </c>
      <c r="AN70" s="409">
        <v>1.9426784515380859</v>
      </c>
      <c r="AO70" s="409">
        <v>3.5814447402954102</v>
      </c>
      <c r="AP70" s="409">
        <v>2.4268128871917725</v>
      </c>
      <c r="AQ70" s="409">
        <v>3.4064722061157227</v>
      </c>
      <c r="AR70" s="409">
        <v>3.6488170623779297</v>
      </c>
      <c r="AS70" s="409">
        <v>4.7644548416137695</v>
      </c>
      <c r="AT70" s="409">
        <v>3.8871731758117676</v>
      </c>
      <c r="AU70" s="409">
        <v>3.8026008605957031</v>
      </c>
      <c r="AV70" s="409">
        <v>4.2062473297119141</v>
      </c>
      <c r="AW70" s="409">
        <v>4.5222578048706055</v>
      </c>
      <c r="AX70" s="409">
        <v>3.4495983123779297</v>
      </c>
      <c r="AY70" s="409">
        <v>3.7572240829467773</v>
      </c>
      <c r="AZ70" s="409">
        <v>3.7400805950164795</v>
      </c>
      <c r="BA70" s="409">
        <v>3.8531041145324707</v>
      </c>
      <c r="BB70" s="409">
        <v>2.93705153465271</v>
      </c>
      <c r="BC70" s="409">
        <v>2.8070130348205566</v>
      </c>
      <c r="BD70" s="409">
        <v>3.4633777141571045</v>
      </c>
      <c r="BE70" s="409">
        <v>3.3253560066223145</v>
      </c>
      <c r="BF70" s="407">
        <v>3.7946393489837646</v>
      </c>
      <c r="BG70" s="407">
        <v>3.0432438850402832</v>
      </c>
      <c r="BH70" s="407">
        <v>3.0591709613800049</v>
      </c>
      <c r="BI70" s="407">
        <v>2.3253829479217529</v>
      </c>
      <c r="BJ70" s="407">
        <v>1.837604284286499</v>
      </c>
      <c r="BK70" s="407">
        <v>3.5015878677368164</v>
      </c>
      <c r="BL70" s="407">
        <v>1.4474993944168091</v>
      </c>
    </row>
    <row r="71" spans="3:64" x14ac:dyDescent="0.2">
      <c r="C71" s="404" t="s">
        <v>397</v>
      </c>
      <c r="D71" s="407">
        <v>3.6826300621032715</v>
      </c>
      <c r="E71" s="407">
        <v>2.9407827854156494</v>
      </c>
      <c r="F71" s="407">
        <v>4.9304714202880859</v>
      </c>
      <c r="G71" s="407">
        <v>3.4753131866455078</v>
      </c>
      <c r="H71" s="407">
        <v>4.6251316070556641</v>
      </c>
      <c r="I71" s="407">
        <v>4.7245287895202637</v>
      </c>
      <c r="J71" s="407">
        <v>3.4876744747161865</v>
      </c>
      <c r="K71" s="407">
        <v>3.6123147010803223</v>
      </c>
      <c r="L71" s="407">
        <v>1.1071010828018188</v>
      </c>
      <c r="M71" s="407">
        <v>5.5333824157714844</v>
      </c>
      <c r="N71" s="407">
        <v>4.5784735679626465</v>
      </c>
      <c r="O71" s="407">
        <v>4.1559410095214844</v>
      </c>
      <c r="P71" s="407">
        <v>4.6330046653747559</v>
      </c>
      <c r="Q71" s="407">
        <v>4.8827481269836426</v>
      </c>
      <c r="R71" s="407">
        <v>3.8648836612701416</v>
      </c>
      <c r="S71" s="407">
        <v>3.4674661159515381</v>
      </c>
      <c r="T71" s="407">
        <v>3.4834530353546143</v>
      </c>
      <c r="U71" s="407">
        <v>3.3998770713806152</v>
      </c>
      <c r="V71" s="407">
        <v>3.2532379627227783</v>
      </c>
      <c r="W71" s="407">
        <v>4.7368378639221191</v>
      </c>
      <c r="X71" s="407">
        <v>3.9292171001434326</v>
      </c>
      <c r="Y71" s="407">
        <v>4.4287700653076172</v>
      </c>
      <c r="Z71" s="407">
        <v>4.9310665130615234</v>
      </c>
      <c r="AA71" s="407">
        <v>4.7994418144226074</v>
      </c>
      <c r="AB71" s="407">
        <v>3.3896300792694092</v>
      </c>
      <c r="AC71" s="407">
        <v>4.278170108795166</v>
      </c>
      <c r="AD71" s="407">
        <v>3.8814270496368408</v>
      </c>
      <c r="AE71" s="38">
        <f>'User Add-in Location'!B77</f>
        <v>0</v>
      </c>
      <c r="AF71" s="38">
        <f>'User Add-in Location'!C77</f>
        <v>0</v>
      </c>
      <c r="AG71" s="407">
        <v>3.7759771347045898</v>
      </c>
      <c r="AH71" s="407">
        <v>3.4508874416351318</v>
      </c>
      <c r="AI71" s="407">
        <v>4.1731448173522949</v>
      </c>
      <c r="AJ71" s="407">
        <v>3.5350861549377441</v>
      </c>
      <c r="AK71" s="407">
        <v>4.1082992553710938</v>
      </c>
      <c r="AL71" s="407">
        <v>3.8057091236114502</v>
      </c>
      <c r="AM71" s="407">
        <v>4.4793224334716797</v>
      </c>
      <c r="AN71" s="409">
        <v>2.7854673862457275</v>
      </c>
      <c r="AO71" s="409">
        <v>4.7330350875854492</v>
      </c>
      <c r="AP71" s="409">
        <v>3.5070676803588867</v>
      </c>
      <c r="AQ71" s="409">
        <v>4.4963130950927734</v>
      </c>
      <c r="AR71" s="409">
        <v>4.9090132713317871</v>
      </c>
      <c r="AS71" s="409">
        <v>4.6747837066650391</v>
      </c>
      <c r="AT71" s="409">
        <v>4.7484636306762695</v>
      </c>
      <c r="AU71" s="409">
        <v>5.0454826354980469</v>
      </c>
      <c r="AV71" s="409">
        <v>5.4236021041870117</v>
      </c>
      <c r="AW71" s="409">
        <v>5.7203664779663086</v>
      </c>
      <c r="AX71" s="409">
        <v>4.5306930541992187</v>
      </c>
      <c r="AY71" s="409">
        <v>4.9459004402160645</v>
      </c>
      <c r="AZ71" s="409">
        <v>4.6479730606079102</v>
      </c>
      <c r="BA71" s="409">
        <v>4.6459646224975586</v>
      </c>
      <c r="BB71" s="409">
        <v>4.0610213279724121</v>
      </c>
      <c r="BC71" s="409">
        <v>3.6845362186431885</v>
      </c>
      <c r="BD71" s="409">
        <v>4.493471622467041</v>
      </c>
      <c r="BE71" s="409">
        <v>4.2620940208435059</v>
      </c>
      <c r="BF71" s="407">
        <v>4.9860172271728516</v>
      </c>
      <c r="BG71" s="407">
        <v>4.3129286766052246</v>
      </c>
      <c r="BH71" s="407">
        <v>3.9738457202911377</v>
      </c>
      <c r="BI71" s="407">
        <v>2.6592307090759277</v>
      </c>
      <c r="BJ71" s="407">
        <v>2.9241745471954346</v>
      </c>
      <c r="BK71" s="407">
        <v>4.4662017822265625</v>
      </c>
      <c r="BL71" s="407">
        <v>2.157353401184082</v>
      </c>
    </row>
    <row r="72" spans="3:64" x14ac:dyDescent="0.2">
      <c r="C72" s="404" t="s">
        <v>398</v>
      </c>
      <c r="D72" s="407">
        <v>3.8848276138305664</v>
      </c>
      <c r="E72" s="407">
        <v>3.0926318168640137</v>
      </c>
      <c r="F72" s="407">
        <v>5.159233570098877</v>
      </c>
      <c r="G72" s="407">
        <v>3.8829631805419922</v>
      </c>
      <c r="H72" s="407">
        <v>4.6380400657653809</v>
      </c>
      <c r="I72" s="407">
        <v>4.7609896659851074</v>
      </c>
      <c r="J72" s="407">
        <v>3.6045820713043213</v>
      </c>
      <c r="K72" s="407">
        <v>3.6936092376708984</v>
      </c>
      <c r="L72" s="407">
        <v>1.1382213830947876</v>
      </c>
      <c r="M72" s="407">
        <v>5.8379936218261719</v>
      </c>
      <c r="N72" s="407">
        <v>4.8794503211975098</v>
      </c>
      <c r="O72" s="407">
        <v>4.3530526161193848</v>
      </c>
      <c r="P72" s="407">
        <v>4.513859748840332</v>
      </c>
      <c r="Q72" s="407">
        <v>5.0070981979370117</v>
      </c>
      <c r="R72" s="407">
        <v>4.2029094696044922</v>
      </c>
      <c r="S72" s="407">
        <v>3.8991644382476807</v>
      </c>
      <c r="T72" s="407">
        <v>3.7338507175445557</v>
      </c>
      <c r="U72" s="407">
        <v>3.802678108215332</v>
      </c>
      <c r="V72" s="407">
        <v>3.568488597869873</v>
      </c>
      <c r="W72" s="407">
        <v>5.0284028053283691</v>
      </c>
      <c r="X72" s="407">
        <v>3.9207456111907959</v>
      </c>
      <c r="Y72" s="407">
        <v>4.3801541328430176</v>
      </c>
      <c r="Z72" s="407">
        <v>5.0297350883483887</v>
      </c>
      <c r="AA72" s="407">
        <v>5.0772528648376465</v>
      </c>
      <c r="AB72" s="407">
        <v>3.6867415904998779</v>
      </c>
      <c r="AC72" s="407">
        <v>4.5204386711120605</v>
      </c>
      <c r="AD72" s="407">
        <v>4.1047554016113281</v>
      </c>
      <c r="AE72" s="38">
        <f>'User Add-in Location'!B78</f>
        <v>0</v>
      </c>
      <c r="AF72" s="38">
        <f>'User Add-in Location'!C78</f>
        <v>0</v>
      </c>
      <c r="AG72" s="407">
        <v>4.1126747131347656</v>
      </c>
      <c r="AH72" s="407">
        <v>3.5958414077758789</v>
      </c>
      <c r="AI72" s="407">
        <v>4.425513744354248</v>
      </c>
      <c r="AJ72" s="407">
        <v>3.5966129302978516</v>
      </c>
      <c r="AK72" s="407">
        <v>3.7123494148254395</v>
      </c>
      <c r="AL72" s="407">
        <v>3.9763998985290527</v>
      </c>
      <c r="AM72" s="407">
        <v>4.677605152130127</v>
      </c>
      <c r="AN72" s="409">
        <v>3.18697190284729</v>
      </c>
      <c r="AO72" s="409">
        <v>5.094632625579834</v>
      </c>
      <c r="AP72" s="409">
        <v>3.7942602634429932</v>
      </c>
      <c r="AQ72" s="409">
        <v>4.8194375038146973</v>
      </c>
      <c r="AR72" s="409">
        <v>5.0673122406005859</v>
      </c>
      <c r="AS72" s="409">
        <v>4.8048710823059082</v>
      </c>
      <c r="AT72" s="409">
        <v>4.8576335906982422</v>
      </c>
      <c r="AU72" s="409">
        <v>5.1455321311950684</v>
      </c>
      <c r="AV72" s="409">
        <v>5.7618632316589355</v>
      </c>
      <c r="AW72" s="409">
        <v>5.9704666137695313</v>
      </c>
      <c r="AX72" s="409">
        <v>4.7204504013061523</v>
      </c>
      <c r="AY72" s="409">
        <v>5.1094121932983398</v>
      </c>
      <c r="AZ72" s="409">
        <v>4.6637611389160156</v>
      </c>
      <c r="BA72" s="409">
        <v>4.9631333351135254</v>
      </c>
      <c r="BB72" s="409">
        <v>4.3455233573913574</v>
      </c>
      <c r="BC72" s="409">
        <v>4.0132737159729004</v>
      </c>
      <c r="BD72" s="409">
        <v>4.7871294021606445</v>
      </c>
      <c r="BE72" s="409">
        <v>4.4335570335388184</v>
      </c>
      <c r="BF72" s="407">
        <v>5.3105111122131348</v>
      </c>
      <c r="BG72" s="407">
        <v>4.5394105911254883</v>
      </c>
      <c r="BH72" s="407">
        <v>4.0935783386230469</v>
      </c>
      <c r="BI72" s="407">
        <v>2.4902734756469727</v>
      </c>
      <c r="BJ72" s="407">
        <v>3.1562576293945312</v>
      </c>
      <c r="BK72" s="407">
        <v>4.8175339698791504</v>
      </c>
      <c r="BL72" s="407">
        <v>2.3802394866943359</v>
      </c>
    </row>
    <row r="73" spans="3:64" x14ac:dyDescent="0.2">
      <c r="C73" s="404" t="s">
        <v>399</v>
      </c>
      <c r="D73" s="407">
        <v>4.2075562477111816</v>
      </c>
      <c r="E73" s="407">
        <v>3.4538037776947021</v>
      </c>
      <c r="F73" s="407">
        <v>5.5720577239990234</v>
      </c>
      <c r="G73" s="407">
        <v>3.949077844619751</v>
      </c>
      <c r="H73" s="407">
        <v>4.9440493583679199</v>
      </c>
      <c r="I73" s="407">
        <v>5.1506242752075195</v>
      </c>
      <c r="J73" s="407">
        <v>3.7563021183013916</v>
      </c>
      <c r="K73" s="407">
        <v>4.0273518562316895</v>
      </c>
      <c r="L73" s="407">
        <v>1.2356711626052856</v>
      </c>
      <c r="M73" s="407">
        <v>6.060816764831543</v>
      </c>
      <c r="N73" s="407">
        <v>5.1012978553771973</v>
      </c>
      <c r="O73" s="407">
        <v>4.5898871421813965</v>
      </c>
      <c r="P73" s="407">
        <v>4.8495845794677734</v>
      </c>
      <c r="Q73" s="407">
        <v>5.2271533012390137</v>
      </c>
      <c r="R73" s="407">
        <v>4.3295745849609375</v>
      </c>
      <c r="S73" s="407">
        <v>3.9718482494354248</v>
      </c>
      <c r="T73" s="407">
        <v>4.0799298286437988</v>
      </c>
      <c r="U73" s="407">
        <v>3.887357234954834</v>
      </c>
      <c r="V73" s="407">
        <v>3.9461183547973633</v>
      </c>
      <c r="W73" s="407">
        <v>5.2185754776000977</v>
      </c>
      <c r="X73" s="407">
        <v>4.2035112380981445</v>
      </c>
      <c r="Y73" s="407">
        <v>4.6894488334655762</v>
      </c>
      <c r="Z73" s="407">
        <v>5.5246138572692871</v>
      </c>
      <c r="AA73" s="407">
        <v>5.286780834197998</v>
      </c>
      <c r="AB73" s="407">
        <v>3.8568785190582275</v>
      </c>
      <c r="AC73" s="407">
        <v>4.8016901016235352</v>
      </c>
      <c r="AD73" s="407">
        <v>4.2175798416137695</v>
      </c>
      <c r="AE73" s="38">
        <f>'User Add-in Location'!B79</f>
        <v>0</v>
      </c>
      <c r="AF73" s="38">
        <f>'User Add-in Location'!C79</f>
        <v>0</v>
      </c>
      <c r="AG73" s="407">
        <v>4.3883056640625</v>
      </c>
      <c r="AH73" s="407">
        <v>3.8010151386260986</v>
      </c>
      <c r="AI73" s="407">
        <v>4.5752077102661133</v>
      </c>
      <c r="AJ73" s="407">
        <v>3.816227912902832</v>
      </c>
      <c r="AK73" s="407">
        <v>4.023531436920166</v>
      </c>
      <c r="AL73" s="407">
        <v>4.0858497619628906</v>
      </c>
      <c r="AM73" s="407">
        <v>4.8446426391601562</v>
      </c>
      <c r="AN73" s="409">
        <v>3.3153469562530518</v>
      </c>
      <c r="AO73" s="409">
        <v>5.2390222549438477</v>
      </c>
      <c r="AP73" s="409">
        <v>3.9414379596710205</v>
      </c>
      <c r="AQ73" s="409">
        <v>5.0443601608276367</v>
      </c>
      <c r="AR73" s="409">
        <v>5.3980746269226074</v>
      </c>
      <c r="AS73" s="409">
        <v>5.0156106948852539</v>
      </c>
      <c r="AT73" s="409">
        <v>5.168637752532959</v>
      </c>
      <c r="AU73" s="409">
        <v>5.5303130149841309</v>
      </c>
      <c r="AV73" s="409">
        <v>6.0221066474914551</v>
      </c>
      <c r="AW73" s="409">
        <v>6.3257460594177246</v>
      </c>
      <c r="AX73" s="409">
        <v>5.1461172103881836</v>
      </c>
      <c r="AY73" s="409">
        <v>5.4896011352539062</v>
      </c>
      <c r="AZ73" s="409">
        <v>4.9729461669921875</v>
      </c>
      <c r="BA73" s="409">
        <v>5.1076240539550781</v>
      </c>
      <c r="BB73" s="409">
        <v>4.6673684120178223</v>
      </c>
      <c r="BC73" s="409">
        <v>4.112821102142334</v>
      </c>
      <c r="BD73" s="409">
        <v>4.9879922866821289</v>
      </c>
      <c r="BE73" s="409">
        <v>4.8514289855957031</v>
      </c>
      <c r="BF73" s="407">
        <v>5.5300149917602539</v>
      </c>
      <c r="BG73" s="407">
        <v>4.4394040107727051</v>
      </c>
      <c r="BH73" s="407">
        <v>4.4441385269165039</v>
      </c>
      <c r="BI73" s="407">
        <v>2.9480924606323242</v>
      </c>
      <c r="BJ73" s="407">
        <v>3.2898578643798828</v>
      </c>
      <c r="BK73" s="407">
        <v>4.9766330718994141</v>
      </c>
      <c r="BL73" s="407">
        <v>2.3838479518890381</v>
      </c>
    </row>
    <row r="74" spans="3:64" x14ac:dyDescent="0.2">
      <c r="C74" s="404" t="s">
        <v>400</v>
      </c>
      <c r="D74" s="407">
        <v>2.6817085742950439</v>
      </c>
      <c r="E74" s="407">
        <v>2.1067352294921875</v>
      </c>
      <c r="F74" s="407">
        <v>3.8003268241882324</v>
      </c>
      <c r="G74" s="407">
        <v>2.7344422340393066</v>
      </c>
      <c r="H74" s="407">
        <v>3.352724552154541</v>
      </c>
      <c r="I74" s="407">
        <v>3.4184689521789551</v>
      </c>
      <c r="J74" s="407">
        <v>2.5840981006622314</v>
      </c>
      <c r="K74" s="407">
        <v>2.6155014038085937</v>
      </c>
      <c r="L74" s="407">
        <v>0.81735676527023315</v>
      </c>
      <c r="M74" s="407">
        <v>4.151099681854248</v>
      </c>
      <c r="N74" s="407">
        <v>3.4766623973846436</v>
      </c>
      <c r="O74" s="407">
        <v>3.207813024520874</v>
      </c>
      <c r="P74" s="407">
        <v>3.0232529640197754</v>
      </c>
      <c r="Q74" s="407">
        <v>3.6497647762298584</v>
      </c>
      <c r="R74" s="407">
        <v>2.9451320171356201</v>
      </c>
      <c r="S74" s="407">
        <v>2.6116411685943604</v>
      </c>
      <c r="T74" s="407">
        <v>2.5457632541656494</v>
      </c>
      <c r="U74" s="407">
        <v>2.6216220855712891</v>
      </c>
      <c r="V74" s="407">
        <v>2.4063482284545898</v>
      </c>
      <c r="W74" s="407">
        <v>3.663785457611084</v>
      </c>
      <c r="X74" s="407">
        <v>2.840801477432251</v>
      </c>
      <c r="Y74" s="407">
        <v>3.3062064647674561</v>
      </c>
      <c r="Z74" s="407">
        <v>3.6708221435546875</v>
      </c>
      <c r="AA74" s="407">
        <v>3.6965370178222656</v>
      </c>
      <c r="AB74" s="407">
        <v>2.5209553241729736</v>
      </c>
      <c r="AC74" s="407">
        <v>3.2125093936920166</v>
      </c>
      <c r="AD74" s="407">
        <v>2.8154325485229492</v>
      </c>
      <c r="AE74" s="38">
        <f>'User Add-in Location'!B80</f>
        <v>0</v>
      </c>
      <c r="AF74" s="38">
        <f>'User Add-in Location'!C80</f>
        <v>0</v>
      </c>
      <c r="AG74" s="407">
        <v>2.9116871356964111</v>
      </c>
      <c r="AH74" s="407">
        <v>2.5043294429779053</v>
      </c>
      <c r="AI74" s="407">
        <v>3.2111625671386719</v>
      </c>
      <c r="AJ74" s="407">
        <v>2.4945425987243652</v>
      </c>
      <c r="AK74" s="407">
        <v>2.6108038425445557</v>
      </c>
      <c r="AL74" s="407">
        <v>2.8969669342041016</v>
      </c>
      <c r="AM74" s="407">
        <v>3.3729290962219238</v>
      </c>
      <c r="AN74" s="409">
        <v>2.1998119354248047</v>
      </c>
      <c r="AO74" s="409">
        <v>3.6865434646606445</v>
      </c>
      <c r="AP74" s="409">
        <v>2.5167081356048584</v>
      </c>
      <c r="AQ74" s="409">
        <v>3.4307630062103271</v>
      </c>
      <c r="AR74" s="409">
        <v>3.7372591495513916</v>
      </c>
      <c r="AS74" s="409">
        <v>3.5717871189117432</v>
      </c>
      <c r="AT74" s="409">
        <v>3.5107426643371582</v>
      </c>
      <c r="AU74" s="409">
        <v>3.7962071895599365</v>
      </c>
      <c r="AV74" s="409">
        <v>4.1368989944458008</v>
      </c>
      <c r="AW74" s="409">
        <v>4.3919529914855957</v>
      </c>
      <c r="AX74" s="409">
        <v>3.3168327808380127</v>
      </c>
      <c r="AY74" s="409">
        <v>3.6799640655517578</v>
      </c>
      <c r="AZ74" s="409">
        <v>3.3738136291503906</v>
      </c>
      <c r="BA74" s="409">
        <v>3.6920490264892578</v>
      </c>
      <c r="BB74" s="409">
        <v>3.0474283695220947</v>
      </c>
      <c r="BC74" s="409">
        <v>2.8707714080810547</v>
      </c>
      <c r="BD74" s="409">
        <v>3.4808897972106934</v>
      </c>
      <c r="BE74" s="409">
        <v>3.0915546417236328</v>
      </c>
      <c r="BF74" s="407">
        <v>3.837012767791748</v>
      </c>
      <c r="BG74" s="407">
        <v>3.2869024276733398</v>
      </c>
      <c r="BH74" s="407">
        <v>2.9595212936401367</v>
      </c>
      <c r="BI74" s="407">
        <v>2.4786100387573242</v>
      </c>
      <c r="BJ74" s="407">
        <v>2.1356828212738037</v>
      </c>
      <c r="BK74" s="407">
        <v>3.4729378223419189</v>
      </c>
      <c r="BL74" s="407">
        <v>1.4299321174621582</v>
      </c>
    </row>
    <row r="75" spans="3:64" x14ac:dyDescent="0.2">
      <c r="C75" s="404" t="s">
        <v>58</v>
      </c>
      <c r="D75" s="407">
        <v>4.748079776763916</v>
      </c>
      <c r="E75" s="407">
        <v>3.7764418125152588</v>
      </c>
      <c r="F75" s="407">
        <v>6.3211469650268555</v>
      </c>
      <c r="G75" s="407">
        <v>4.8439984321594238</v>
      </c>
      <c r="H75" s="407">
        <v>5.423677921295166</v>
      </c>
      <c r="I75" s="407">
        <v>5.5941743850708008</v>
      </c>
      <c r="J75" s="407">
        <v>4.1636319160461426</v>
      </c>
      <c r="K75" s="407">
        <v>4.1715888977050781</v>
      </c>
      <c r="L75" s="407">
        <v>1.0846350193023682</v>
      </c>
      <c r="M75" s="407">
        <v>7.0949673652648926</v>
      </c>
      <c r="N75" s="407">
        <v>5.8202672004699707</v>
      </c>
      <c r="O75" s="407">
        <v>5.043419361114502</v>
      </c>
      <c r="P75" s="407">
        <v>5.6152663230895996</v>
      </c>
      <c r="Q75" s="407">
        <v>5.8923187255859375</v>
      </c>
      <c r="R75" s="407">
        <v>5.4259591102600098</v>
      </c>
      <c r="S75" s="407">
        <v>4.9021487236022949</v>
      </c>
      <c r="T75" s="407">
        <v>4.6297760009765625</v>
      </c>
      <c r="U75" s="407">
        <v>4.3587222099304199</v>
      </c>
      <c r="V75" s="407">
        <v>4.5772213935852051</v>
      </c>
      <c r="W75" s="407">
        <v>5.9730110168457031</v>
      </c>
      <c r="X75" s="407">
        <v>4.7750821113586426</v>
      </c>
      <c r="Y75" s="407">
        <v>5.1255655288696289</v>
      </c>
      <c r="Z75" s="407">
        <v>6.2110729217529297</v>
      </c>
      <c r="AA75" s="407">
        <v>6.1357574462890625</v>
      </c>
      <c r="AB75" s="407">
        <v>4.7869472503662109</v>
      </c>
      <c r="AC75" s="407">
        <v>5.3413867950439453</v>
      </c>
      <c r="AD75" s="407">
        <v>5.0675487518310547</v>
      </c>
      <c r="AE75" s="38">
        <f>'User Add-in Location'!B81</f>
        <v>0</v>
      </c>
      <c r="AF75" s="38">
        <f>'User Add-in Location'!C81</f>
        <v>0</v>
      </c>
      <c r="AG75" s="407">
        <v>5.0774006843566895</v>
      </c>
      <c r="AH75" s="407">
        <v>4.5949587821960449</v>
      </c>
      <c r="AI75" s="407">
        <v>4.9325342178344727</v>
      </c>
      <c r="AJ75" s="407">
        <v>4.2663679122924805</v>
      </c>
      <c r="AK75" s="407">
        <v>4.9540925025939941</v>
      </c>
      <c r="AL75" s="407">
        <v>4.6942224502563477</v>
      </c>
      <c r="AM75" s="407">
        <v>5.6287741661071777</v>
      </c>
      <c r="AN75" s="409">
        <v>3.8525497913360596</v>
      </c>
      <c r="AO75" s="409">
        <v>6.1962542533874512</v>
      </c>
      <c r="AP75" s="409">
        <v>4.7914490699768066</v>
      </c>
      <c r="AQ75" s="409">
        <v>5.7065653800964355</v>
      </c>
      <c r="AR75" s="409">
        <v>5.8470497131347656</v>
      </c>
      <c r="AS75" s="409">
        <v>5.5712685585021973</v>
      </c>
      <c r="AT75" s="409">
        <v>5.6740908622741699</v>
      </c>
      <c r="AU75" s="409">
        <v>6.0392899513244629</v>
      </c>
      <c r="AV75" s="409">
        <v>6.7293939590454102</v>
      </c>
      <c r="AW75" s="409">
        <v>7.1333317756652832</v>
      </c>
      <c r="AX75" s="409">
        <v>5.8242015838623047</v>
      </c>
      <c r="AY75" s="409">
        <v>6.1104316711425781</v>
      </c>
      <c r="AZ75" s="409">
        <v>5.4297661781311035</v>
      </c>
      <c r="BA75" s="409">
        <v>5.7688322067260742</v>
      </c>
      <c r="BB75" s="409">
        <v>5.426201343536377</v>
      </c>
      <c r="BC75" s="409">
        <v>4.9762053489685059</v>
      </c>
      <c r="BD75" s="409">
        <v>4.9781904220581055</v>
      </c>
      <c r="BE75" s="409">
        <v>5.5357747077941895</v>
      </c>
      <c r="BF75" s="407">
        <v>6.6406879425048828</v>
      </c>
      <c r="BG75" s="407">
        <v>5.4591856002807617</v>
      </c>
      <c r="BH75" s="407">
        <v>4.7620105743408203</v>
      </c>
      <c r="BI75" s="407">
        <v>0.61072540283203125</v>
      </c>
      <c r="BJ75" s="407">
        <v>4.111884593963623</v>
      </c>
      <c r="BK75" s="407">
        <v>5.8278365135192871</v>
      </c>
      <c r="BL75" s="407">
        <v>3.1038806438446045</v>
      </c>
    </row>
    <row r="76" spans="3:64" x14ac:dyDescent="0.2">
      <c r="C76" s="404" t="s">
        <v>401</v>
      </c>
      <c r="D76" s="407">
        <v>1.9345641136169434</v>
      </c>
      <c r="E76" s="407">
        <v>0</v>
      </c>
      <c r="F76" s="407">
        <v>3.1030399799346924</v>
      </c>
      <c r="G76" s="407">
        <v>1.5049070119857788</v>
      </c>
      <c r="H76" s="407">
        <v>3.3337140083312988</v>
      </c>
      <c r="I76" s="407">
        <v>2.6939523220062256</v>
      </c>
      <c r="J76" s="407">
        <v>2.0050303936004639</v>
      </c>
      <c r="K76" s="407">
        <v>1.8157392740249634</v>
      </c>
      <c r="L76" s="407">
        <v>0.52928227186203003</v>
      </c>
      <c r="M76" s="407">
        <v>3.4575803279876709</v>
      </c>
      <c r="N76" s="407">
        <v>2.3884282112121582</v>
      </c>
      <c r="O76" s="407">
        <v>1.7385554313659668</v>
      </c>
      <c r="P76" s="407">
        <v>2.2434103488922119</v>
      </c>
      <c r="Q76" s="407">
        <v>2.8571991920471191</v>
      </c>
      <c r="R76" s="407">
        <v>1.978148341178894</v>
      </c>
      <c r="S76" s="407">
        <v>1.6936031579971313</v>
      </c>
      <c r="T76" s="407">
        <v>1.8419198989868164</v>
      </c>
      <c r="U76" s="407">
        <v>1.624300479888916</v>
      </c>
      <c r="V76" s="407">
        <v>1.796728253364563</v>
      </c>
      <c r="W76" s="407">
        <v>2.7608301639556885</v>
      </c>
      <c r="X76" s="407">
        <v>1.9949313402175903</v>
      </c>
      <c r="Y76" s="407">
        <v>2.7425730228424072</v>
      </c>
      <c r="Z76" s="407">
        <v>2.5731537342071533</v>
      </c>
      <c r="AA76" s="407">
        <v>2.8605897426605225</v>
      </c>
      <c r="AB76" s="407">
        <v>1.6667301654815674</v>
      </c>
      <c r="AC76" s="407">
        <v>2.454658031463623</v>
      </c>
      <c r="AD76" s="407">
        <v>1.4519968032836914</v>
      </c>
      <c r="AE76" s="38">
        <f>'User Add-in Location'!B82</f>
        <v>0</v>
      </c>
      <c r="AF76" s="38">
        <f>'User Add-in Location'!C82</f>
        <v>0</v>
      </c>
      <c r="AG76" s="407">
        <v>1.8982809782028198</v>
      </c>
      <c r="AH76" s="407">
        <v>1.7749009132385254</v>
      </c>
      <c r="AI76" s="407">
        <v>2.2311201095581055</v>
      </c>
      <c r="AJ76" s="407">
        <v>2.0969598293304443</v>
      </c>
      <c r="AK76" s="407">
        <v>1.9221798181533813</v>
      </c>
      <c r="AL76" s="407">
        <v>2.2942996025085449</v>
      </c>
      <c r="AM76" s="407">
        <v>2.5667352676391602</v>
      </c>
      <c r="AN76" s="409">
        <v>1.1937055587768555</v>
      </c>
      <c r="AO76" s="409">
        <v>3.8449337482452393</v>
      </c>
      <c r="AP76" s="409">
        <v>1.7620984315872192</v>
      </c>
      <c r="AQ76" s="409">
        <v>3.0774064064025879</v>
      </c>
      <c r="AR76" s="409">
        <v>2.7907652854919434</v>
      </c>
      <c r="AS76" s="409">
        <v>3.035395622253418</v>
      </c>
      <c r="AT76" s="409">
        <v>2.8576600551605225</v>
      </c>
      <c r="AU76" s="409">
        <v>2.9619243144989014</v>
      </c>
      <c r="AV76" s="409">
        <v>3.2900071144104004</v>
      </c>
      <c r="AW76" s="409">
        <v>4.1198034286499023</v>
      </c>
      <c r="AX76" s="409">
        <v>2.8125543594360352</v>
      </c>
      <c r="AY76" s="409">
        <v>3.119074821472168</v>
      </c>
      <c r="AZ76" s="409">
        <v>3.3439502716064453</v>
      </c>
      <c r="BA76" s="409">
        <v>2.5538234710693359</v>
      </c>
      <c r="BB76" s="409">
        <v>2.1267330646514893</v>
      </c>
      <c r="BC76" s="409">
        <v>1.4604867696762085</v>
      </c>
      <c r="BD76" s="409">
        <v>2.2641348838806152</v>
      </c>
      <c r="BE76" s="409">
        <v>2.6247119903564453</v>
      </c>
      <c r="BF76" s="407">
        <v>2.9260704517364502</v>
      </c>
      <c r="BG76" s="407">
        <v>2.3684308528900146</v>
      </c>
      <c r="BH76" s="407">
        <v>2.1099996566772461</v>
      </c>
      <c r="BI76" s="407">
        <v>3.3616175651550293</v>
      </c>
      <c r="BJ76" s="407">
        <v>1.0186001062393188</v>
      </c>
      <c r="BK76" s="407">
        <v>2.5618536472320557</v>
      </c>
      <c r="BL76" s="407">
        <v>0</v>
      </c>
    </row>
    <row r="77" spans="3:64" ht="15" x14ac:dyDescent="0.2">
      <c r="C77" s="6"/>
      <c r="D77" s="411"/>
      <c r="E77" s="411"/>
      <c r="F77" s="411"/>
      <c r="G77" s="411"/>
      <c r="H77" s="411"/>
      <c r="I77" s="411"/>
      <c r="J77" s="411"/>
      <c r="K77" s="411"/>
      <c r="L77" s="411"/>
      <c r="M77" s="411"/>
      <c r="N77" s="411"/>
      <c r="O77" s="411"/>
      <c r="P77" s="411"/>
      <c r="Q77" s="411"/>
      <c r="R77" s="411"/>
      <c r="S77" s="411"/>
      <c r="T77" s="411"/>
      <c r="U77" s="411"/>
      <c r="V77" s="411"/>
      <c r="W77" s="411"/>
      <c r="X77" s="411"/>
      <c r="Y77" s="411"/>
      <c r="Z77" s="411"/>
      <c r="AA77" s="411"/>
      <c r="AB77" s="411"/>
      <c r="AC77" s="411"/>
      <c r="AD77" s="411"/>
      <c r="AE77" s="38"/>
      <c r="AF77" s="38"/>
      <c r="AG77" s="410"/>
      <c r="AH77" s="410"/>
      <c r="AI77" s="410"/>
      <c r="AJ77" s="410"/>
      <c r="AK77" s="410"/>
      <c r="AL77" s="410"/>
      <c r="AM77" s="410"/>
      <c r="AN77" s="410"/>
      <c r="AO77" s="410"/>
      <c r="AP77" s="410"/>
      <c r="AQ77" s="410"/>
      <c r="AR77" s="410"/>
      <c r="AS77" s="412"/>
      <c r="AT77" s="412"/>
      <c r="AU77" s="412"/>
      <c r="AV77" s="412"/>
      <c r="AW77" s="412"/>
      <c r="AX77" s="412"/>
      <c r="AY77" s="412"/>
      <c r="AZ77" s="412"/>
      <c r="BA77" s="410"/>
      <c r="BB77" s="410"/>
      <c r="BC77" s="410"/>
      <c r="BD77" s="410"/>
      <c r="BE77" s="410"/>
      <c r="BF77" s="410"/>
      <c r="BG77" s="410"/>
      <c r="BH77" s="410"/>
      <c r="BI77" s="410"/>
      <c r="BJ77" s="410"/>
      <c r="BK77" s="410"/>
      <c r="BL77" s="410"/>
    </row>
    <row r="78" spans="3:64" ht="12.75" customHeight="1" x14ac:dyDescent="0.2">
      <c r="C78" s="17" t="s">
        <v>179</v>
      </c>
      <c r="D78" s="411"/>
      <c r="E78" s="411"/>
      <c r="F78" s="411"/>
      <c r="G78" s="411"/>
      <c r="H78" s="411"/>
      <c r="I78" s="411"/>
      <c r="J78" s="411"/>
      <c r="K78" s="411"/>
      <c r="L78" s="411"/>
      <c r="M78" s="411"/>
      <c r="N78" s="411"/>
      <c r="O78" s="411"/>
      <c r="P78" s="411"/>
      <c r="Q78" s="411"/>
      <c r="R78" s="411"/>
      <c r="S78" s="411"/>
      <c r="T78" s="411"/>
      <c r="U78" s="411"/>
      <c r="V78" s="411"/>
      <c r="W78" s="411"/>
      <c r="X78" s="411"/>
      <c r="Y78" s="411"/>
      <c r="Z78" s="411"/>
      <c r="AA78" s="411"/>
      <c r="AB78" s="411"/>
      <c r="AC78" s="411"/>
      <c r="AD78" s="411"/>
      <c r="AE78" s="38"/>
      <c r="AF78" s="38"/>
      <c r="AG78" s="410"/>
      <c r="AH78" s="410"/>
      <c r="AI78" s="410"/>
      <c r="AJ78" s="410"/>
      <c r="AK78" s="410"/>
      <c r="AL78" s="410"/>
      <c r="AM78" s="410"/>
      <c r="AN78" s="410"/>
      <c r="AO78" s="410"/>
      <c r="AP78" s="410"/>
      <c r="AQ78" s="410"/>
      <c r="AR78" s="410"/>
      <c r="AS78" s="412"/>
      <c r="AT78" s="412"/>
      <c r="AU78" s="412"/>
      <c r="AV78" s="412"/>
      <c r="AW78" s="412"/>
      <c r="AX78" s="412"/>
      <c r="AY78" s="412"/>
      <c r="AZ78" s="412"/>
      <c r="BA78" s="410"/>
      <c r="BB78" s="410"/>
      <c r="BC78" s="410"/>
      <c r="BD78" s="410"/>
      <c r="BE78" s="410"/>
      <c r="BF78" s="410"/>
      <c r="BG78" s="410"/>
      <c r="BH78" s="410"/>
      <c r="BI78" s="410"/>
      <c r="BJ78" s="410"/>
      <c r="BK78" s="410"/>
      <c r="BL78" s="410"/>
    </row>
    <row r="79" spans="3:64" ht="38.25" x14ac:dyDescent="0.2">
      <c r="C79" s="115" t="s">
        <v>145</v>
      </c>
      <c r="D79" s="411" t="s">
        <v>60</v>
      </c>
      <c r="E79" s="411" t="s">
        <v>61</v>
      </c>
      <c r="F79" s="411" t="s">
        <v>62</v>
      </c>
      <c r="G79" s="411" t="s">
        <v>63</v>
      </c>
      <c r="H79" s="411" t="s">
        <v>64</v>
      </c>
      <c r="I79" s="411" t="s">
        <v>65</v>
      </c>
      <c r="J79" s="411" t="s">
        <v>66</v>
      </c>
      <c r="K79" s="411" t="s">
        <v>67</v>
      </c>
      <c r="L79" s="411" t="s">
        <v>68</v>
      </c>
      <c r="M79" s="411" t="s">
        <v>69</v>
      </c>
      <c r="N79" s="411" t="s">
        <v>70</v>
      </c>
      <c r="O79" s="411" t="s">
        <v>71</v>
      </c>
      <c r="P79" s="411" t="s">
        <v>72</v>
      </c>
      <c r="Q79" s="411" t="s">
        <v>73</v>
      </c>
      <c r="R79" s="411" t="s">
        <v>74</v>
      </c>
      <c r="S79" s="411" t="s">
        <v>75</v>
      </c>
      <c r="T79" s="411" t="s">
        <v>76</v>
      </c>
      <c r="U79" s="411" t="s">
        <v>77</v>
      </c>
      <c r="V79" s="411" t="s">
        <v>78</v>
      </c>
      <c r="W79" s="411" t="s">
        <v>79</v>
      </c>
      <c r="X79" s="411" t="s">
        <v>80</v>
      </c>
      <c r="Y79" s="411" t="s">
        <v>81</v>
      </c>
      <c r="Z79" s="411" t="s">
        <v>82</v>
      </c>
      <c r="AA79" s="411" t="s">
        <v>83</v>
      </c>
      <c r="AB79" s="411" t="s">
        <v>84</v>
      </c>
      <c r="AC79" s="411" t="s">
        <v>85</v>
      </c>
      <c r="AD79" s="411" t="s">
        <v>86</v>
      </c>
      <c r="AE79" s="38" t="s">
        <v>208</v>
      </c>
      <c r="AF79" s="38" t="s">
        <v>207</v>
      </c>
      <c r="AG79" s="410" t="s">
        <v>87</v>
      </c>
      <c r="AH79" s="410" t="s">
        <v>88</v>
      </c>
      <c r="AI79" s="410" t="s">
        <v>89</v>
      </c>
      <c r="AJ79" s="410" t="s">
        <v>90</v>
      </c>
      <c r="AK79" s="410" t="s">
        <v>91</v>
      </c>
      <c r="AL79" s="410" t="s">
        <v>92</v>
      </c>
      <c r="AM79" s="410" t="s">
        <v>93</v>
      </c>
      <c r="AN79" s="410" t="s">
        <v>94</v>
      </c>
      <c r="AO79" s="410" t="s">
        <v>95</v>
      </c>
      <c r="AP79" s="410" t="s">
        <v>96</v>
      </c>
      <c r="AQ79" s="410" t="s">
        <v>97</v>
      </c>
      <c r="AR79" s="410" t="s">
        <v>98</v>
      </c>
      <c r="AS79" s="443" t="s">
        <v>451</v>
      </c>
      <c r="AT79" s="443" t="s">
        <v>452</v>
      </c>
      <c r="AU79" s="443" t="s">
        <v>453</v>
      </c>
      <c r="AV79" s="443" t="s">
        <v>454</v>
      </c>
      <c r="AW79" s="443" t="s">
        <v>455</v>
      </c>
      <c r="AX79" s="443" t="s">
        <v>456</v>
      </c>
      <c r="AY79" s="443" t="s">
        <v>457</v>
      </c>
      <c r="AZ79" s="443" t="s">
        <v>458</v>
      </c>
      <c r="BA79" s="410" t="s">
        <v>99</v>
      </c>
      <c r="BB79" s="410" t="s">
        <v>100</v>
      </c>
      <c r="BC79" s="410" t="s">
        <v>101</v>
      </c>
      <c r="BD79" s="410" t="s">
        <v>102</v>
      </c>
      <c r="BE79" s="410" t="s">
        <v>103</v>
      </c>
      <c r="BF79" s="410" t="s">
        <v>104</v>
      </c>
      <c r="BG79" s="410" t="s">
        <v>105</v>
      </c>
      <c r="BH79" s="410" t="s">
        <v>106</v>
      </c>
      <c r="BI79" s="410" t="s">
        <v>107</v>
      </c>
      <c r="BJ79" s="410" t="s">
        <v>108</v>
      </c>
      <c r="BK79" s="410" t="s">
        <v>109</v>
      </c>
      <c r="BL79" s="410" t="s">
        <v>59</v>
      </c>
    </row>
    <row r="80" spans="3:64" x14ac:dyDescent="0.2">
      <c r="C80" s="404" t="s">
        <v>388</v>
      </c>
      <c r="D80" s="407">
        <v>8.0103039741516113E-2</v>
      </c>
      <c r="E80" s="407">
        <v>6.9031432271003723E-2</v>
      </c>
      <c r="F80" s="407">
        <v>0.17463287711143494</v>
      </c>
      <c r="G80" s="407">
        <v>6.0894358903169632E-2</v>
      </c>
      <c r="H80" s="407">
        <v>0.23709633946418762</v>
      </c>
      <c r="I80" s="407">
        <v>8.1131525337696075E-2</v>
      </c>
      <c r="J80" s="407">
        <v>0.15342593193054199</v>
      </c>
      <c r="K80" s="407">
        <v>4.3425075709819794E-2</v>
      </c>
      <c r="L80" s="407">
        <v>0</v>
      </c>
      <c r="M80" s="407">
        <v>0.26182746887207031</v>
      </c>
      <c r="N80" s="407">
        <v>8.7474517524242401E-2</v>
      </c>
      <c r="O80" s="407">
        <v>0.32300540804862976</v>
      </c>
      <c r="P80" s="407">
        <v>8.4762237966060638E-2</v>
      </c>
      <c r="Q80" s="407">
        <v>4.0222778916358948E-2</v>
      </c>
      <c r="R80" s="407">
        <v>4.3025385588407516E-2</v>
      </c>
      <c r="S80" s="407">
        <v>3.2132197171449661E-2</v>
      </c>
      <c r="T80" s="407">
        <v>4.2171984910964966E-2</v>
      </c>
      <c r="U80" s="407">
        <v>9.7309477627277374E-2</v>
      </c>
      <c r="V80" s="407">
        <v>9.8529204726219177E-2</v>
      </c>
      <c r="W80" s="407">
        <v>0.12622974812984467</v>
      </c>
      <c r="X80" s="407">
        <v>8.7240844964981079E-2</v>
      </c>
      <c r="Y80" s="407">
        <v>0.34212270379066467</v>
      </c>
      <c r="Z80" s="407">
        <v>0.11391197144985199</v>
      </c>
      <c r="AA80" s="407">
        <v>4.7193508595228202E-2</v>
      </c>
      <c r="AB80" s="407">
        <v>7.4574559926986694E-2</v>
      </c>
      <c r="AC80" s="407">
        <v>7.4574559926986694E-2</v>
      </c>
      <c r="AD80" s="407">
        <v>8.1271618604660034E-2</v>
      </c>
      <c r="AE80" s="38">
        <f>'User Add-in Location'!B86</f>
        <v>0</v>
      </c>
      <c r="AF80" s="38">
        <f>'User Add-in Location'!C86</f>
        <v>0</v>
      </c>
      <c r="AG80" s="407">
        <v>3.7169240415096283E-2</v>
      </c>
      <c r="AH80" s="407">
        <v>8.393462747335434E-2</v>
      </c>
      <c r="AI80" s="407">
        <v>0.11506781727075577</v>
      </c>
      <c r="AJ80" s="407">
        <v>0.20294271409511566</v>
      </c>
      <c r="AK80" s="407">
        <v>8.7772034108638763E-2</v>
      </c>
      <c r="AL80" s="407">
        <v>0.10388004034757614</v>
      </c>
      <c r="AM80" s="407">
        <v>0.10232607275247574</v>
      </c>
      <c r="AN80" s="409">
        <v>2.912401407957077E-2</v>
      </c>
      <c r="AO80" s="409">
        <v>6.8056240677833557E-2</v>
      </c>
      <c r="AP80" s="409">
        <v>6.5693989396095276E-2</v>
      </c>
      <c r="AQ80" s="409">
        <v>0.17731566727161399</v>
      </c>
      <c r="AR80" s="409">
        <v>9.0386673808097839E-2</v>
      </c>
      <c r="AS80" s="409">
        <v>0.226784348487854</v>
      </c>
      <c r="AT80" s="409">
        <v>0.1819099485874176</v>
      </c>
      <c r="AU80" s="409">
        <v>0.1729387640953064</v>
      </c>
      <c r="AV80" s="409">
        <v>0.19546163082122803</v>
      </c>
      <c r="AW80" s="409">
        <v>0.11917708069086075</v>
      </c>
      <c r="AX80" s="409">
        <v>0.14916318655014038</v>
      </c>
      <c r="AY80" s="409">
        <v>0.14925958216190338</v>
      </c>
      <c r="AZ80" s="409">
        <v>0.32176941633224487</v>
      </c>
      <c r="BA80" s="409">
        <v>0.27099955081939697</v>
      </c>
      <c r="BB80" s="409">
        <v>0.1188051626086235</v>
      </c>
      <c r="BC80" s="409">
        <v>2.4234214797616005E-2</v>
      </c>
      <c r="BD80" s="409">
        <v>6.5054252743721008E-2</v>
      </c>
      <c r="BE80" s="409">
        <v>9.464457631111145E-2</v>
      </c>
      <c r="BF80" s="407">
        <v>8.2834102213382721E-2</v>
      </c>
      <c r="BG80" s="407">
        <v>8.0645233392715454E-2</v>
      </c>
      <c r="BH80" s="407">
        <v>8.8586375117301941E-2</v>
      </c>
      <c r="BI80" s="407">
        <v>0.21645556390285492</v>
      </c>
      <c r="BJ80" s="407">
        <v>5.29509037733078E-2</v>
      </c>
      <c r="BK80" s="407">
        <v>5.29509037733078E-2</v>
      </c>
      <c r="BL80" s="407">
        <v>0.10648994147777557</v>
      </c>
    </row>
    <row r="81" spans="3:64" x14ac:dyDescent="0.2">
      <c r="C81" s="404" t="s">
        <v>124</v>
      </c>
      <c r="D81" s="407">
        <v>0.15273205935955048</v>
      </c>
      <c r="E81" s="407">
        <v>0.20661738514900208</v>
      </c>
      <c r="F81" s="407">
        <v>0.13810624182224274</v>
      </c>
      <c r="G81" s="407">
        <v>0.13335363566875458</v>
      </c>
      <c r="H81" s="407">
        <v>0.15634846687316895</v>
      </c>
      <c r="I81" s="407">
        <v>0.12611667811870575</v>
      </c>
      <c r="J81" s="407">
        <v>7.6754175126552582E-2</v>
      </c>
      <c r="K81" s="407">
        <v>3.3449593465775251E-3</v>
      </c>
      <c r="L81" s="407">
        <v>0</v>
      </c>
      <c r="M81" s="407">
        <v>6.0643978416919708E-2</v>
      </c>
      <c r="N81" s="407">
        <v>0.20810553431510925</v>
      </c>
      <c r="O81" s="407">
        <v>0.22807459533214569</v>
      </c>
      <c r="P81" s="407">
        <v>0.14956815540790558</v>
      </c>
      <c r="Q81" s="407">
        <v>5.3573731333017349E-2</v>
      </c>
      <c r="R81" s="407">
        <v>0.13090740144252777</v>
      </c>
      <c r="S81" s="407">
        <v>0.17217664420604706</v>
      </c>
      <c r="T81" s="407">
        <v>6.9532893598079681E-2</v>
      </c>
      <c r="U81" s="407">
        <v>0.18631882965564728</v>
      </c>
      <c r="V81" s="407">
        <v>0.13556712865829468</v>
      </c>
      <c r="W81" s="407">
        <v>8.3387970924377441E-2</v>
      </c>
      <c r="X81" s="407">
        <v>0.10862046480178833</v>
      </c>
      <c r="Y81" s="407">
        <v>6.0553744435310364E-2</v>
      </c>
      <c r="Z81" s="407">
        <v>9.974602609872818E-2</v>
      </c>
      <c r="AA81" s="407">
        <v>0.12476682662963867</v>
      </c>
      <c r="AB81" s="407">
        <v>9.7566574811935425E-2</v>
      </c>
      <c r="AC81" s="407">
        <v>9.7566574811935425E-2</v>
      </c>
      <c r="AD81" s="407">
        <v>0.15647055208683014</v>
      </c>
      <c r="AE81" s="38">
        <f>'User Add-in Location'!B87</f>
        <v>0</v>
      </c>
      <c r="AF81" s="38">
        <f>'User Add-in Location'!C87</f>
        <v>0</v>
      </c>
      <c r="AG81" s="407">
        <v>6.5504267811775208E-2</v>
      </c>
      <c r="AH81" s="407">
        <v>0.16249783337116241</v>
      </c>
      <c r="AI81" s="407">
        <v>0.16437624394893646</v>
      </c>
      <c r="AJ81" s="407">
        <v>0.11344576627016068</v>
      </c>
      <c r="AK81" s="407">
        <v>0.15819357335567474</v>
      </c>
      <c r="AL81" s="407">
        <v>4.9952175468206406E-2</v>
      </c>
      <c r="AM81" s="407">
        <v>0.18243138492107391</v>
      </c>
      <c r="AN81" s="409">
        <v>0.17329514026641846</v>
      </c>
      <c r="AO81" s="409">
        <v>0.11188060790300369</v>
      </c>
      <c r="AP81" s="409">
        <v>0.11400461196899414</v>
      </c>
      <c r="AQ81" s="409">
        <v>0.14789280295372009</v>
      </c>
      <c r="AR81" s="409">
        <v>0.13211272656917572</v>
      </c>
      <c r="AS81" s="409">
        <v>0.25105738639831543</v>
      </c>
      <c r="AT81" s="409">
        <v>0.24524150788784027</v>
      </c>
      <c r="AU81" s="409">
        <v>0.24615016579627991</v>
      </c>
      <c r="AV81" s="409">
        <v>0.23083433508872986</v>
      </c>
      <c r="AW81" s="409">
        <v>0.23617973923683167</v>
      </c>
      <c r="AX81" s="409">
        <v>0.21737891435623169</v>
      </c>
      <c r="AY81" s="409">
        <v>0.21296627819538116</v>
      </c>
      <c r="AZ81" s="409">
        <v>0.22661617398262024</v>
      </c>
      <c r="BA81" s="409">
        <v>0.11803022772073746</v>
      </c>
      <c r="BB81" s="409">
        <v>0.14372867345809937</v>
      </c>
      <c r="BC81" s="409">
        <v>0.13791269063949585</v>
      </c>
      <c r="BD81" s="409">
        <v>0.15116705000400543</v>
      </c>
      <c r="BE81" s="409">
        <v>0.10317336022853851</v>
      </c>
      <c r="BF81" s="407">
        <v>0.16590070724487305</v>
      </c>
      <c r="BG81" s="407">
        <v>0.23778203129768372</v>
      </c>
      <c r="BH81" s="407">
        <v>0.12343909591436386</v>
      </c>
      <c r="BI81" s="407">
        <v>0.12458276748657227</v>
      </c>
      <c r="BJ81" s="407">
        <v>0.19194026291370392</v>
      </c>
      <c r="BK81" s="407">
        <v>0.19194026291370392</v>
      </c>
      <c r="BL81" s="407">
        <v>0.17219312489032745</v>
      </c>
    </row>
    <row r="82" spans="3:64" x14ac:dyDescent="0.2">
      <c r="C82" s="404" t="s">
        <v>56</v>
      </c>
      <c r="D82" s="407">
        <v>0.23713882267475128</v>
      </c>
      <c r="E82" s="407">
        <v>0.33634868264198303</v>
      </c>
      <c r="F82" s="407">
        <v>0.2958652675151825</v>
      </c>
      <c r="G82" s="407">
        <v>0.21622301638126373</v>
      </c>
      <c r="H82" s="407">
        <v>0.29705074429512024</v>
      </c>
      <c r="I82" s="407">
        <v>0.27456128597259521</v>
      </c>
      <c r="J82" s="407">
        <v>0.24603769183158875</v>
      </c>
      <c r="K82" s="407">
        <v>0.29795762896537781</v>
      </c>
      <c r="L82" s="407">
        <v>0.37824562191963196</v>
      </c>
      <c r="M82" s="407">
        <v>0.27598258852958679</v>
      </c>
      <c r="N82" s="407">
        <v>0.24241295456886292</v>
      </c>
      <c r="O82" s="407">
        <v>0.36330795288085938</v>
      </c>
      <c r="P82" s="407">
        <v>0.22294700145721436</v>
      </c>
      <c r="Q82" s="407">
        <v>0.31948721408843994</v>
      </c>
      <c r="R82" s="407">
        <v>0.27947208285331726</v>
      </c>
      <c r="S82" s="407">
        <v>0.25741791725158691</v>
      </c>
      <c r="T82" s="407">
        <v>0.26730620861053467</v>
      </c>
      <c r="U82" s="407">
        <v>0.24265186488628387</v>
      </c>
      <c r="V82" s="407">
        <v>0.29385009407997131</v>
      </c>
      <c r="W82" s="407">
        <v>0.19552126526832581</v>
      </c>
      <c r="X82" s="407">
        <v>0.31136563420295715</v>
      </c>
      <c r="Y82" s="407">
        <v>0.29242685437202454</v>
      </c>
      <c r="Z82" s="407">
        <v>0.25186362862586975</v>
      </c>
      <c r="AA82" s="407">
        <v>0.28520998358726501</v>
      </c>
      <c r="AB82" s="407">
        <v>0.23096264898777008</v>
      </c>
      <c r="AC82" s="407">
        <v>0.23096264898777008</v>
      </c>
      <c r="AD82" s="407">
        <v>0.22940121591091156</v>
      </c>
      <c r="AE82" s="38">
        <f>'User Add-in Location'!B88</f>
        <v>0</v>
      </c>
      <c r="AF82" s="38">
        <f>'User Add-in Location'!C88</f>
        <v>0</v>
      </c>
      <c r="AG82" s="407">
        <v>0.25397980213165283</v>
      </c>
      <c r="AH82" s="407">
        <v>0.37529870867729187</v>
      </c>
      <c r="AI82" s="407">
        <v>0.20213331282138824</v>
      </c>
      <c r="AJ82" s="407">
        <v>0.30182704329490662</v>
      </c>
      <c r="AK82" s="407">
        <v>0.2778441309928894</v>
      </c>
      <c r="AL82" s="407">
        <v>0.3315904438495636</v>
      </c>
      <c r="AM82" s="407">
        <v>0.23786583542823792</v>
      </c>
      <c r="AN82" s="409">
        <v>0.28531038761138916</v>
      </c>
      <c r="AO82" s="409">
        <v>0.25793245434761047</v>
      </c>
      <c r="AP82" s="409">
        <v>0.22885535657405853</v>
      </c>
      <c r="AQ82" s="409">
        <v>0.28246018290519714</v>
      </c>
      <c r="AR82" s="409">
        <v>0.28082624077796936</v>
      </c>
      <c r="AS82" s="409">
        <v>0.37913602590560913</v>
      </c>
      <c r="AT82" s="409">
        <v>0.37995269894599915</v>
      </c>
      <c r="AU82" s="409">
        <v>0.33665412664413452</v>
      </c>
      <c r="AV82" s="409">
        <v>0.32308477163314819</v>
      </c>
      <c r="AW82" s="409">
        <v>0.35903522372245789</v>
      </c>
      <c r="AX82" s="409">
        <v>0.3430253267288208</v>
      </c>
      <c r="AY82" s="409">
        <v>0.36081746220588684</v>
      </c>
      <c r="AZ82" s="409">
        <v>0.41238537430763245</v>
      </c>
      <c r="BA82" s="409">
        <v>0.2777952253818512</v>
      </c>
      <c r="BB82" s="409">
        <v>0.25487649440765381</v>
      </c>
      <c r="BC82" s="409">
        <v>0.23094305396080017</v>
      </c>
      <c r="BD82" s="409">
        <v>0.22092865407466888</v>
      </c>
      <c r="BE82" s="409">
        <v>0.27973273396492004</v>
      </c>
      <c r="BF82" s="407">
        <v>0.26750048995018005</v>
      </c>
      <c r="BG82" s="407">
        <v>0.20456939935684204</v>
      </c>
      <c r="BH82" s="407">
        <v>0.27018371224403381</v>
      </c>
      <c r="BI82" s="407">
        <v>0.32018399238586426</v>
      </c>
      <c r="BJ82" s="407">
        <v>0.28755420446395874</v>
      </c>
      <c r="BK82" s="407">
        <v>0.28755420446395874</v>
      </c>
      <c r="BL82" s="407">
        <v>0.31516960263252258</v>
      </c>
    </row>
    <row r="83" spans="3:64" x14ac:dyDescent="0.2">
      <c r="C83" s="404" t="s">
        <v>389</v>
      </c>
      <c r="D83" s="407">
        <v>0.44431471824645996</v>
      </c>
      <c r="E83" s="407">
        <v>0.55579882860183716</v>
      </c>
      <c r="F83" s="407">
        <v>0.51249539852142334</v>
      </c>
      <c r="G83" s="407">
        <v>0.42325744032859802</v>
      </c>
      <c r="H83" s="407">
        <v>0.5162346363067627</v>
      </c>
      <c r="I83" s="407">
        <v>0.48931485414505005</v>
      </c>
      <c r="J83" s="407">
        <v>0.45392543077468872</v>
      </c>
      <c r="K83" s="407">
        <v>0.51699548959732056</v>
      </c>
      <c r="L83" s="407">
        <v>0.60713440179824829</v>
      </c>
      <c r="M83" s="407">
        <v>0.48818609118461609</v>
      </c>
      <c r="N83" s="407">
        <v>0.45152384042739868</v>
      </c>
      <c r="O83" s="407">
        <v>0.5809013843536377</v>
      </c>
      <c r="P83" s="407">
        <v>0.42581948637962341</v>
      </c>
      <c r="Q83" s="407">
        <v>0.54355770349502563</v>
      </c>
      <c r="R83" s="407">
        <v>0.4983447790145874</v>
      </c>
      <c r="S83" s="407">
        <v>0.47355455160140991</v>
      </c>
      <c r="T83" s="407">
        <v>0.49310740828514099</v>
      </c>
      <c r="U83" s="407">
        <v>0.45380976796150208</v>
      </c>
      <c r="V83" s="407">
        <v>0.50970792770385742</v>
      </c>
      <c r="W83" s="407">
        <v>0.38399732112884521</v>
      </c>
      <c r="X83" s="407">
        <v>0.52928668260574341</v>
      </c>
      <c r="Y83" s="407">
        <v>0.50982141494750977</v>
      </c>
      <c r="Z83" s="407">
        <v>0.46195659041404724</v>
      </c>
      <c r="AA83" s="407">
        <v>0.50319576263427734</v>
      </c>
      <c r="AB83" s="407">
        <v>0.4340822696685791</v>
      </c>
      <c r="AC83" s="407">
        <v>0.4340822696685791</v>
      </c>
      <c r="AD83" s="407">
        <v>0.44857624173164368</v>
      </c>
      <c r="AE83" s="38">
        <f>'User Add-in Location'!B89</f>
        <v>0</v>
      </c>
      <c r="AF83" s="38">
        <f>'User Add-in Location'!C89</f>
        <v>0</v>
      </c>
      <c r="AG83" s="407">
        <v>0.51536321640014648</v>
      </c>
      <c r="AH83" s="407">
        <v>0.59289628267288208</v>
      </c>
      <c r="AI83" s="407">
        <v>0.39290052652359009</v>
      </c>
      <c r="AJ83" s="407">
        <v>0.51941382884979248</v>
      </c>
      <c r="AK83" s="407">
        <v>0.49420040845870972</v>
      </c>
      <c r="AL83" s="407">
        <v>0.55071073770523071</v>
      </c>
      <c r="AM83" s="407">
        <v>0.43973138928413391</v>
      </c>
      <c r="AN83" s="409">
        <v>0.51137930154800415</v>
      </c>
      <c r="AO83" s="409">
        <v>0.47051805257797241</v>
      </c>
      <c r="AP83" s="409">
        <v>0.43126630783081055</v>
      </c>
      <c r="AQ83" s="409">
        <v>0.49871456623077393</v>
      </c>
      <c r="AR83" s="409">
        <v>0.49736765027046204</v>
      </c>
      <c r="AS83" s="409">
        <v>0.56058448553085327</v>
      </c>
      <c r="AT83" s="409">
        <v>0.55982929468154907</v>
      </c>
      <c r="AU83" s="409">
        <v>0.52133625745773315</v>
      </c>
      <c r="AV83" s="409">
        <v>0.50489950180053711</v>
      </c>
      <c r="AW83" s="409">
        <v>0.54413419961929321</v>
      </c>
      <c r="AX83" s="409">
        <v>0.53024756908416748</v>
      </c>
      <c r="AY83" s="409">
        <v>0.55209773778915405</v>
      </c>
      <c r="AZ83" s="409">
        <v>0.58469760417938232</v>
      </c>
      <c r="BA83" s="409">
        <v>0.49161848425865173</v>
      </c>
      <c r="BB83" s="409">
        <v>0.46228080987930298</v>
      </c>
      <c r="BC83" s="409">
        <v>0.43888023495674133</v>
      </c>
      <c r="BD83" s="409">
        <v>0.42441534996032715</v>
      </c>
      <c r="BE83" s="409">
        <v>0.49664217233657837</v>
      </c>
      <c r="BF83" s="407">
        <v>0.48047298192977905</v>
      </c>
      <c r="BG83" s="407">
        <v>0.39532333612442017</v>
      </c>
      <c r="BH83" s="407">
        <v>0.48409467935562134</v>
      </c>
      <c r="BI83" s="407">
        <v>0.54057443141937256</v>
      </c>
      <c r="BJ83" s="407">
        <v>0.51078510284423828</v>
      </c>
      <c r="BK83" s="407">
        <v>0.51078510284423828</v>
      </c>
      <c r="BL83" s="407">
        <v>0.54819571971893311</v>
      </c>
    </row>
    <row r="84" spans="3:64" x14ac:dyDescent="0.2">
      <c r="C84" s="404" t="s">
        <v>390</v>
      </c>
      <c r="D84" s="407">
        <v>0.23089171946048737</v>
      </c>
      <c r="E84" s="407">
        <v>0.2448142021894455</v>
      </c>
      <c r="F84" s="407">
        <v>0.25719976425170898</v>
      </c>
      <c r="G84" s="407">
        <v>0.22897288203239441</v>
      </c>
      <c r="H84" s="407">
        <v>0.20939637720584869</v>
      </c>
      <c r="I84" s="407">
        <v>0.2252965122461319</v>
      </c>
      <c r="J84" s="407">
        <v>0.17178003489971161</v>
      </c>
      <c r="K84" s="407">
        <v>0.26702740788459778</v>
      </c>
      <c r="L84" s="407">
        <v>0.33722710609436035</v>
      </c>
      <c r="M84" s="407">
        <v>0.25910842418670654</v>
      </c>
      <c r="N84" s="407">
        <v>0.22857153415679932</v>
      </c>
      <c r="O84" s="407">
        <v>0.29730063676834106</v>
      </c>
      <c r="P84" s="407">
        <v>0.22901804745197296</v>
      </c>
      <c r="Q84" s="407">
        <v>0.25024071335792542</v>
      </c>
      <c r="R84" s="407">
        <v>0.25043702125549316</v>
      </c>
      <c r="S84" s="407">
        <v>0.24113975465297699</v>
      </c>
      <c r="T84" s="407">
        <v>0.25260752439498901</v>
      </c>
      <c r="U84" s="407">
        <v>0.23539736866950989</v>
      </c>
      <c r="V84" s="407">
        <v>0.28632861375808716</v>
      </c>
      <c r="W84" s="407">
        <v>0.19506369531154633</v>
      </c>
      <c r="X84" s="407">
        <v>0.25264975428581238</v>
      </c>
      <c r="Y84" s="407">
        <v>0.22423118352890015</v>
      </c>
      <c r="Z84" s="407">
        <v>0.20782740414142609</v>
      </c>
      <c r="AA84" s="407">
        <v>0.24655695259571075</v>
      </c>
      <c r="AB84" s="407">
        <v>0.24658222496509552</v>
      </c>
      <c r="AC84" s="407">
        <v>0.24658222496509552</v>
      </c>
      <c r="AD84" s="407">
        <v>0.2307703047990799</v>
      </c>
      <c r="AE84" s="38">
        <f>'User Add-in Location'!B90</f>
        <v>0</v>
      </c>
      <c r="AF84" s="38">
        <f>'User Add-in Location'!C90</f>
        <v>0</v>
      </c>
      <c r="AG84" s="407">
        <v>0.2252487987279892</v>
      </c>
      <c r="AH84" s="407">
        <v>0.309681236743927</v>
      </c>
      <c r="AI84" s="407">
        <v>0.15708813071250916</v>
      </c>
      <c r="AJ84" s="407">
        <v>0.22119374573230743</v>
      </c>
      <c r="AK84" s="407">
        <v>0.28846734762191772</v>
      </c>
      <c r="AL84" s="407">
        <v>0.27685174345970154</v>
      </c>
      <c r="AM84" s="407">
        <v>0.24226124584674835</v>
      </c>
      <c r="AN84" s="409">
        <v>0.27389070391654968</v>
      </c>
      <c r="AO84" s="409">
        <v>0.23545028269290924</v>
      </c>
      <c r="AP84" s="409">
        <v>0.23383510112762451</v>
      </c>
      <c r="AQ84" s="409">
        <v>0.2560957670211792</v>
      </c>
      <c r="AR84" s="409">
        <v>0.22877499461174011</v>
      </c>
      <c r="AS84" s="409">
        <v>0.44063609838485718</v>
      </c>
      <c r="AT84" s="409">
        <v>0.44422328472137451</v>
      </c>
      <c r="AU84" s="409">
        <v>0.43554550409317017</v>
      </c>
      <c r="AV84" s="409">
        <v>0.4397890567779541</v>
      </c>
      <c r="AW84" s="409">
        <v>0.44009071588516235</v>
      </c>
      <c r="AX84" s="409">
        <v>0.43574613332748413</v>
      </c>
      <c r="AY84" s="409">
        <v>0.43283087015151978</v>
      </c>
      <c r="AZ84" s="409">
        <v>0.45177268981933594</v>
      </c>
      <c r="BA84" s="409">
        <v>0.23743815720081329</v>
      </c>
      <c r="BB84" s="409">
        <v>0.26487937569618225</v>
      </c>
      <c r="BC84" s="409">
        <v>0.23262150585651398</v>
      </c>
      <c r="BD84" s="409">
        <v>0.20207487046718597</v>
      </c>
      <c r="BE84" s="409">
        <v>0.24310453236103058</v>
      </c>
      <c r="BF84" s="407">
        <v>0.2546374499797821</v>
      </c>
      <c r="BG84" s="407">
        <v>0.19415876269340515</v>
      </c>
      <c r="BH84" s="407">
        <v>0.24173825979232788</v>
      </c>
      <c r="BI84" s="407">
        <v>0.26313593983650208</v>
      </c>
      <c r="BJ84" s="407">
        <v>0.26881670951843262</v>
      </c>
      <c r="BK84" s="407">
        <v>0.26881670951843262</v>
      </c>
      <c r="BL84" s="407">
        <v>0.29422840476036072</v>
      </c>
    </row>
    <row r="85" spans="3:64" x14ac:dyDescent="0.2">
      <c r="C85" s="404" t="s">
        <v>125</v>
      </c>
      <c r="D85" s="407">
        <v>0.13319253921508789</v>
      </c>
      <c r="E85" s="407">
        <v>8.3812981843948364E-2</v>
      </c>
      <c r="F85" s="407">
        <v>0.17202875018119812</v>
      </c>
      <c r="G85" s="407">
        <v>0.12302062660455704</v>
      </c>
      <c r="H85" s="407">
        <v>0.15724773705005646</v>
      </c>
      <c r="I85" s="407">
        <v>0.15565685927867889</v>
      </c>
      <c r="J85" s="407">
        <v>0.18410785496234894</v>
      </c>
      <c r="K85" s="407">
        <v>0.11454226821660995</v>
      </c>
      <c r="L85" s="407">
        <v>0.13525804877281189</v>
      </c>
      <c r="M85" s="407">
        <v>0.15473717451095581</v>
      </c>
      <c r="N85" s="407">
        <v>0.13816703855991364</v>
      </c>
      <c r="O85" s="407">
        <v>0.10461075603961945</v>
      </c>
      <c r="P85" s="407">
        <v>0.11583904922008514</v>
      </c>
      <c r="Q85" s="407">
        <v>0.14731530845165253</v>
      </c>
      <c r="R85" s="407">
        <v>0.14961183071136475</v>
      </c>
      <c r="S85" s="407">
        <v>0.13361546397209167</v>
      </c>
      <c r="T85" s="407">
        <v>0.11209738254547119</v>
      </c>
      <c r="U85" s="407">
        <v>0.13256095349788666</v>
      </c>
      <c r="V85" s="407">
        <v>6.925712525844574E-2</v>
      </c>
      <c r="W85" s="407">
        <v>0.14855304360389709</v>
      </c>
      <c r="X85" s="407">
        <v>0.17932190001010895</v>
      </c>
      <c r="Y85" s="407">
        <v>0.19722791016101837</v>
      </c>
      <c r="Z85" s="407">
        <v>0.1692347377538681</v>
      </c>
      <c r="AA85" s="407">
        <v>0.16892249882221222</v>
      </c>
      <c r="AB85" s="407">
        <v>0.10772748291492462</v>
      </c>
      <c r="AC85" s="407">
        <v>0.10772748291492462</v>
      </c>
      <c r="AD85" s="407">
        <v>6.8336226046085358E-2</v>
      </c>
      <c r="AE85" s="38">
        <f>'User Add-in Location'!B91</f>
        <v>0</v>
      </c>
      <c r="AF85" s="38">
        <f>'User Add-in Location'!C91</f>
        <v>0</v>
      </c>
      <c r="AG85" s="407">
        <v>0.11569935828447342</v>
      </c>
      <c r="AH85" s="407">
        <v>0.18855100870132446</v>
      </c>
      <c r="AI85" s="407">
        <v>0.19608384370803833</v>
      </c>
      <c r="AJ85" s="407">
        <v>0.14919693768024445</v>
      </c>
      <c r="AK85" s="407">
        <v>9.1630533337593079E-2</v>
      </c>
      <c r="AL85" s="407">
        <v>0.16290977597236633</v>
      </c>
      <c r="AM85" s="407">
        <v>0.14276415109634399</v>
      </c>
      <c r="AN85" s="409">
        <v>9.6286334097385406E-2</v>
      </c>
      <c r="AO85" s="409">
        <v>0.15135094523429871</v>
      </c>
      <c r="AP85" s="409">
        <v>0.10358706116676331</v>
      </c>
      <c r="AQ85" s="409">
        <v>0.16173024475574493</v>
      </c>
      <c r="AR85" s="409">
        <v>0.14007645845413208</v>
      </c>
      <c r="AS85" s="409">
        <v>0.1931881457567215</v>
      </c>
      <c r="AT85" s="409">
        <v>0.15843939781188965</v>
      </c>
      <c r="AU85" s="409">
        <v>0.15894818305969238</v>
      </c>
      <c r="AV85" s="409">
        <v>0.1502697765827179</v>
      </c>
      <c r="AW85" s="409">
        <v>0.1652580201625824</v>
      </c>
      <c r="AX85" s="409">
        <v>0.11853262037038803</v>
      </c>
      <c r="AY85" s="409">
        <v>0.14730630815029144</v>
      </c>
      <c r="AZ85" s="409">
        <v>0.16751326620578766</v>
      </c>
      <c r="BA85" s="409">
        <v>0.16794788837432861</v>
      </c>
      <c r="BB85" s="409">
        <v>0.14629712700843811</v>
      </c>
      <c r="BC85" s="409">
        <v>0.12936832010746002</v>
      </c>
      <c r="BD85" s="409">
        <v>0.14701397716999054</v>
      </c>
      <c r="BE85" s="409">
        <v>9.6817426383495331E-2</v>
      </c>
      <c r="BF85" s="407">
        <v>0.12758354842662811</v>
      </c>
      <c r="BG85" s="407">
        <v>0.15368357300758362</v>
      </c>
      <c r="BH85" s="407">
        <v>0.15011705458164215</v>
      </c>
      <c r="BI85" s="407">
        <v>0.14290204644203186</v>
      </c>
      <c r="BJ85" s="407">
        <v>0.10963578522205353</v>
      </c>
      <c r="BK85" s="407">
        <v>0.10963578522205353</v>
      </c>
      <c r="BL85" s="407">
        <v>4.9196694046258926E-2</v>
      </c>
    </row>
    <row r="86" spans="3:64" x14ac:dyDescent="0.2">
      <c r="C86" s="404" t="s">
        <v>126</v>
      </c>
      <c r="D86" s="407">
        <v>0.18610033392906189</v>
      </c>
      <c r="E86" s="407">
        <v>0.13969729840755463</v>
      </c>
      <c r="F86" s="407">
        <v>0.17448852956295013</v>
      </c>
      <c r="G86" s="407">
        <v>0.18999181687831879</v>
      </c>
      <c r="H86" s="407">
        <v>0.19737137854099274</v>
      </c>
      <c r="I86" s="407">
        <v>0.18774399161338806</v>
      </c>
      <c r="J86" s="407">
        <v>0.20467053353786469</v>
      </c>
      <c r="K86" s="407">
        <v>0.20795634388923645</v>
      </c>
      <c r="L86" s="407">
        <v>0.18885456025600433</v>
      </c>
      <c r="M86" s="407">
        <v>0.17443922162055969</v>
      </c>
      <c r="N86" s="407">
        <v>0.17136704921722412</v>
      </c>
      <c r="O86" s="407">
        <v>0.17566820979118347</v>
      </c>
      <c r="P86" s="407">
        <v>0.16896790266036987</v>
      </c>
      <c r="Q86" s="407">
        <v>0.1952558308839798</v>
      </c>
      <c r="R86" s="407">
        <v>0.18411518633365631</v>
      </c>
      <c r="S86" s="407">
        <v>0.18416540324687958</v>
      </c>
      <c r="T86" s="407">
        <v>0.17525216937065125</v>
      </c>
      <c r="U86" s="407">
        <v>0.17208161950111389</v>
      </c>
      <c r="V86" s="407">
        <v>0.19831489026546478</v>
      </c>
      <c r="W86" s="407">
        <v>0.17969940602779388</v>
      </c>
      <c r="X86" s="407">
        <v>0.1932864636182785</v>
      </c>
      <c r="Y86" s="407">
        <v>0.20989136397838593</v>
      </c>
      <c r="Z86" s="407">
        <v>0.19229830801486969</v>
      </c>
      <c r="AA86" s="407">
        <v>0.20088590681552887</v>
      </c>
      <c r="AB86" s="407">
        <v>0.17508789896965027</v>
      </c>
      <c r="AC86" s="407">
        <v>0.17508789896965027</v>
      </c>
      <c r="AD86" s="407">
        <v>0.17050687968730927</v>
      </c>
      <c r="AE86" s="38">
        <f>'User Add-in Location'!B92</f>
        <v>0</v>
      </c>
      <c r="AF86" s="38">
        <f>'User Add-in Location'!C92</f>
        <v>0</v>
      </c>
      <c r="AG86" s="407">
        <v>0.18924111127853394</v>
      </c>
      <c r="AH86" s="407">
        <v>0.19545549154281616</v>
      </c>
      <c r="AI86" s="407">
        <v>0.19722014665603638</v>
      </c>
      <c r="AJ86" s="407">
        <v>0.21425168216228485</v>
      </c>
      <c r="AK86" s="407">
        <v>0.14229007065296173</v>
      </c>
      <c r="AL86" s="407">
        <v>0.20473778247833252</v>
      </c>
      <c r="AM86" s="407">
        <v>0.18487493693828583</v>
      </c>
      <c r="AN86" s="409">
        <v>0.19360297918319702</v>
      </c>
      <c r="AO86" s="409">
        <v>0.18890590965747833</v>
      </c>
      <c r="AP86" s="409">
        <v>0.19774331152439117</v>
      </c>
      <c r="AQ86" s="409">
        <v>0.18301533162593842</v>
      </c>
      <c r="AR86" s="409">
        <v>0.19806383550167084</v>
      </c>
      <c r="AS86" s="409">
        <v>0.2072908878326416</v>
      </c>
      <c r="AT86" s="409">
        <v>0.20611572265625</v>
      </c>
      <c r="AU86" s="409">
        <v>0.20181749761104584</v>
      </c>
      <c r="AV86" s="409">
        <v>0.18913984298706055</v>
      </c>
      <c r="AW86" s="409">
        <v>0.20001994073390961</v>
      </c>
      <c r="AX86" s="409">
        <v>0.210841104388237</v>
      </c>
      <c r="AY86" s="409">
        <v>0.1914975494146347</v>
      </c>
      <c r="AZ86" s="409">
        <v>0.20432448387145996</v>
      </c>
      <c r="BA86" s="409">
        <v>0.18735398352146149</v>
      </c>
      <c r="BB86" s="409">
        <v>0.19662119448184967</v>
      </c>
      <c r="BC86" s="409">
        <v>0.1888892650604248</v>
      </c>
      <c r="BD86" s="409">
        <v>0.20559906959533691</v>
      </c>
      <c r="BE86" s="409">
        <v>0.20234192907810211</v>
      </c>
      <c r="BF86" s="407">
        <v>0.18585857748985291</v>
      </c>
      <c r="BG86" s="407">
        <v>0.18859677016735077</v>
      </c>
      <c r="BH86" s="407">
        <v>0.21395230293273926</v>
      </c>
      <c r="BI86" s="407">
        <v>0.19528454542160034</v>
      </c>
      <c r="BJ86" s="407">
        <v>0.17945708334445953</v>
      </c>
      <c r="BK86" s="407">
        <v>0.17945708334445953</v>
      </c>
      <c r="BL86" s="407">
        <v>0.16795416176319122</v>
      </c>
    </row>
    <row r="87" spans="3:64" x14ac:dyDescent="0.2">
      <c r="C87" s="404" t="s">
        <v>127</v>
      </c>
      <c r="D87" s="407">
        <v>0.18072710931301117</v>
      </c>
      <c r="E87" s="407">
        <v>0.10578091442584991</v>
      </c>
      <c r="F87" s="407">
        <v>0.16930754482746124</v>
      </c>
      <c r="G87" s="407">
        <v>0.1826256662607193</v>
      </c>
      <c r="H87" s="407">
        <v>0.21298448741436005</v>
      </c>
      <c r="I87" s="407">
        <v>0.1949629932641983</v>
      </c>
      <c r="J87" s="407">
        <v>0.18797609210014343</v>
      </c>
      <c r="K87" s="407">
        <v>0.20627537369728088</v>
      </c>
      <c r="L87" s="407">
        <v>9.7230561077594757E-2</v>
      </c>
      <c r="M87" s="407">
        <v>0.19538719952106476</v>
      </c>
      <c r="N87" s="407">
        <v>0.22277110815048218</v>
      </c>
      <c r="O87" s="407">
        <v>0</v>
      </c>
      <c r="P87" s="407">
        <v>0.20138128101825714</v>
      </c>
      <c r="Q87" s="407">
        <v>0.22676973044872284</v>
      </c>
      <c r="R87" s="407">
        <v>0.21615637838840485</v>
      </c>
      <c r="S87" s="407">
        <v>0.17939262092113495</v>
      </c>
      <c r="T87" s="407">
        <v>0.20318901538848877</v>
      </c>
      <c r="U87" s="407">
        <v>0.19720755517482758</v>
      </c>
      <c r="V87" s="407">
        <v>0.21287801861763</v>
      </c>
      <c r="W87" s="407">
        <v>0.17706100642681122</v>
      </c>
      <c r="X87" s="407">
        <v>0.25786346197128296</v>
      </c>
      <c r="Y87" s="407">
        <v>0.23948091268539429</v>
      </c>
      <c r="Z87" s="407">
        <v>0.25099208950996399</v>
      </c>
      <c r="AA87" s="407">
        <v>0.25694504380226135</v>
      </c>
      <c r="AB87" s="407">
        <v>0.20076967775821686</v>
      </c>
      <c r="AC87" s="407">
        <v>0.20076967775821686</v>
      </c>
      <c r="AD87" s="407">
        <v>0.1778886616230011</v>
      </c>
      <c r="AE87" s="38">
        <f>'User Add-in Location'!B93</f>
        <v>0</v>
      </c>
      <c r="AF87" s="38">
        <f>'User Add-in Location'!C93</f>
        <v>0</v>
      </c>
      <c r="AG87" s="407">
        <v>0.17778873443603516</v>
      </c>
      <c r="AH87" s="407">
        <v>0.17116229236125946</v>
      </c>
      <c r="AI87" s="407">
        <v>0.29695650935173035</v>
      </c>
      <c r="AJ87" s="407">
        <v>0.26431950926780701</v>
      </c>
      <c r="AK87" s="407">
        <v>0.19908662140369415</v>
      </c>
      <c r="AL87" s="407">
        <v>0.21730446815490723</v>
      </c>
      <c r="AM87" s="407">
        <v>0.19629478454589844</v>
      </c>
      <c r="AN87" s="409">
        <v>0.1019698828458786</v>
      </c>
      <c r="AO87" s="409">
        <v>0.23210906982421875</v>
      </c>
      <c r="AP87" s="409">
        <v>0.23359876871109009</v>
      </c>
      <c r="AQ87" s="409">
        <v>0.23122578859329224</v>
      </c>
      <c r="AR87" s="409">
        <v>0.21432496607303619</v>
      </c>
      <c r="AS87" s="409">
        <v>0.22550839185714722</v>
      </c>
      <c r="AT87" s="409">
        <v>0.23606576025485992</v>
      </c>
      <c r="AU87" s="409">
        <v>0.21336187422275543</v>
      </c>
      <c r="AV87" s="409">
        <v>0.21144254505634308</v>
      </c>
      <c r="AW87" s="409">
        <v>0.23818229138851166</v>
      </c>
      <c r="AX87" s="409">
        <v>0.22618007659912109</v>
      </c>
      <c r="AY87" s="409">
        <v>0.20363447070121765</v>
      </c>
      <c r="AZ87" s="409">
        <v>0.21780523657798767</v>
      </c>
      <c r="BA87" s="409">
        <v>0.23850411176681519</v>
      </c>
      <c r="BB87" s="409">
        <v>0.20004960894584656</v>
      </c>
      <c r="BC87" s="409">
        <v>0.13776035606861115</v>
      </c>
      <c r="BD87" s="409">
        <v>0.21103863418102264</v>
      </c>
      <c r="BE87" s="409">
        <v>0.21533487737178802</v>
      </c>
      <c r="BF87" s="407">
        <v>0.19208773970603943</v>
      </c>
      <c r="BG87" s="407">
        <v>0.23238447308540344</v>
      </c>
      <c r="BH87" s="407">
        <v>0.22352717816829681</v>
      </c>
      <c r="BI87" s="407">
        <v>0.24736684560775757</v>
      </c>
      <c r="BJ87" s="407">
        <v>0.12566716969013214</v>
      </c>
      <c r="BK87" s="407">
        <v>0.12566716969013214</v>
      </c>
      <c r="BL87" s="407">
        <v>0.15518204867839813</v>
      </c>
    </row>
    <row r="88" spans="3:64" x14ac:dyDescent="0.2">
      <c r="C88" s="404" t="s">
        <v>391</v>
      </c>
      <c r="D88" s="407">
        <v>0.18807180225849152</v>
      </c>
      <c r="E88" s="407">
        <v>0.15269054472446442</v>
      </c>
      <c r="F88" s="407">
        <v>0.18645299971103668</v>
      </c>
      <c r="G88" s="407">
        <v>0.16449116170406342</v>
      </c>
      <c r="H88" s="407">
        <v>0.20975500345230103</v>
      </c>
      <c r="I88" s="407">
        <v>0.19214360415935516</v>
      </c>
      <c r="J88" s="407">
        <v>0.27976125478744507</v>
      </c>
      <c r="K88" s="407">
        <v>0.25268182158470154</v>
      </c>
      <c r="L88" s="407">
        <v>0</v>
      </c>
      <c r="M88" s="407">
        <v>0.18827484548091888</v>
      </c>
      <c r="N88" s="407">
        <v>0.21118439733982086</v>
      </c>
      <c r="O88" s="407">
        <v>0</v>
      </c>
      <c r="P88" s="407">
        <v>0.17193955183029175</v>
      </c>
      <c r="Q88" s="407">
        <v>0.21201515197753906</v>
      </c>
      <c r="R88" s="407">
        <v>0.18194235861301422</v>
      </c>
      <c r="S88" s="407">
        <v>0.19957531988620758</v>
      </c>
      <c r="T88" s="407">
        <v>0.17493085563182831</v>
      </c>
      <c r="U88" s="407">
        <v>0.1837083101272583</v>
      </c>
      <c r="V88" s="407">
        <v>0.18141087889671326</v>
      </c>
      <c r="W88" s="407">
        <v>0.20362775027751923</v>
      </c>
      <c r="X88" s="407">
        <v>0.197657510638237</v>
      </c>
      <c r="Y88" s="407">
        <v>0.22245828807353973</v>
      </c>
      <c r="Z88" s="407">
        <v>0.21181498467922211</v>
      </c>
      <c r="AA88" s="407">
        <v>0.204908087849617</v>
      </c>
      <c r="AB88" s="407">
        <v>0.15173627436161041</v>
      </c>
      <c r="AC88" s="407">
        <v>0.15173627436161041</v>
      </c>
      <c r="AD88" s="407">
        <v>0.21363894641399384</v>
      </c>
      <c r="AE88" s="38">
        <f>'User Add-in Location'!B94</f>
        <v>0</v>
      </c>
      <c r="AF88" s="38">
        <f>'User Add-in Location'!C94</f>
        <v>0</v>
      </c>
      <c r="AG88" s="407">
        <v>0.18660292029380798</v>
      </c>
      <c r="AH88" s="407">
        <v>0.26168882846832275</v>
      </c>
      <c r="AI88" s="407">
        <v>0.20759563148021698</v>
      </c>
      <c r="AJ88" s="407">
        <v>0.21746869385242462</v>
      </c>
      <c r="AK88" s="407">
        <v>0.14689844846725464</v>
      </c>
      <c r="AL88" s="407">
        <v>0.22573183476924896</v>
      </c>
      <c r="AM88" s="407">
        <v>0.20977187156677246</v>
      </c>
      <c r="AN88" s="409">
        <v>0.11705035716295242</v>
      </c>
      <c r="AO88" s="409">
        <v>0.20686644315719604</v>
      </c>
      <c r="AP88" s="409">
        <v>0.18495175242424011</v>
      </c>
      <c r="AQ88" s="409">
        <v>0.20198391377925873</v>
      </c>
      <c r="AR88" s="409">
        <v>0.2213219553232193</v>
      </c>
      <c r="AS88" s="409">
        <v>0.24788676202297211</v>
      </c>
      <c r="AT88" s="409">
        <v>0.22102737426757813</v>
      </c>
      <c r="AU88" s="409">
        <v>0.20204198360443115</v>
      </c>
      <c r="AV88" s="409">
        <v>0.19015330076217651</v>
      </c>
      <c r="AW88" s="409">
        <v>0.2110699862241745</v>
      </c>
      <c r="AX88" s="409">
        <v>0.19681791961193085</v>
      </c>
      <c r="AY88" s="409">
        <v>0.20479792356491089</v>
      </c>
      <c r="AZ88" s="409">
        <v>0.2135433554649353</v>
      </c>
      <c r="BA88" s="409">
        <v>0.23408272862434387</v>
      </c>
      <c r="BB88" s="409">
        <v>0.19723072648048401</v>
      </c>
      <c r="BC88" s="409">
        <v>0.14533014595508575</v>
      </c>
      <c r="BD88" s="409">
        <v>0.19248735904693604</v>
      </c>
      <c r="BE88" s="409">
        <v>0.20253224670886993</v>
      </c>
      <c r="BF88" s="407">
        <v>0.2389075756072998</v>
      </c>
      <c r="BG88" s="407">
        <v>0.20880281925201416</v>
      </c>
      <c r="BH88" s="407">
        <v>0.18398900330066681</v>
      </c>
      <c r="BI88" s="407">
        <v>0.22408811748027802</v>
      </c>
      <c r="BJ88" s="407">
        <v>0.1915021687746048</v>
      </c>
      <c r="BK88" s="407">
        <v>0.1915021687746048</v>
      </c>
      <c r="BL88" s="407">
        <v>0.20688426494598389</v>
      </c>
    </row>
    <row r="89" spans="3:64" x14ac:dyDescent="0.2">
      <c r="C89" s="404" t="s">
        <v>392</v>
      </c>
      <c r="D89" s="407">
        <v>0</v>
      </c>
      <c r="E89" s="407">
        <v>0</v>
      </c>
      <c r="F89" s="407">
        <v>0.16601155698299408</v>
      </c>
      <c r="G89" s="407">
        <v>0.20075424015522003</v>
      </c>
      <c r="H89" s="407">
        <v>0.19314625859260559</v>
      </c>
      <c r="I89" s="407">
        <v>0.17109882831573486</v>
      </c>
      <c r="J89" s="407">
        <v>0.20377013087272644</v>
      </c>
      <c r="K89" s="407">
        <v>0.27155831456184387</v>
      </c>
      <c r="L89" s="407">
        <v>0</v>
      </c>
      <c r="M89" s="407">
        <v>0.22285979986190796</v>
      </c>
      <c r="N89" s="407">
        <v>0.25004181265830994</v>
      </c>
      <c r="O89" s="407">
        <v>0</v>
      </c>
      <c r="P89" s="407">
        <v>0</v>
      </c>
      <c r="Q89" s="407">
        <v>0.22179414331912994</v>
      </c>
      <c r="R89" s="407">
        <v>0.18549676239490509</v>
      </c>
      <c r="S89" s="407">
        <v>0.18362969160079956</v>
      </c>
      <c r="T89" s="407">
        <v>0.16994443535804749</v>
      </c>
      <c r="U89" s="407">
        <v>0.15877686440944672</v>
      </c>
      <c r="V89" s="407">
        <v>0</v>
      </c>
      <c r="W89" s="407">
        <v>0</v>
      </c>
      <c r="X89" s="407">
        <v>0.32055869698524475</v>
      </c>
      <c r="Y89" s="407">
        <v>0</v>
      </c>
      <c r="Z89" s="407">
        <v>0.24757009744644165</v>
      </c>
      <c r="AA89" s="407">
        <v>0.2229253351688385</v>
      </c>
      <c r="AB89" s="407">
        <v>0.1737581193447113</v>
      </c>
      <c r="AC89" s="407">
        <v>0.1737581193447113</v>
      </c>
      <c r="AD89" s="407">
        <v>0</v>
      </c>
      <c r="AE89" s="38">
        <f>'User Add-in Location'!B95</f>
        <v>0</v>
      </c>
      <c r="AF89" s="38">
        <f>'User Add-in Location'!C95</f>
        <v>0</v>
      </c>
      <c r="AG89" s="407">
        <v>0</v>
      </c>
      <c r="AH89" s="407">
        <v>0</v>
      </c>
      <c r="AI89" s="407">
        <v>0</v>
      </c>
      <c r="AJ89" s="407">
        <v>0.22648699581623077</v>
      </c>
      <c r="AK89" s="407">
        <v>0</v>
      </c>
      <c r="AL89" s="407">
        <v>0.17740422487258911</v>
      </c>
      <c r="AM89" s="407">
        <v>0.18979166448116302</v>
      </c>
      <c r="AN89" s="409">
        <v>0</v>
      </c>
      <c r="AO89" s="409">
        <v>0.1908441036939621</v>
      </c>
      <c r="AP89" s="409">
        <v>0.1487388014793396</v>
      </c>
      <c r="AQ89" s="409">
        <v>0.18241223692893982</v>
      </c>
      <c r="AR89" s="409">
        <v>0.18842045962810516</v>
      </c>
      <c r="AS89" s="409">
        <v>0.20049481093883514</v>
      </c>
      <c r="AT89" s="409">
        <v>0.22512848675251007</v>
      </c>
      <c r="AU89" s="409">
        <v>0.19238334894180298</v>
      </c>
      <c r="AV89" s="409">
        <v>0.2285085916519165</v>
      </c>
      <c r="AW89" s="409">
        <v>0.20426155626773834</v>
      </c>
      <c r="AX89" s="409">
        <v>0.1828337162733078</v>
      </c>
      <c r="AY89" s="409">
        <v>0.17210164666175842</v>
      </c>
      <c r="AZ89" s="409">
        <v>0.19919885694980621</v>
      </c>
      <c r="BA89" s="409">
        <v>0.20977762341499329</v>
      </c>
      <c r="BB89" s="409">
        <v>0.19219358265399933</v>
      </c>
      <c r="BC89" s="409">
        <v>0</v>
      </c>
      <c r="BD89" s="409">
        <v>0.18070295453071594</v>
      </c>
      <c r="BE89" s="409">
        <v>0.20309442281723022</v>
      </c>
      <c r="BF89" s="407">
        <v>0.15474013984203339</v>
      </c>
      <c r="BG89" s="407">
        <v>0</v>
      </c>
      <c r="BH89" s="407">
        <v>0</v>
      </c>
      <c r="BI89" s="407">
        <v>0.16200849413871765</v>
      </c>
      <c r="BJ89" s="407">
        <v>0.20943820476531982</v>
      </c>
      <c r="BK89" s="407">
        <v>0.20943820476531982</v>
      </c>
      <c r="BL89" s="407">
        <v>0</v>
      </c>
    </row>
    <row r="90" spans="3:64" x14ac:dyDescent="0.2">
      <c r="C90" s="404" t="s">
        <v>393</v>
      </c>
      <c r="D90" s="407">
        <v>0.10848888754844666</v>
      </c>
      <c r="E90" s="407">
        <v>0</v>
      </c>
      <c r="F90" s="407">
        <v>0.14238418638706207</v>
      </c>
      <c r="G90" s="407">
        <v>0.13714620471000671</v>
      </c>
      <c r="H90" s="407">
        <v>0.14698027074337006</v>
      </c>
      <c r="I90" s="407">
        <v>9.9516883492469788E-2</v>
      </c>
      <c r="J90" s="407">
        <v>0.13348193466663361</v>
      </c>
      <c r="K90" s="407">
        <v>0.18714459240436554</v>
      </c>
      <c r="L90" s="407">
        <v>0.13585862517356873</v>
      </c>
      <c r="M90" s="407">
        <v>0.10367995500564575</v>
      </c>
      <c r="N90" s="407">
        <v>0.12577556073665619</v>
      </c>
      <c r="O90" s="407">
        <v>0</v>
      </c>
      <c r="P90" s="407">
        <v>0.11150609701871872</v>
      </c>
      <c r="Q90" s="407">
        <v>0.14052842557430267</v>
      </c>
      <c r="R90" s="407">
        <v>0.12482538819313049</v>
      </c>
      <c r="S90" s="407">
        <v>0.11960252374410629</v>
      </c>
      <c r="T90" s="407">
        <v>0</v>
      </c>
      <c r="U90" s="407">
        <v>0.10747399926185608</v>
      </c>
      <c r="V90" s="407">
        <v>0</v>
      </c>
      <c r="W90" s="407">
        <v>0.10782685875892639</v>
      </c>
      <c r="X90" s="407">
        <v>0.16127793490886688</v>
      </c>
      <c r="Y90" s="407">
        <v>0.13316980004310608</v>
      </c>
      <c r="Z90" s="407">
        <v>0.15179245173931122</v>
      </c>
      <c r="AA90" s="407">
        <v>0.12066030502319336</v>
      </c>
      <c r="AB90" s="407">
        <v>0.11857398599386215</v>
      </c>
      <c r="AC90" s="407">
        <v>0.11857398599386215</v>
      </c>
      <c r="AD90" s="407">
        <v>0.11102373898029327</v>
      </c>
      <c r="AE90" s="38">
        <f>'User Add-in Location'!B96</f>
        <v>0</v>
      </c>
      <c r="AF90" s="38">
        <f>'User Add-in Location'!C96</f>
        <v>0</v>
      </c>
      <c r="AG90" s="407">
        <v>0.12728026509284973</v>
      </c>
      <c r="AH90" s="407">
        <v>0.11865245550870895</v>
      </c>
      <c r="AI90" s="407">
        <v>0.12819360196590424</v>
      </c>
      <c r="AJ90" s="407">
        <v>0.14544372260570526</v>
      </c>
      <c r="AK90" s="407">
        <v>9.1211050748825073E-2</v>
      </c>
      <c r="AL90" s="407">
        <v>0.11720550060272217</v>
      </c>
      <c r="AM90" s="407">
        <v>0.12794232368469238</v>
      </c>
      <c r="AN90" s="409">
        <v>6.2808804214000702E-2</v>
      </c>
      <c r="AO90" s="409">
        <v>0.10475630313158035</v>
      </c>
      <c r="AP90" s="409">
        <v>0.10254652053117752</v>
      </c>
      <c r="AQ90" s="409">
        <v>0.12610167264938354</v>
      </c>
      <c r="AR90" s="409">
        <v>0.14257213473320007</v>
      </c>
      <c r="AS90" s="409">
        <v>0.13214625418186188</v>
      </c>
      <c r="AT90" s="409">
        <v>0.14565069973468781</v>
      </c>
      <c r="AU90" s="409">
        <v>0.13125357031822205</v>
      </c>
      <c r="AV90" s="409">
        <v>0.11373996734619141</v>
      </c>
      <c r="AW90" s="409">
        <v>0.13284388184547424</v>
      </c>
      <c r="AX90" s="409">
        <v>0.1509365439414978</v>
      </c>
      <c r="AY90" s="409">
        <v>0.11737298220396042</v>
      </c>
      <c r="AZ90" s="409">
        <v>0.14957544207572937</v>
      </c>
      <c r="BA90" s="409">
        <v>0.13713444769382477</v>
      </c>
      <c r="BB90" s="409">
        <v>0.14041608572006226</v>
      </c>
      <c r="BC90" s="409">
        <v>0</v>
      </c>
      <c r="BD90" s="409">
        <v>9.6190981566905975E-2</v>
      </c>
      <c r="BE90" s="409">
        <v>0.15604224801063538</v>
      </c>
      <c r="BF90" s="407">
        <v>0.10530312359333038</v>
      </c>
      <c r="BG90" s="407">
        <v>0.11931413412094116</v>
      </c>
      <c r="BH90" s="407">
        <v>0.11741801351308823</v>
      </c>
      <c r="BI90" s="407">
        <v>0.11114782094955444</v>
      </c>
      <c r="BJ90" s="407">
        <v>0</v>
      </c>
      <c r="BK90" s="407">
        <v>0</v>
      </c>
      <c r="BL90" s="407">
        <v>9.1089516878128052E-2</v>
      </c>
    </row>
    <row r="91" spans="3:64" x14ac:dyDescent="0.2">
      <c r="C91" s="404" t="s">
        <v>57</v>
      </c>
      <c r="D91" s="407">
        <v>0.34352552890777588</v>
      </c>
      <c r="E91" s="407">
        <v>0.3325941264629364</v>
      </c>
      <c r="F91" s="407">
        <v>0.35175570845603943</v>
      </c>
      <c r="G91" s="407">
        <v>0.35307422280311584</v>
      </c>
      <c r="H91" s="407">
        <v>0.34243497252464294</v>
      </c>
      <c r="I91" s="407">
        <v>0.35843974351882935</v>
      </c>
      <c r="J91" s="407">
        <v>0.3598058819770813</v>
      </c>
      <c r="K91" s="407">
        <v>0.35611659288406372</v>
      </c>
      <c r="L91" s="407">
        <v>0.37318935990333557</v>
      </c>
      <c r="M91" s="407">
        <v>0.34999328851699829</v>
      </c>
      <c r="N91" s="407">
        <v>0.35605764389038086</v>
      </c>
      <c r="O91" s="407">
        <v>0.33312812447547913</v>
      </c>
      <c r="P91" s="407">
        <v>0.3385598361492157</v>
      </c>
      <c r="Q91" s="407">
        <v>0.35832539200782776</v>
      </c>
      <c r="R91" s="407">
        <v>0.35040649771690369</v>
      </c>
      <c r="S91" s="407">
        <v>0.33926528692245483</v>
      </c>
      <c r="T91" s="407">
        <v>0.34508389234542847</v>
      </c>
      <c r="U91" s="407">
        <v>0.33673626184463501</v>
      </c>
      <c r="V91" s="407">
        <v>0.34377044439315796</v>
      </c>
      <c r="W91" s="407">
        <v>0.34854972362518311</v>
      </c>
      <c r="X91" s="407">
        <v>0.35127678513526917</v>
      </c>
      <c r="Y91" s="407">
        <v>0.36248639225959778</v>
      </c>
      <c r="Z91" s="407">
        <v>0.35388427972793579</v>
      </c>
      <c r="AA91" s="407">
        <v>0.35581311583518982</v>
      </c>
      <c r="AB91" s="407">
        <v>0.3257712721824646</v>
      </c>
      <c r="AC91" s="407">
        <v>0.3257712721824646</v>
      </c>
      <c r="AD91" s="407">
        <v>0.339864581823349</v>
      </c>
      <c r="AE91" s="38">
        <f>'User Add-in Location'!B97</f>
        <v>0</v>
      </c>
      <c r="AF91" s="38">
        <f>'User Add-in Location'!C97</f>
        <v>0</v>
      </c>
      <c r="AG91" s="407">
        <v>0.32797732949256897</v>
      </c>
      <c r="AH91" s="407">
        <v>0.34789112210273743</v>
      </c>
      <c r="AI91" s="407">
        <v>0.3611806333065033</v>
      </c>
      <c r="AJ91" s="407">
        <v>0.35177454352378845</v>
      </c>
      <c r="AK91" s="407">
        <v>0.33281487226486206</v>
      </c>
      <c r="AL91" s="407">
        <v>0.35090428590774536</v>
      </c>
      <c r="AM91" s="407">
        <v>0.35770824551582336</v>
      </c>
      <c r="AN91" s="409">
        <v>0.3393770158290863</v>
      </c>
      <c r="AO91" s="409">
        <v>0.35485118627548218</v>
      </c>
      <c r="AP91" s="409">
        <v>0.34227794408798218</v>
      </c>
      <c r="AQ91" s="409">
        <v>0.3518526554107666</v>
      </c>
      <c r="AR91" s="409">
        <v>0.35290473699569702</v>
      </c>
      <c r="AS91" s="409">
        <v>0.38320174813270569</v>
      </c>
      <c r="AT91" s="409">
        <v>0.38199058175086975</v>
      </c>
      <c r="AU91" s="409">
        <v>0.37868064641952515</v>
      </c>
      <c r="AV91" s="409">
        <v>0.37655919790267944</v>
      </c>
      <c r="AW91" s="409">
        <v>0.37999123334884644</v>
      </c>
      <c r="AX91" s="409">
        <v>0.3791465163230896</v>
      </c>
      <c r="AY91" s="409">
        <v>0.37718826532363892</v>
      </c>
      <c r="AZ91" s="409">
        <v>0.38133040070533752</v>
      </c>
      <c r="BA91" s="409">
        <v>0.33432266116142273</v>
      </c>
      <c r="BB91" s="409">
        <v>0.35241162776947021</v>
      </c>
      <c r="BC91" s="409">
        <v>0.32760092616081238</v>
      </c>
      <c r="BD91" s="409">
        <v>0.34688165783882141</v>
      </c>
      <c r="BE91" s="409">
        <v>0.3447730541229248</v>
      </c>
      <c r="BF91" s="407">
        <v>0.35311409831047058</v>
      </c>
      <c r="BG91" s="407">
        <v>0.3465304970741272</v>
      </c>
      <c r="BH91" s="407">
        <v>0.36319991946220398</v>
      </c>
      <c r="BI91" s="407">
        <v>0.34994879364967346</v>
      </c>
      <c r="BJ91" s="407">
        <v>0.35293543338775635</v>
      </c>
      <c r="BK91" s="407">
        <v>0.35293543338775635</v>
      </c>
      <c r="BL91" s="407">
        <v>0.33536836504936218</v>
      </c>
    </row>
    <row r="92" spans="3:64" x14ac:dyDescent="0.2">
      <c r="C92" s="404" t="s">
        <v>394</v>
      </c>
      <c r="D92" s="407">
        <v>0.38429456949234009</v>
      </c>
      <c r="E92" s="407">
        <v>0.37881666421890259</v>
      </c>
      <c r="F92" s="407">
        <v>0.38076981902122498</v>
      </c>
      <c r="G92" s="407">
        <v>0.37943443655967712</v>
      </c>
      <c r="H92" s="407">
        <v>0.36271190643310547</v>
      </c>
      <c r="I92" s="407">
        <v>0.38549193739891052</v>
      </c>
      <c r="J92" s="407">
        <v>0.34406667947769165</v>
      </c>
      <c r="K92" s="407">
        <v>0.39990079402923584</v>
      </c>
      <c r="L92" s="407">
        <v>0.38304027915000916</v>
      </c>
      <c r="M92" s="407">
        <v>0.4044991135597229</v>
      </c>
      <c r="N92" s="407">
        <v>0.39313784241676331</v>
      </c>
      <c r="O92" s="407">
        <v>0.38309186697006226</v>
      </c>
      <c r="P92" s="407">
        <v>0.36685216426849365</v>
      </c>
      <c r="Q92" s="407">
        <v>0.3942253589630127</v>
      </c>
      <c r="R92" s="407">
        <v>0.37999656796455383</v>
      </c>
      <c r="S92" s="407">
        <v>0.37083408236503601</v>
      </c>
      <c r="T92" s="407">
        <v>0.37711253762245178</v>
      </c>
      <c r="U92" s="407">
        <v>0.37944597005844116</v>
      </c>
      <c r="V92" s="407">
        <v>0.38716262578964233</v>
      </c>
      <c r="W92" s="407">
        <v>0.35197514295578003</v>
      </c>
      <c r="X92" s="407">
        <v>0.40473756194114685</v>
      </c>
      <c r="Y92" s="407">
        <v>0.3805256187915802</v>
      </c>
      <c r="Z92" s="407">
        <v>0.39772215485572815</v>
      </c>
      <c r="AA92" s="407">
        <v>0.36897909641265869</v>
      </c>
      <c r="AB92" s="407">
        <v>0.36948999762535095</v>
      </c>
      <c r="AC92" s="407">
        <v>0.36948999762535095</v>
      </c>
      <c r="AD92" s="407">
        <v>0.36924520134925842</v>
      </c>
      <c r="AE92" s="38">
        <f>'User Add-in Location'!B98</f>
        <v>0</v>
      </c>
      <c r="AF92" s="38">
        <f>'User Add-in Location'!C98</f>
        <v>0</v>
      </c>
      <c r="AG92" s="407">
        <v>0.37372094392776489</v>
      </c>
      <c r="AH92" s="407">
        <v>0.37370705604553223</v>
      </c>
      <c r="AI92" s="407">
        <v>0.34796634316444397</v>
      </c>
      <c r="AJ92" s="407">
        <v>0.36256691813468933</v>
      </c>
      <c r="AK92" s="407">
        <v>0.38348019123077393</v>
      </c>
      <c r="AL92" s="407">
        <v>0.37429893016815186</v>
      </c>
      <c r="AM92" s="407">
        <v>0.38462743163108826</v>
      </c>
      <c r="AN92" s="409">
        <v>0.37558406591415405</v>
      </c>
      <c r="AO92" s="409">
        <v>0.37626415491104126</v>
      </c>
      <c r="AP92" s="409">
        <v>0.35720160603523254</v>
      </c>
      <c r="AQ92" s="409">
        <v>0.38293895125389099</v>
      </c>
      <c r="AR92" s="409">
        <v>0.36197388172149658</v>
      </c>
      <c r="AS92" s="409">
        <v>0.40236064791679382</v>
      </c>
      <c r="AT92" s="409">
        <v>0.40711870789527893</v>
      </c>
      <c r="AU92" s="409">
        <v>0.42063623666763306</v>
      </c>
      <c r="AV92" s="409">
        <v>0.42216470837593079</v>
      </c>
      <c r="AW92" s="409">
        <v>0.41446337103843689</v>
      </c>
      <c r="AX92" s="409">
        <v>0.42445829510688782</v>
      </c>
      <c r="AY92" s="409">
        <v>0.41043329238891602</v>
      </c>
      <c r="AZ92" s="409">
        <v>0.41674822568893433</v>
      </c>
      <c r="BA92" s="409">
        <v>0.38019293546676636</v>
      </c>
      <c r="BB92" s="409">
        <v>0.39310339093208313</v>
      </c>
      <c r="BC92" s="409">
        <v>0.35406938195228577</v>
      </c>
      <c r="BD92" s="409">
        <v>0.36634418368339539</v>
      </c>
      <c r="BE92" s="409">
        <v>0.38542351126670837</v>
      </c>
      <c r="BF92" s="407">
        <v>0.3648037314414978</v>
      </c>
      <c r="BG92" s="407">
        <v>0.35194936394691467</v>
      </c>
      <c r="BH92" s="407">
        <v>0.38986837863922119</v>
      </c>
      <c r="BI92" s="407">
        <v>0.36118471622467041</v>
      </c>
      <c r="BJ92" s="407">
        <v>0.36985039710998535</v>
      </c>
      <c r="BK92" s="407">
        <v>0.36985039710998535</v>
      </c>
      <c r="BL92" s="407">
        <v>0.36616069078445435</v>
      </c>
    </row>
    <row r="93" spans="3:64" x14ac:dyDescent="0.2">
      <c r="C93" s="404" t="s">
        <v>128</v>
      </c>
      <c r="D93" s="407">
        <v>0.21568681299686432</v>
      </c>
      <c r="E93" s="407">
        <v>0.2333366721868515</v>
      </c>
      <c r="F93" s="407">
        <v>0.25313645601272583</v>
      </c>
      <c r="G93" s="407">
        <v>0.25231114029884338</v>
      </c>
      <c r="H93" s="407">
        <v>0.18192750215530396</v>
      </c>
      <c r="I93" s="407">
        <v>0.22174941003322601</v>
      </c>
      <c r="J93" s="407">
        <v>0.18925762176513672</v>
      </c>
      <c r="K93" s="407">
        <v>0.21421715617179871</v>
      </c>
      <c r="L93" s="407">
        <v>0.21556665003299713</v>
      </c>
      <c r="M93" s="407">
        <v>0.20285001397132874</v>
      </c>
      <c r="N93" s="407">
        <v>0.20881356298923492</v>
      </c>
      <c r="O93" s="407">
        <v>0.21624472737312317</v>
      </c>
      <c r="P93" s="407">
        <v>0.20967422425746918</v>
      </c>
      <c r="Q93" s="407">
        <v>0.24709296226501465</v>
      </c>
      <c r="R93" s="407">
        <v>0.23407712578773499</v>
      </c>
      <c r="S93" s="407">
        <v>0.23523096740245819</v>
      </c>
      <c r="T93" s="407">
        <v>0.21489453315734863</v>
      </c>
      <c r="U93" s="407">
        <v>0.23214049637317657</v>
      </c>
      <c r="V93" s="407">
        <v>0.18240752816200256</v>
      </c>
      <c r="W93" s="407">
        <v>0.2016855925321579</v>
      </c>
      <c r="X93" s="407">
        <v>0.13149340450763702</v>
      </c>
      <c r="Y93" s="407">
        <v>0.19660782814025879</v>
      </c>
      <c r="Z93" s="407">
        <v>0.20415996015071869</v>
      </c>
      <c r="AA93" s="407">
        <v>0.24461518228054047</v>
      </c>
      <c r="AB93" s="407">
        <v>0.22653608024120331</v>
      </c>
      <c r="AC93" s="407">
        <v>0.22653608024120331</v>
      </c>
      <c r="AD93" s="407">
        <v>0.18340474367141724</v>
      </c>
      <c r="AE93" s="38">
        <f>'User Add-in Location'!B99</f>
        <v>0</v>
      </c>
      <c r="AF93" s="38">
        <f>'User Add-in Location'!C99</f>
        <v>0</v>
      </c>
      <c r="AG93" s="407">
        <v>0.19771812856197357</v>
      </c>
      <c r="AH93" s="407">
        <v>0.23194822669029236</v>
      </c>
      <c r="AI93" s="407">
        <v>0.19384267926216125</v>
      </c>
      <c r="AJ93" s="407">
        <v>0.22789588570594788</v>
      </c>
      <c r="AK93" s="407">
        <v>0.22782999277114868</v>
      </c>
      <c r="AL93" s="407">
        <v>0.20276518166065216</v>
      </c>
      <c r="AM93" s="407">
        <v>0.23504669964313507</v>
      </c>
      <c r="AN93" s="409">
        <v>0.20137107372283936</v>
      </c>
      <c r="AO93" s="409">
        <v>0.24108205735683441</v>
      </c>
      <c r="AP93" s="409">
        <v>0.17910347878932953</v>
      </c>
      <c r="AQ93" s="409">
        <v>0.21651044487953186</v>
      </c>
      <c r="AR93" s="409">
        <v>0.20975868403911591</v>
      </c>
      <c r="AS93" s="409">
        <v>0.24648614227771759</v>
      </c>
      <c r="AT93" s="409">
        <v>0.27307099103927612</v>
      </c>
      <c r="AU93" s="409">
        <v>0.25266548991203308</v>
      </c>
      <c r="AV93" s="409">
        <v>0.25481322407722473</v>
      </c>
      <c r="AW93" s="409">
        <v>0.27813714742660522</v>
      </c>
      <c r="AX93" s="409">
        <v>0.26305091381072998</v>
      </c>
      <c r="AY93" s="409">
        <v>0.26290649175643921</v>
      </c>
      <c r="AZ93" s="409">
        <v>0.24864242970943451</v>
      </c>
      <c r="BA93" s="409">
        <v>0.14044460654258728</v>
      </c>
      <c r="BB93" s="409">
        <v>0.22300006449222565</v>
      </c>
      <c r="BC93" s="409">
        <v>0.20053471624851227</v>
      </c>
      <c r="BD93" s="409">
        <v>0.24724049866199493</v>
      </c>
      <c r="BE93" s="409">
        <v>0.1650911271572113</v>
      </c>
      <c r="BF93" s="407">
        <v>0.25383582711219788</v>
      </c>
      <c r="BG93" s="407">
        <v>0.20524688065052032</v>
      </c>
      <c r="BH93" s="407">
        <v>0.2033449113368988</v>
      </c>
      <c r="BI93" s="407">
        <v>0.21553695201873779</v>
      </c>
      <c r="BJ93" s="407">
        <v>0.21648235619068146</v>
      </c>
      <c r="BK93" s="407">
        <v>0.21648235619068146</v>
      </c>
      <c r="BL93" s="407">
        <v>0.23341362178325653</v>
      </c>
    </row>
    <row r="94" spans="3:64" x14ac:dyDescent="0.2">
      <c r="C94" s="404" t="s">
        <v>395</v>
      </c>
      <c r="D94" s="407">
        <v>0.165308877825737</v>
      </c>
      <c r="E94" s="407">
        <v>0.15496696531772614</v>
      </c>
      <c r="F94" s="407">
        <v>0.11711844056844711</v>
      </c>
      <c r="G94" s="407">
        <v>0.14968323707580566</v>
      </c>
      <c r="H94" s="407">
        <v>0.1303187757730484</v>
      </c>
      <c r="I94" s="407">
        <v>0.12638123333454132</v>
      </c>
      <c r="J94" s="407">
        <v>0.23876562714576721</v>
      </c>
      <c r="K94" s="407">
        <v>0.18224121630191803</v>
      </c>
      <c r="L94" s="407">
        <v>0.15524354577064514</v>
      </c>
      <c r="M94" s="407">
        <v>0.14331354200839996</v>
      </c>
      <c r="N94" s="407">
        <v>0.16635242104530334</v>
      </c>
      <c r="O94" s="407">
        <v>0.12544639408588409</v>
      </c>
      <c r="P94" s="407">
        <v>0.13129304349422455</v>
      </c>
      <c r="Q94" s="407">
        <v>0.16435438394546509</v>
      </c>
      <c r="R94" s="407">
        <v>0.16137002408504486</v>
      </c>
      <c r="S94" s="407">
        <v>0.21327628195285797</v>
      </c>
      <c r="T94" s="407">
        <v>0.1770218163728714</v>
      </c>
      <c r="U94" s="407">
        <v>0.18736490607261658</v>
      </c>
      <c r="V94" s="407">
        <v>0.15898238122463226</v>
      </c>
      <c r="W94" s="407">
        <v>0.18582257628440857</v>
      </c>
      <c r="X94" s="407">
        <v>0.15061567723751068</v>
      </c>
      <c r="Y94" s="407">
        <v>0.17793264985084534</v>
      </c>
      <c r="Z94" s="407">
        <v>0.11034426093101501</v>
      </c>
      <c r="AA94" s="407">
        <v>0.19813691079616547</v>
      </c>
      <c r="AB94" s="407">
        <v>0.14665776491165161</v>
      </c>
      <c r="AC94" s="407">
        <v>0.14665776491165161</v>
      </c>
      <c r="AD94" s="407">
        <v>9.2172421514987946E-2</v>
      </c>
      <c r="AE94" s="38">
        <f>'User Add-in Location'!B100</f>
        <v>0</v>
      </c>
      <c r="AF94" s="38">
        <f>'User Add-in Location'!C100</f>
        <v>0</v>
      </c>
      <c r="AG94" s="407">
        <v>0.20264872908592224</v>
      </c>
      <c r="AH94" s="407">
        <v>0.11577671766281128</v>
      </c>
      <c r="AI94" s="407">
        <v>0.17520754039287567</v>
      </c>
      <c r="AJ94" s="407">
        <v>0.18406637012958527</v>
      </c>
      <c r="AK94" s="407">
        <v>0.13043418526649475</v>
      </c>
      <c r="AL94" s="407">
        <v>0.18763348460197449</v>
      </c>
      <c r="AM94" s="407">
        <v>0.14710645377635956</v>
      </c>
      <c r="AN94" s="409">
        <v>0.17117966711521149</v>
      </c>
      <c r="AO94" s="409">
        <v>0.17498071491718292</v>
      </c>
      <c r="AP94" s="409">
        <v>0.15602673590183258</v>
      </c>
      <c r="AQ94" s="409">
        <v>0.15494942665100098</v>
      </c>
      <c r="AR94" s="409">
        <v>0.20050409436225891</v>
      </c>
      <c r="AS94" s="409">
        <v>0.23697835206985474</v>
      </c>
      <c r="AT94" s="409">
        <v>0.24582698941230774</v>
      </c>
      <c r="AU94" s="409">
        <v>0.20701964199542999</v>
      </c>
      <c r="AV94" s="409">
        <v>0.21390396356582642</v>
      </c>
      <c r="AW94" s="409">
        <v>0.22623391449451447</v>
      </c>
      <c r="AX94" s="409">
        <v>0.21501275897026062</v>
      </c>
      <c r="AY94" s="409">
        <v>0.20586711168289185</v>
      </c>
      <c r="AZ94" s="409">
        <v>0.21033966541290283</v>
      </c>
      <c r="BA94" s="409">
        <v>0.17806121706962585</v>
      </c>
      <c r="BB94" s="409">
        <v>0.15116637945175171</v>
      </c>
      <c r="BC94" s="409">
        <v>0.12541542947292328</v>
      </c>
      <c r="BD94" s="409">
        <v>0.14120742678642273</v>
      </c>
      <c r="BE94" s="409">
        <v>0.14432796835899353</v>
      </c>
      <c r="BF94" s="407">
        <v>0.13502579927444458</v>
      </c>
      <c r="BG94" s="407">
        <v>0.17093539237976074</v>
      </c>
      <c r="BH94" s="407">
        <v>0.13162317872047424</v>
      </c>
      <c r="BI94" s="407">
        <v>0.14238470792770386</v>
      </c>
      <c r="BJ94" s="407">
        <v>0.16554427146911621</v>
      </c>
      <c r="BK94" s="407">
        <v>0.16554427146911621</v>
      </c>
      <c r="BL94" s="407">
        <v>7.7824652194976807E-2</v>
      </c>
    </row>
    <row r="95" spans="3:64" x14ac:dyDescent="0.2">
      <c r="C95" s="404" t="s">
        <v>396</v>
      </c>
      <c r="D95" s="407">
        <v>0.27858152985572815</v>
      </c>
      <c r="E95" s="407">
        <v>0.2635904848575592</v>
      </c>
      <c r="F95" s="407">
        <v>0.31504961848258972</v>
      </c>
      <c r="G95" s="407">
        <v>0.29428091645240784</v>
      </c>
      <c r="H95" s="407">
        <v>0.33356297016143799</v>
      </c>
      <c r="I95" s="407">
        <v>0.29810702800750732</v>
      </c>
      <c r="J95" s="407">
        <v>0.46312969923019409</v>
      </c>
      <c r="K95" s="407">
        <v>0.37504115700721741</v>
      </c>
      <c r="L95" s="407">
        <v>0.41481894254684448</v>
      </c>
      <c r="M95" s="407">
        <v>0.31288602948188782</v>
      </c>
      <c r="N95" s="407">
        <v>0.29057177901268005</v>
      </c>
      <c r="O95" s="407">
        <v>0.26332452893257141</v>
      </c>
      <c r="P95" s="407">
        <v>0.23547577857971191</v>
      </c>
      <c r="Q95" s="407">
        <v>0.36173105239868164</v>
      </c>
      <c r="R95" s="407">
        <v>0.29040366411209106</v>
      </c>
      <c r="S95" s="407">
        <v>0.26456254720687866</v>
      </c>
      <c r="T95" s="407">
        <v>0.28708302974700928</v>
      </c>
      <c r="U95" s="407">
        <v>0.30336609482765198</v>
      </c>
      <c r="V95" s="407">
        <v>0.26983454823493958</v>
      </c>
      <c r="W95" s="407">
        <v>0.28937649726867676</v>
      </c>
      <c r="X95" s="407">
        <v>0.36254525184631348</v>
      </c>
      <c r="Y95" s="407">
        <v>0.40285095572471619</v>
      </c>
      <c r="Z95" s="407">
        <v>0.26357939839363098</v>
      </c>
      <c r="AA95" s="407">
        <v>0.3274897038936615</v>
      </c>
      <c r="AB95" s="407">
        <v>0.26717990636825562</v>
      </c>
      <c r="AC95" s="407">
        <v>0.26717990636825562</v>
      </c>
      <c r="AD95" s="407">
        <v>0.27237272262573242</v>
      </c>
      <c r="AE95" s="38">
        <f>'User Add-in Location'!B101</f>
        <v>0</v>
      </c>
      <c r="AF95" s="38">
        <f>'User Add-in Location'!C101</f>
        <v>0</v>
      </c>
      <c r="AG95" s="407">
        <v>0.28917223215103149</v>
      </c>
      <c r="AH95" s="407">
        <v>0.18429206311702728</v>
      </c>
      <c r="AI95" s="407">
        <v>0.35881122946739197</v>
      </c>
      <c r="AJ95" s="407">
        <v>0.38891571760177612</v>
      </c>
      <c r="AK95" s="407">
        <v>0.26289930939674377</v>
      </c>
      <c r="AL95" s="407">
        <v>0.53019583225250244</v>
      </c>
      <c r="AM95" s="407">
        <v>0.30677172541618347</v>
      </c>
      <c r="AN95" s="409">
        <v>0.27357423305511475</v>
      </c>
      <c r="AO95" s="409">
        <v>0.29179438948631287</v>
      </c>
      <c r="AP95" s="409">
        <v>0.26611033082008362</v>
      </c>
      <c r="AQ95" s="409">
        <v>0.29417696595191956</v>
      </c>
      <c r="AR95" s="409">
        <v>0.31935876607894897</v>
      </c>
      <c r="AS95" s="409">
        <v>0.54391705989837646</v>
      </c>
      <c r="AT95" s="409">
        <v>0.38613831996917725</v>
      </c>
      <c r="AU95" s="409">
        <v>0.3494030237197876</v>
      </c>
      <c r="AV95" s="409">
        <v>0.33471757173538208</v>
      </c>
      <c r="AW95" s="409">
        <v>0.35533222556114197</v>
      </c>
      <c r="AX95" s="409">
        <v>0.33309274911880493</v>
      </c>
      <c r="AY95" s="409">
        <v>0.32545438408851624</v>
      </c>
      <c r="AZ95" s="409">
        <v>0.38132745027542114</v>
      </c>
      <c r="BA95" s="409">
        <v>0.31520634889602661</v>
      </c>
      <c r="BB95" s="409">
        <v>0.28659981489181519</v>
      </c>
      <c r="BC95" s="409">
        <v>0.30133131146430969</v>
      </c>
      <c r="BD95" s="409">
        <v>0.30295437574386597</v>
      </c>
      <c r="BE95" s="409">
        <v>0.29611605405807495</v>
      </c>
      <c r="BF95" s="407">
        <v>0.2683899998664856</v>
      </c>
      <c r="BG95" s="407">
        <v>0.28889673948287964</v>
      </c>
      <c r="BH95" s="407">
        <v>0.31207290291786194</v>
      </c>
      <c r="BI95" s="407">
        <v>0.26235455274581909</v>
      </c>
      <c r="BJ95" s="407">
        <v>0.26584413647651672</v>
      </c>
      <c r="BK95" s="407">
        <v>0.26584413647651672</v>
      </c>
      <c r="BL95" s="407">
        <v>0.23513956367969513</v>
      </c>
    </row>
    <row r="96" spans="3:64" x14ac:dyDescent="0.2">
      <c r="C96" s="404" t="s">
        <v>397</v>
      </c>
      <c r="D96" s="407">
        <v>0.41543251276016235</v>
      </c>
      <c r="E96" s="407">
        <v>0.35609886050224304</v>
      </c>
      <c r="F96" s="407">
        <v>0.4004485011100769</v>
      </c>
      <c r="G96" s="407">
        <v>0.40929073095321655</v>
      </c>
      <c r="H96" s="407">
        <v>0.4254472553730011</v>
      </c>
      <c r="I96" s="407">
        <v>0.44897699356079102</v>
      </c>
      <c r="J96" s="407">
        <v>0.43724587559700012</v>
      </c>
      <c r="K96" s="407">
        <v>0.44298094511032104</v>
      </c>
      <c r="L96" s="407">
        <v>0.43964171409606934</v>
      </c>
      <c r="M96" s="407">
        <v>0.42308390140533447</v>
      </c>
      <c r="N96" s="407">
        <v>0.41656136512756348</v>
      </c>
      <c r="O96" s="407">
        <v>0.40155178308486938</v>
      </c>
      <c r="P96" s="407">
        <v>0.38140225410461426</v>
      </c>
      <c r="Q96" s="407">
        <v>0.43200600147247314</v>
      </c>
      <c r="R96" s="407">
        <v>0.38883846998214722</v>
      </c>
      <c r="S96" s="407">
        <v>0.37172266840934753</v>
      </c>
      <c r="T96" s="407">
        <v>0.39265966415405273</v>
      </c>
      <c r="U96" s="407">
        <v>0.40141555666923523</v>
      </c>
      <c r="V96" s="407">
        <v>0.3708283007144928</v>
      </c>
      <c r="W96" s="407">
        <v>0.39217695593833923</v>
      </c>
      <c r="X96" s="407">
        <v>0.44763460755348206</v>
      </c>
      <c r="Y96" s="407">
        <v>0.46200791001319885</v>
      </c>
      <c r="Z96" s="407">
        <v>0.45063215494155884</v>
      </c>
      <c r="AA96" s="407">
        <v>0.4651331901550293</v>
      </c>
      <c r="AB96" s="407">
        <v>0.37637388706207275</v>
      </c>
      <c r="AC96" s="407">
        <v>0.37637388706207275</v>
      </c>
      <c r="AD96" s="407">
        <v>0.34713390469551086</v>
      </c>
      <c r="AE96" s="38">
        <f>'User Add-in Location'!B102</f>
        <v>0</v>
      </c>
      <c r="AF96" s="38">
        <f>'User Add-in Location'!C102</f>
        <v>0</v>
      </c>
      <c r="AG96" s="407">
        <v>0.42388513684272766</v>
      </c>
      <c r="AH96" s="407">
        <v>0.44478332996368408</v>
      </c>
      <c r="AI96" s="407">
        <v>0.40481355786323547</v>
      </c>
      <c r="AJ96" s="407">
        <v>0.47089299559593201</v>
      </c>
      <c r="AK96" s="407">
        <v>0.46588173508644104</v>
      </c>
      <c r="AL96" s="407">
        <v>0.43050527572631836</v>
      </c>
      <c r="AM96" s="407">
        <v>0.43062412738800049</v>
      </c>
      <c r="AN96" s="409">
        <v>0.38450446724891663</v>
      </c>
      <c r="AO96" s="409">
        <v>0.42992338538169861</v>
      </c>
      <c r="AP96" s="409">
        <v>0.37798643112182617</v>
      </c>
      <c r="AQ96" s="409">
        <v>0.39719820022583008</v>
      </c>
      <c r="AR96" s="409">
        <v>0.44413217902183533</v>
      </c>
      <c r="AS96" s="409">
        <v>0.52974259853363037</v>
      </c>
      <c r="AT96" s="409">
        <v>0.52461761236190796</v>
      </c>
      <c r="AU96" s="409">
        <v>0.51298063993453979</v>
      </c>
      <c r="AV96" s="409">
        <v>0.48013979196548462</v>
      </c>
      <c r="AW96" s="409">
        <v>0.50399667024612427</v>
      </c>
      <c r="AX96" s="409">
        <v>0.49306169152259827</v>
      </c>
      <c r="AY96" s="409">
        <v>0.48784196376800537</v>
      </c>
      <c r="AZ96" s="409">
        <v>0.52297782897949219</v>
      </c>
      <c r="BA96" s="409">
        <v>0.43036553263664246</v>
      </c>
      <c r="BB96" s="409">
        <v>0.38676255941390991</v>
      </c>
      <c r="BC96" s="409">
        <v>0.3902474045753479</v>
      </c>
      <c r="BD96" s="409">
        <v>0.38545814156532288</v>
      </c>
      <c r="BE96" s="409">
        <v>0.40226861834526062</v>
      </c>
      <c r="BF96" s="407">
        <v>0.38313481211662292</v>
      </c>
      <c r="BG96" s="407">
        <v>0.3489813506603241</v>
      </c>
      <c r="BH96" s="407">
        <v>0.47435683012008667</v>
      </c>
      <c r="BI96" s="407">
        <v>0.43809670209884644</v>
      </c>
      <c r="BJ96" s="407">
        <v>0.36089542508125305</v>
      </c>
      <c r="BK96" s="407">
        <v>0.36089542508125305</v>
      </c>
      <c r="BL96" s="407">
        <v>0.35858353972434998</v>
      </c>
    </row>
    <row r="97" spans="3:64" x14ac:dyDescent="0.2">
      <c r="C97" s="404" t="s">
        <v>398</v>
      </c>
      <c r="D97" s="407">
        <v>0.41999146342277527</v>
      </c>
      <c r="E97" s="407">
        <v>0.34927237033843994</v>
      </c>
      <c r="F97" s="407">
        <v>0.39421722292900085</v>
      </c>
      <c r="G97" s="407">
        <v>0.35856574773788452</v>
      </c>
      <c r="H97" s="407">
        <v>0.40470802783966064</v>
      </c>
      <c r="I97" s="407">
        <v>0.4228079617023468</v>
      </c>
      <c r="J97" s="407">
        <v>0.37276127934455872</v>
      </c>
      <c r="K97" s="407">
        <v>0.40569815039634705</v>
      </c>
      <c r="L97" s="407">
        <v>0.45501711964607239</v>
      </c>
      <c r="M97" s="407">
        <v>0.43838581442832947</v>
      </c>
      <c r="N97" s="407">
        <v>0.41593408584594727</v>
      </c>
      <c r="O97" s="407">
        <v>0.38291624188423157</v>
      </c>
      <c r="P97" s="407">
        <v>0.32528227567672729</v>
      </c>
      <c r="Q97" s="407">
        <v>0.40078628063201904</v>
      </c>
      <c r="R97" s="407">
        <v>0.3646622896194458</v>
      </c>
      <c r="S97" s="407">
        <v>0.35166415572166443</v>
      </c>
      <c r="T97" s="407">
        <v>0.36697667837142944</v>
      </c>
      <c r="U97" s="407">
        <v>0.37524127960205078</v>
      </c>
      <c r="V97" s="407">
        <v>0.3597281277179718</v>
      </c>
      <c r="W97" s="407">
        <v>0.38189104199409485</v>
      </c>
      <c r="X97" s="407">
        <v>0.44927781820297241</v>
      </c>
      <c r="Y97" s="407">
        <v>0.43270662426948547</v>
      </c>
      <c r="Z97" s="407">
        <v>0.41181492805480957</v>
      </c>
      <c r="AA97" s="407">
        <v>0.42035403847694397</v>
      </c>
      <c r="AB97" s="407">
        <v>0.34736818075180054</v>
      </c>
      <c r="AC97" s="407">
        <v>0.34736818075180054</v>
      </c>
      <c r="AD97" s="407">
        <v>0.3559252917766571</v>
      </c>
      <c r="AE97" s="38">
        <f>'User Add-in Location'!B103</f>
        <v>0</v>
      </c>
      <c r="AF97" s="38">
        <f>'User Add-in Location'!C103</f>
        <v>0</v>
      </c>
      <c r="AG97" s="407">
        <v>0.41561540961265564</v>
      </c>
      <c r="AH97" s="407">
        <v>0.40596979856491089</v>
      </c>
      <c r="AI97" s="407">
        <v>0.39419850707054138</v>
      </c>
      <c r="AJ97" s="407">
        <v>0.43829131126403809</v>
      </c>
      <c r="AK97" s="407">
        <v>0.41699326038360596</v>
      </c>
      <c r="AL97" s="407">
        <v>0.40507873892784119</v>
      </c>
      <c r="AM97" s="407">
        <v>0.40220841765403748</v>
      </c>
      <c r="AN97" s="409">
        <v>0.39942088723182678</v>
      </c>
      <c r="AO97" s="409">
        <v>0.39343720674514771</v>
      </c>
      <c r="AP97" s="409">
        <v>0.37306049466133118</v>
      </c>
      <c r="AQ97" s="409">
        <v>0.35485190153121948</v>
      </c>
      <c r="AR97" s="409">
        <v>0.41155624389648438</v>
      </c>
      <c r="AS97" s="409">
        <v>0.55772769451141357</v>
      </c>
      <c r="AT97" s="409">
        <v>0.5489230751991272</v>
      </c>
      <c r="AU97" s="409">
        <v>0.53801536560058594</v>
      </c>
      <c r="AV97" s="409">
        <v>0.53224664926528931</v>
      </c>
      <c r="AW97" s="409">
        <v>0.53777396678924561</v>
      </c>
      <c r="AX97" s="409">
        <v>0.52713179588317871</v>
      </c>
      <c r="AY97" s="409">
        <v>0.51783347129821777</v>
      </c>
      <c r="AZ97" s="409">
        <v>0.53962135314941406</v>
      </c>
      <c r="BA97" s="409">
        <v>0.36702331900596619</v>
      </c>
      <c r="BB97" s="409">
        <v>0.38852456212043762</v>
      </c>
      <c r="BC97" s="409">
        <v>0.35189792513847351</v>
      </c>
      <c r="BD97" s="409">
        <v>0.37021744251251221</v>
      </c>
      <c r="BE97" s="409">
        <v>0.39772161841392517</v>
      </c>
      <c r="BF97" s="407">
        <v>0.37429094314575195</v>
      </c>
      <c r="BG97" s="407">
        <v>0.38055947422981262</v>
      </c>
      <c r="BH97" s="407">
        <v>0.47831717133522034</v>
      </c>
      <c r="BI97" s="407">
        <v>0.41241356730461121</v>
      </c>
      <c r="BJ97" s="407">
        <v>0.33934551477432251</v>
      </c>
      <c r="BK97" s="407">
        <v>0.33934551477432251</v>
      </c>
      <c r="BL97" s="407">
        <v>0.36898288130760193</v>
      </c>
    </row>
    <row r="98" spans="3:64" x14ac:dyDescent="0.2">
      <c r="C98" s="404" t="s">
        <v>399</v>
      </c>
      <c r="D98" s="407">
        <v>0.4473552405834198</v>
      </c>
      <c r="E98" s="407">
        <v>0.39339444041252136</v>
      </c>
      <c r="F98" s="407">
        <v>0.41938099265098572</v>
      </c>
      <c r="G98" s="407">
        <v>0.35623073577880859</v>
      </c>
      <c r="H98" s="407">
        <v>0.41899716854095459</v>
      </c>
      <c r="I98" s="407">
        <v>0.44730854034423828</v>
      </c>
      <c r="J98" s="407">
        <v>0.3728262186050415</v>
      </c>
      <c r="K98" s="407">
        <v>0.4427666962146759</v>
      </c>
      <c r="L98" s="407">
        <v>0.49030324816703796</v>
      </c>
      <c r="M98" s="407">
        <v>0.42767137289047241</v>
      </c>
      <c r="N98" s="407">
        <v>0.42027521133422852</v>
      </c>
      <c r="O98" s="407">
        <v>0.40054893493652344</v>
      </c>
      <c r="P98" s="407">
        <v>0.34443122148513794</v>
      </c>
      <c r="Q98" s="407">
        <v>0.4054492712020874</v>
      </c>
      <c r="R98" s="407">
        <v>0.36380264163017273</v>
      </c>
      <c r="S98" s="407">
        <v>0.35320040583610535</v>
      </c>
      <c r="T98" s="407">
        <v>0.40403664112091064</v>
      </c>
      <c r="U98" s="407">
        <v>0.37640112638473511</v>
      </c>
      <c r="V98" s="407">
        <v>0.39535942673683167</v>
      </c>
      <c r="W98" s="407">
        <v>0.38191962242126465</v>
      </c>
      <c r="X98" s="407">
        <v>0.46520334482192993</v>
      </c>
      <c r="Y98" s="407">
        <v>0.44880092144012451</v>
      </c>
      <c r="Z98" s="407">
        <v>0.45337572693824768</v>
      </c>
      <c r="AA98" s="407">
        <v>0.42051410675048828</v>
      </c>
      <c r="AB98" s="407">
        <v>0.3583170473575592</v>
      </c>
      <c r="AC98" s="407">
        <v>0.3583170473575592</v>
      </c>
      <c r="AD98" s="407">
        <v>0.35293367505073547</v>
      </c>
      <c r="AE98" s="38">
        <f>'User Add-in Location'!B104</f>
        <v>0</v>
      </c>
      <c r="AF98" s="38">
        <f>'User Add-in Location'!C104</f>
        <v>0</v>
      </c>
      <c r="AG98" s="407">
        <v>0.44009649753570557</v>
      </c>
      <c r="AH98" s="407">
        <v>0.41606041789054871</v>
      </c>
      <c r="AI98" s="407">
        <v>0.38863071799278259</v>
      </c>
      <c r="AJ98" s="407">
        <v>0.44779053330421448</v>
      </c>
      <c r="AK98" s="407">
        <v>0.4492495059967041</v>
      </c>
      <c r="AL98" s="407">
        <v>0.4029439389705658</v>
      </c>
      <c r="AM98" s="407">
        <v>0.4049777090549469</v>
      </c>
      <c r="AN98" s="409">
        <v>0.40974006056785583</v>
      </c>
      <c r="AO98" s="409">
        <v>0.38877922296524048</v>
      </c>
      <c r="AP98" s="409">
        <v>0.38107973337173462</v>
      </c>
      <c r="AQ98" s="409">
        <v>0.35781845450401306</v>
      </c>
      <c r="AR98" s="409">
        <v>0.42440310120582581</v>
      </c>
      <c r="AS98" s="409">
        <v>0.55541598796844482</v>
      </c>
      <c r="AT98" s="409">
        <v>0.5594450831413269</v>
      </c>
      <c r="AU98" s="409">
        <v>0.55956935882568359</v>
      </c>
      <c r="AV98" s="409">
        <v>0.52867430448532104</v>
      </c>
      <c r="AW98" s="409">
        <v>0.54857206344604492</v>
      </c>
      <c r="AX98" s="409">
        <v>0.56521254777908325</v>
      </c>
      <c r="AY98" s="409">
        <v>0.53931510448455811</v>
      </c>
      <c r="AZ98" s="409">
        <v>0.55532956123352051</v>
      </c>
      <c r="BA98" s="409">
        <v>0.3622833788394928</v>
      </c>
      <c r="BB98" s="409">
        <v>0.41279977560043335</v>
      </c>
      <c r="BC98" s="409">
        <v>0.35164383053779602</v>
      </c>
      <c r="BD98" s="409">
        <v>0.37241840362548828</v>
      </c>
      <c r="BE98" s="409">
        <v>0.4317687451839447</v>
      </c>
      <c r="BF98" s="407">
        <v>0.37202781438827515</v>
      </c>
      <c r="BG98" s="407">
        <v>0.35019376873970032</v>
      </c>
      <c r="BH98" s="407">
        <v>0.50823056697845459</v>
      </c>
      <c r="BI98" s="407">
        <v>0.42738482356071472</v>
      </c>
      <c r="BJ98" s="407">
        <v>0.34797036647796631</v>
      </c>
      <c r="BK98" s="407">
        <v>0.34797036647796631</v>
      </c>
      <c r="BL98" s="407">
        <v>0.35989731550216675</v>
      </c>
    </row>
    <row r="99" spans="3:64" x14ac:dyDescent="0.2">
      <c r="C99" s="404" t="s">
        <v>400</v>
      </c>
      <c r="D99" s="407">
        <v>0.29069527983665466</v>
      </c>
      <c r="E99" s="407">
        <v>0.27515843510627747</v>
      </c>
      <c r="F99" s="407">
        <v>0.31339871883392334</v>
      </c>
      <c r="G99" s="407">
        <v>0.28604802489280701</v>
      </c>
      <c r="H99" s="407">
        <v>0.29225561022758484</v>
      </c>
      <c r="I99" s="407">
        <v>0.26854875683784485</v>
      </c>
      <c r="J99" s="407">
        <v>0.2945614755153656</v>
      </c>
      <c r="K99" s="407">
        <v>0.32000440359115601</v>
      </c>
      <c r="L99" s="407">
        <v>0.41816207766532898</v>
      </c>
      <c r="M99" s="407">
        <v>0.29951846599578857</v>
      </c>
      <c r="N99" s="407">
        <v>0.28987538814544678</v>
      </c>
      <c r="O99" s="407">
        <v>0.31528714299201965</v>
      </c>
      <c r="P99" s="407">
        <v>0.25896236300468445</v>
      </c>
      <c r="Q99" s="407">
        <v>0.3130488395690918</v>
      </c>
      <c r="R99" s="407">
        <v>0.2983396053314209</v>
      </c>
      <c r="S99" s="407">
        <v>0.28946569561958313</v>
      </c>
      <c r="T99" s="407">
        <v>0.27790972590446472</v>
      </c>
      <c r="U99" s="407">
        <v>0.30356791615486145</v>
      </c>
      <c r="V99" s="407">
        <v>0.27695095539093018</v>
      </c>
      <c r="W99" s="407">
        <v>0.30197107791900635</v>
      </c>
      <c r="X99" s="407">
        <v>0.31457433104515076</v>
      </c>
      <c r="Y99" s="407">
        <v>0.34170880913734436</v>
      </c>
      <c r="Z99" s="407">
        <v>0.31406572461128235</v>
      </c>
      <c r="AA99" s="407">
        <v>0.31239652633666992</v>
      </c>
      <c r="AB99" s="407">
        <v>0.28032770752906799</v>
      </c>
      <c r="AC99" s="407">
        <v>0.28032770752906799</v>
      </c>
      <c r="AD99" s="407">
        <v>0.26612454652786255</v>
      </c>
      <c r="AE99" s="38">
        <f>'User Add-in Location'!B105</f>
        <v>0</v>
      </c>
      <c r="AF99" s="38">
        <f>'User Add-in Location'!C105</f>
        <v>0</v>
      </c>
      <c r="AG99" s="407">
        <v>0.29630500078201294</v>
      </c>
      <c r="AH99" s="407">
        <v>0.30947375297546387</v>
      </c>
      <c r="AI99" s="407">
        <v>0.31498250365257263</v>
      </c>
      <c r="AJ99" s="407">
        <v>0.2916160523891449</v>
      </c>
      <c r="AK99" s="407">
        <v>0.28646320104598999</v>
      </c>
      <c r="AL99" s="407">
        <v>0.29716616868972778</v>
      </c>
      <c r="AM99" s="407">
        <v>0.30308908224105835</v>
      </c>
      <c r="AN99" s="409">
        <v>0.28851446509361267</v>
      </c>
      <c r="AO99" s="409">
        <v>0.31310951709747314</v>
      </c>
      <c r="AP99" s="409">
        <v>0.26695746183395386</v>
      </c>
      <c r="AQ99" s="409">
        <v>0.28655564785003662</v>
      </c>
      <c r="AR99" s="409">
        <v>0.31439155340194702</v>
      </c>
      <c r="AS99" s="409">
        <v>0.36053350567817688</v>
      </c>
      <c r="AT99" s="409">
        <v>0.34955009818077087</v>
      </c>
      <c r="AU99" s="409">
        <v>0.35523256659507751</v>
      </c>
      <c r="AV99" s="409">
        <v>0.3373565673828125</v>
      </c>
      <c r="AW99" s="409">
        <v>0.34758192300796509</v>
      </c>
      <c r="AX99" s="409">
        <v>0.32719296216964722</v>
      </c>
      <c r="AY99" s="409">
        <v>0.33253952860832214</v>
      </c>
      <c r="AZ99" s="409">
        <v>0.34113126993179321</v>
      </c>
      <c r="BA99" s="409">
        <v>0.32335323095321655</v>
      </c>
      <c r="BB99" s="409">
        <v>0.2977287769317627</v>
      </c>
      <c r="BC99" s="409">
        <v>0.28015300631523132</v>
      </c>
      <c r="BD99" s="409">
        <v>0.29677301645278931</v>
      </c>
      <c r="BE99" s="409">
        <v>0.27696430683135986</v>
      </c>
      <c r="BF99" s="407">
        <v>0.29193511605262756</v>
      </c>
      <c r="BG99" s="407">
        <v>0.30243447422981262</v>
      </c>
      <c r="BH99" s="407">
        <v>0.32346856594085693</v>
      </c>
      <c r="BI99" s="407">
        <v>0.29452991485595703</v>
      </c>
      <c r="BJ99" s="407">
        <v>0.28971284627914429</v>
      </c>
      <c r="BK99" s="407">
        <v>0.28971284627914429</v>
      </c>
      <c r="BL99" s="407">
        <v>0.24383319914340973</v>
      </c>
    </row>
    <row r="100" spans="3:64" x14ac:dyDescent="0.2">
      <c r="C100" s="404" t="s">
        <v>58</v>
      </c>
      <c r="D100" s="407">
        <v>0.75191748142242432</v>
      </c>
      <c r="E100" s="407">
        <v>0.74794697761535645</v>
      </c>
      <c r="F100" s="407">
        <v>0.78527480363845825</v>
      </c>
      <c r="G100" s="407">
        <v>0.77786785364151001</v>
      </c>
      <c r="H100" s="407">
        <v>0.78531628847122192</v>
      </c>
      <c r="I100" s="407">
        <v>0.76849907636642456</v>
      </c>
      <c r="J100" s="407">
        <v>0.78791731595993042</v>
      </c>
      <c r="K100" s="407">
        <v>0.74232065677642822</v>
      </c>
      <c r="L100" s="407">
        <v>0.83502435684204102</v>
      </c>
      <c r="M100" s="407">
        <v>0.81129509210586548</v>
      </c>
      <c r="N100" s="407">
        <v>0.78309684991836548</v>
      </c>
      <c r="O100" s="407">
        <v>0.7183840274810791</v>
      </c>
      <c r="P100" s="407">
        <v>0.78453516960144043</v>
      </c>
      <c r="Q100" s="407">
        <v>0.79693430662155151</v>
      </c>
      <c r="R100" s="407">
        <v>0.81983953714370728</v>
      </c>
      <c r="S100" s="407">
        <v>0.79606997966766357</v>
      </c>
      <c r="T100" s="407">
        <v>0.76572108268737793</v>
      </c>
      <c r="U100" s="407">
        <v>0.73620826005935669</v>
      </c>
      <c r="V100" s="407">
        <v>0.79988205432891846</v>
      </c>
      <c r="W100" s="407">
        <v>0.74777472019195557</v>
      </c>
      <c r="X100" s="407">
        <v>0.80938148498535156</v>
      </c>
      <c r="Y100" s="407">
        <v>0.79003524780273438</v>
      </c>
      <c r="Z100" s="407">
        <v>0.81400191783905029</v>
      </c>
      <c r="AA100" s="407">
        <v>0.79557532072067261</v>
      </c>
      <c r="AB100" s="407">
        <v>0.77811527252197266</v>
      </c>
      <c r="AC100" s="407">
        <v>0.77811527252197266</v>
      </c>
      <c r="AD100" s="407">
        <v>0.7587551474571228</v>
      </c>
      <c r="AE100" s="38">
        <f>'User Add-in Location'!B106</f>
        <v>0</v>
      </c>
      <c r="AF100" s="38">
        <f>'User Add-in Location'!C106</f>
        <v>0</v>
      </c>
      <c r="AG100" s="407">
        <v>0.77893614768981934</v>
      </c>
      <c r="AH100" s="407">
        <v>0.81484395265579224</v>
      </c>
      <c r="AI100" s="407">
        <v>0.70469892024993896</v>
      </c>
      <c r="AJ100" s="407">
        <v>0.81080436706542969</v>
      </c>
      <c r="AK100" s="407">
        <v>0.79370492696762085</v>
      </c>
      <c r="AL100" s="407">
        <v>0.79908055067062378</v>
      </c>
      <c r="AM100" s="407">
        <v>0.77748501300811768</v>
      </c>
      <c r="AN100" s="409">
        <v>0.7331690788269043</v>
      </c>
      <c r="AO100" s="409">
        <v>0.80899763107299805</v>
      </c>
      <c r="AP100" s="409">
        <v>0.78248411417007446</v>
      </c>
      <c r="AQ100" s="409">
        <v>0.74152261018753052</v>
      </c>
      <c r="AR100" s="409">
        <v>0.75504714250564575</v>
      </c>
      <c r="AS100" s="409">
        <v>0.78900796175003052</v>
      </c>
      <c r="AT100" s="409">
        <v>0.78119790554046631</v>
      </c>
      <c r="AU100" s="409">
        <v>0.78875195980072021</v>
      </c>
      <c r="AV100" s="409">
        <v>0.76573199033737183</v>
      </c>
      <c r="AW100" s="409">
        <v>0.80114918947219849</v>
      </c>
      <c r="AX100" s="409">
        <v>0.79351115226745605</v>
      </c>
      <c r="AY100" s="409">
        <v>0.7668454647064209</v>
      </c>
      <c r="AZ100" s="409">
        <v>0.78075945377349854</v>
      </c>
      <c r="BA100" s="409">
        <v>0.75549238920211792</v>
      </c>
      <c r="BB100" s="409">
        <v>0.78011894226074219</v>
      </c>
      <c r="BC100" s="409">
        <v>0.75322639942169189</v>
      </c>
      <c r="BD100" s="409">
        <v>0.64738762378692627</v>
      </c>
      <c r="BE100" s="409">
        <v>0.8003084659576416</v>
      </c>
      <c r="BF100" s="407">
        <v>0.82126611471176147</v>
      </c>
      <c r="BG100" s="407">
        <v>0.74410271644592285</v>
      </c>
      <c r="BH100" s="407">
        <v>0.76363170146942139</v>
      </c>
      <c r="BI100" s="407">
        <v>0.73936617374420166</v>
      </c>
      <c r="BJ100" s="407">
        <v>0.80270582437515259</v>
      </c>
      <c r="BK100" s="407">
        <v>0.80270582437515259</v>
      </c>
      <c r="BL100" s="407">
        <v>0.77014166116714478</v>
      </c>
    </row>
    <row r="101" spans="3:64" x14ac:dyDescent="0.2">
      <c r="C101" s="404" t="s">
        <v>401</v>
      </c>
      <c r="D101" s="407">
        <v>0.17573139071464539</v>
      </c>
      <c r="E101" s="407">
        <v>0</v>
      </c>
      <c r="F101" s="407">
        <v>0.18823722004890442</v>
      </c>
      <c r="G101" s="407">
        <v>9.0859375894069672E-2</v>
      </c>
      <c r="H101" s="407">
        <v>0.22032517194747925</v>
      </c>
      <c r="I101" s="407">
        <v>0.15086734294891357</v>
      </c>
      <c r="J101" s="407">
        <v>0.15885381400585175</v>
      </c>
      <c r="K101" s="407">
        <v>0.1432589590549469</v>
      </c>
      <c r="L101" s="407">
        <v>0.22515103220939636</v>
      </c>
      <c r="M101" s="407">
        <v>0.1651231050491333</v>
      </c>
      <c r="N101" s="407">
        <v>0.11874118447303772</v>
      </c>
      <c r="O101" s="407">
        <v>6.6976435482501984E-2</v>
      </c>
      <c r="P101" s="407">
        <v>0.1485394686460495</v>
      </c>
      <c r="Q101" s="407">
        <v>0.15490540862083435</v>
      </c>
      <c r="R101" s="407">
        <v>0.15577679872512817</v>
      </c>
      <c r="S101" s="407">
        <v>0.14970684051513672</v>
      </c>
      <c r="T101" s="407">
        <v>0.17756131291389465</v>
      </c>
      <c r="U101" s="407">
        <v>0.13567572832107544</v>
      </c>
      <c r="V101" s="407">
        <v>0.18511460721492767</v>
      </c>
      <c r="W101" s="407">
        <v>0.18732950091362</v>
      </c>
      <c r="X101" s="407">
        <v>0.13461717963218689</v>
      </c>
      <c r="Y101" s="407">
        <v>0.18431565165519714</v>
      </c>
      <c r="Z101" s="407">
        <v>0.11029750853776932</v>
      </c>
      <c r="AA101" s="407">
        <v>0.15364857017993927</v>
      </c>
      <c r="AB101" s="407">
        <v>0.16023936867713928</v>
      </c>
      <c r="AC101" s="407">
        <v>0.16023936867713928</v>
      </c>
      <c r="AD101" s="407">
        <v>7.4964240193367004E-2</v>
      </c>
      <c r="AE101" s="38">
        <f>'User Add-in Location'!B107</f>
        <v>0</v>
      </c>
      <c r="AF101" s="38">
        <f>'User Add-in Location'!C107</f>
        <v>0</v>
      </c>
      <c r="AG101" s="407">
        <v>0.12673547863960266</v>
      </c>
      <c r="AH101" s="407">
        <v>0.12424163520336151</v>
      </c>
      <c r="AI101" s="407">
        <v>0.13889479637145996</v>
      </c>
      <c r="AJ101" s="407">
        <v>0.16056089103221893</v>
      </c>
      <c r="AK101" s="407">
        <v>0.17315705120563507</v>
      </c>
      <c r="AL101" s="407">
        <v>0.1729053258895874</v>
      </c>
      <c r="AM101" s="407">
        <v>0.16746366024017334</v>
      </c>
      <c r="AN101" s="409">
        <v>9.2632122337818146E-2</v>
      </c>
      <c r="AO101" s="409">
        <v>0.36859288811683655</v>
      </c>
      <c r="AP101" s="409">
        <v>0.14613500237464905</v>
      </c>
      <c r="AQ101" s="409">
        <v>0.20587030053138733</v>
      </c>
      <c r="AR101" s="409">
        <v>0.14231334626674652</v>
      </c>
      <c r="AS101" s="409">
        <v>0.18103413283824921</v>
      </c>
      <c r="AT101" s="409">
        <v>0.15122969448566437</v>
      </c>
      <c r="AU101" s="409">
        <v>0.15689145028591156</v>
      </c>
      <c r="AV101" s="409">
        <v>0.16322720050811768</v>
      </c>
      <c r="AW101" s="409">
        <v>0.25022420287132263</v>
      </c>
      <c r="AX101" s="409">
        <v>0.18925724923610687</v>
      </c>
      <c r="AY101" s="409">
        <v>0.18217889964580536</v>
      </c>
      <c r="AZ101" s="409">
        <v>0.22086548805236816</v>
      </c>
      <c r="BA101" s="409">
        <v>0.14592975378036499</v>
      </c>
      <c r="BB101" s="409">
        <v>0.15825316309928894</v>
      </c>
      <c r="BC101" s="409">
        <v>8.1496156752109528E-2</v>
      </c>
      <c r="BD101" s="409">
        <v>0.12613306939601898</v>
      </c>
      <c r="BE101" s="409">
        <v>0.19039773941040039</v>
      </c>
      <c r="BF101" s="407">
        <v>0.16516992449760437</v>
      </c>
      <c r="BG101" s="407">
        <v>0.2030586451292038</v>
      </c>
      <c r="BH101" s="407">
        <v>0.14437714219093323</v>
      </c>
      <c r="BI101" s="407">
        <v>0.13420793414115906</v>
      </c>
      <c r="BJ101" s="407">
        <v>7.0237420499324799E-2</v>
      </c>
      <c r="BK101" s="407">
        <v>7.0237420499324799E-2</v>
      </c>
      <c r="BL101" s="407">
        <v>0</v>
      </c>
    </row>
    <row r="102" spans="3:64" ht="15" x14ac:dyDescent="0.2">
      <c r="C102" s="5"/>
      <c r="D102" s="411"/>
      <c r="E102" s="411"/>
      <c r="F102" s="411"/>
      <c r="G102" s="411"/>
      <c r="H102" s="411"/>
      <c r="I102" s="411"/>
      <c r="J102" s="411"/>
      <c r="K102" s="411"/>
      <c r="L102" s="411"/>
      <c r="M102" s="411"/>
      <c r="N102" s="411"/>
      <c r="O102" s="411"/>
      <c r="P102" s="411"/>
      <c r="Q102" s="411"/>
      <c r="R102" s="411"/>
      <c r="S102" s="411"/>
      <c r="T102" s="411"/>
      <c r="U102" s="411"/>
      <c r="V102" s="411"/>
      <c r="W102" s="411"/>
      <c r="X102" s="411"/>
      <c r="Y102" s="411"/>
      <c r="Z102" s="411"/>
      <c r="AA102" s="411"/>
      <c r="AB102" s="411"/>
      <c r="AC102" s="411"/>
      <c r="AD102" s="411"/>
      <c r="AE102" s="38"/>
      <c r="AF102" s="38"/>
      <c r="AG102" s="411"/>
      <c r="AH102" s="411"/>
      <c r="AI102" s="411"/>
      <c r="AJ102" s="411"/>
      <c r="AK102" s="411"/>
      <c r="AL102" s="411"/>
      <c r="AM102" s="411"/>
      <c r="AN102" s="411"/>
      <c r="AO102" s="411"/>
      <c r="AP102" s="411"/>
      <c r="AQ102" s="411"/>
      <c r="AR102" s="411"/>
      <c r="AS102" s="412"/>
      <c r="AT102" s="412"/>
      <c r="AU102" s="412"/>
      <c r="AV102" s="412"/>
      <c r="AW102" s="412"/>
      <c r="AX102" s="412"/>
      <c r="AY102" s="412"/>
      <c r="AZ102" s="412"/>
      <c r="BA102" s="411"/>
      <c r="BB102" s="411"/>
      <c r="BC102" s="411"/>
      <c r="BD102" s="411"/>
      <c r="BE102" s="411"/>
      <c r="BF102" s="411"/>
      <c r="BG102" s="411"/>
      <c r="BH102" s="411"/>
      <c r="BI102" s="411"/>
      <c r="BJ102" s="411"/>
      <c r="BK102" s="411"/>
      <c r="BL102" s="411"/>
    </row>
    <row r="103" spans="3:64" ht="13.5" customHeight="1" x14ac:dyDescent="0.2">
      <c r="C103" s="17" t="s">
        <v>179</v>
      </c>
      <c r="D103" s="411"/>
      <c r="E103" s="411"/>
      <c r="F103" s="411"/>
      <c r="G103" s="411"/>
      <c r="H103" s="411"/>
      <c r="I103" s="411"/>
      <c r="J103" s="411"/>
      <c r="K103" s="411"/>
      <c r="L103" s="411"/>
      <c r="M103" s="411"/>
      <c r="N103" s="411"/>
      <c r="O103" s="411"/>
      <c r="P103" s="411"/>
      <c r="Q103" s="411"/>
      <c r="R103" s="411"/>
      <c r="S103" s="411"/>
      <c r="T103" s="411"/>
      <c r="U103" s="411"/>
      <c r="V103" s="411"/>
      <c r="W103" s="411"/>
      <c r="X103" s="411"/>
      <c r="Y103" s="411"/>
      <c r="Z103" s="411"/>
      <c r="AA103" s="411"/>
      <c r="AB103" s="411"/>
      <c r="AC103" s="411"/>
      <c r="AD103" s="411"/>
      <c r="AE103" s="38"/>
      <c r="AF103" s="38"/>
      <c r="AG103" s="410"/>
      <c r="AH103" s="410"/>
      <c r="AI103" s="410"/>
      <c r="AJ103" s="410"/>
      <c r="AK103" s="410"/>
      <c r="AL103" s="410"/>
      <c r="AM103" s="410"/>
      <c r="AN103" s="410"/>
      <c r="AO103" s="410"/>
      <c r="AP103" s="410"/>
      <c r="AQ103" s="410"/>
      <c r="AR103" s="410"/>
      <c r="AS103" s="412"/>
      <c r="AT103" s="412"/>
      <c r="AU103" s="412"/>
      <c r="AV103" s="412"/>
      <c r="AW103" s="412"/>
      <c r="AX103" s="412"/>
      <c r="AY103" s="412"/>
      <c r="AZ103" s="412"/>
      <c r="BA103" s="410"/>
      <c r="BB103" s="410"/>
      <c r="BC103" s="410"/>
      <c r="BD103" s="410"/>
      <c r="BE103" s="410"/>
      <c r="BF103" s="410"/>
      <c r="BG103" s="410"/>
      <c r="BH103" s="410"/>
      <c r="BI103" s="410"/>
      <c r="BJ103" s="410"/>
      <c r="BK103" s="410"/>
      <c r="BL103" s="410"/>
    </row>
    <row r="104" spans="3:64" ht="12.75" customHeight="1" x14ac:dyDescent="0.2">
      <c r="C104" s="114" t="s">
        <v>185</v>
      </c>
      <c r="D104" s="411" t="s">
        <v>60</v>
      </c>
      <c r="E104" s="411" t="s">
        <v>61</v>
      </c>
      <c r="F104" s="411" t="s">
        <v>62</v>
      </c>
      <c r="G104" s="411" t="s">
        <v>63</v>
      </c>
      <c r="H104" s="411" t="s">
        <v>64</v>
      </c>
      <c r="I104" s="411" t="s">
        <v>65</v>
      </c>
      <c r="J104" s="411" t="s">
        <v>66</v>
      </c>
      <c r="K104" s="411" t="s">
        <v>67</v>
      </c>
      <c r="L104" s="411" t="s">
        <v>68</v>
      </c>
      <c r="M104" s="411" t="s">
        <v>69</v>
      </c>
      <c r="N104" s="411" t="s">
        <v>70</v>
      </c>
      <c r="O104" s="411" t="s">
        <v>71</v>
      </c>
      <c r="P104" s="411" t="s">
        <v>72</v>
      </c>
      <c r="Q104" s="411" t="s">
        <v>73</v>
      </c>
      <c r="R104" s="411" t="s">
        <v>74</v>
      </c>
      <c r="S104" s="411" t="s">
        <v>75</v>
      </c>
      <c r="T104" s="411" t="s">
        <v>76</v>
      </c>
      <c r="U104" s="411" t="s">
        <v>77</v>
      </c>
      <c r="V104" s="411" t="s">
        <v>78</v>
      </c>
      <c r="W104" s="411" t="s">
        <v>79</v>
      </c>
      <c r="X104" s="411" t="s">
        <v>80</v>
      </c>
      <c r="Y104" s="411" t="s">
        <v>81</v>
      </c>
      <c r="Z104" s="411" t="s">
        <v>82</v>
      </c>
      <c r="AA104" s="411" t="s">
        <v>83</v>
      </c>
      <c r="AB104" s="411" t="s">
        <v>84</v>
      </c>
      <c r="AC104" s="411" t="s">
        <v>85</v>
      </c>
      <c r="AD104" s="411" t="s">
        <v>86</v>
      </c>
      <c r="AE104" s="38" t="s">
        <v>208</v>
      </c>
      <c r="AF104" s="38" t="s">
        <v>207</v>
      </c>
      <c r="AG104" s="410" t="s">
        <v>87</v>
      </c>
      <c r="AH104" s="410" t="s">
        <v>88</v>
      </c>
      <c r="AI104" s="410" t="s">
        <v>89</v>
      </c>
      <c r="AJ104" s="410" t="s">
        <v>90</v>
      </c>
      <c r="AK104" s="410" t="s">
        <v>91</v>
      </c>
      <c r="AL104" s="410" t="s">
        <v>92</v>
      </c>
      <c r="AM104" s="410" t="s">
        <v>93</v>
      </c>
      <c r="AN104" s="410" t="s">
        <v>94</v>
      </c>
      <c r="AO104" s="410" t="s">
        <v>95</v>
      </c>
      <c r="AP104" s="410" t="s">
        <v>96</v>
      </c>
      <c r="AQ104" s="410" t="s">
        <v>97</v>
      </c>
      <c r="AR104" s="410" t="s">
        <v>98</v>
      </c>
      <c r="AS104" s="443" t="s">
        <v>451</v>
      </c>
      <c r="AT104" s="443" t="s">
        <v>452</v>
      </c>
      <c r="AU104" s="443" t="s">
        <v>453</v>
      </c>
      <c r="AV104" s="443" t="s">
        <v>454</v>
      </c>
      <c r="AW104" s="443" t="s">
        <v>455</v>
      </c>
      <c r="AX104" s="443" t="s">
        <v>456</v>
      </c>
      <c r="AY104" s="443" t="s">
        <v>457</v>
      </c>
      <c r="AZ104" s="443" t="s">
        <v>458</v>
      </c>
      <c r="BA104" s="410" t="s">
        <v>99</v>
      </c>
      <c r="BB104" s="410" t="s">
        <v>100</v>
      </c>
      <c r="BC104" s="410" t="s">
        <v>101</v>
      </c>
      <c r="BD104" s="410" t="s">
        <v>102</v>
      </c>
      <c r="BE104" s="410" t="s">
        <v>103</v>
      </c>
      <c r="BF104" s="410" t="s">
        <v>104</v>
      </c>
      <c r="BG104" s="410" t="s">
        <v>105</v>
      </c>
      <c r="BH104" s="410" t="s">
        <v>106</v>
      </c>
      <c r="BI104" s="410" t="s">
        <v>107</v>
      </c>
      <c r="BJ104" s="410" t="s">
        <v>108</v>
      </c>
      <c r="BK104" s="410" t="s">
        <v>109</v>
      </c>
      <c r="BL104" s="410" t="s">
        <v>59</v>
      </c>
    </row>
    <row r="105" spans="3:64" x14ac:dyDescent="0.2">
      <c r="C105" s="404" t="s">
        <v>388</v>
      </c>
      <c r="D105" s="407">
        <v>7.2022050619125366E-2</v>
      </c>
      <c r="E105" s="407">
        <v>6.0735329985618591E-2</v>
      </c>
      <c r="F105" s="407">
        <v>7.1551233530044556E-2</v>
      </c>
      <c r="G105" s="407">
        <v>7.0265248417854309E-2</v>
      </c>
      <c r="H105" s="407">
        <v>0.10620090365409851</v>
      </c>
      <c r="I105" s="407">
        <v>8.7268926203250885E-2</v>
      </c>
      <c r="J105" s="407">
        <v>4.3297693133354187E-2</v>
      </c>
      <c r="K105" s="407">
        <v>7.9582326114177704E-2</v>
      </c>
      <c r="L105" s="407">
        <v>6.4724147319793701E-2</v>
      </c>
      <c r="M105" s="407">
        <v>7.1477264165878296E-2</v>
      </c>
      <c r="N105" s="407">
        <v>9.2578105628490448E-2</v>
      </c>
      <c r="O105" s="407">
        <v>8.3563417196273804E-2</v>
      </c>
      <c r="P105" s="407">
        <v>6.9265834987163544E-2</v>
      </c>
      <c r="Q105" s="407">
        <v>7.4366748332977295E-2</v>
      </c>
      <c r="R105" s="407">
        <v>4.9404364079236984E-2</v>
      </c>
      <c r="S105" s="407">
        <v>5.6726012378931046E-2</v>
      </c>
      <c r="T105" s="407">
        <v>5.9062249958515167E-2</v>
      </c>
      <c r="U105" s="407">
        <v>6.2310181558132172E-2</v>
      </c>
      <c r="V105" s="407">
        <v>5.4855838418006897E-2</v>
      </c>
      <c r="W105" s="407">
        <v>9.762941300868988E-2</v>
      </c>
      <c r="X105" s="407">
        <v>6.8767145276069641E-2</v>
      </c>
      <c r="Y105" s="407">
        <v>6.0825943946838379E-2</v>
      </c>
      <c r="Z105" s="407">
        <v>7.3222771286964417E-2</v>
      </c>
      <c r="AA105" s="407">
        <v>8.5145935416221619E-2</v>
      </c>
      <c r="AB105" s="407">
        <v>6.0595721006393433E-2</v>
      </c>
      <c r="AC105" s="407">
        <v>6.0595721006393433E-2</v>
      </c>
      <c r="AD105" s="407">
        <v>5.7355359196662903E-2</v>
      </c>
      <c r="AE105" s="38">
        <f>'User Add-in Location'!B111</f>
        <v>0</v>
      </c>
      <c r="AF105" s="38">
        <f>'User Add-in Location'!C111</f>
        <v>0</v>
      </c>
      <c r="AG105" s="407">
        <v>7.5486510992050171E-2</v>
      </c>
      <c r="AH105" s="407">
        <v>5.0525732338428497E-2</v>
      </c>
      <c r="AI105" s="407">
        <v>6.0598351061344147E-2</v>
      </c>
      <c r="AJ105" s="407">
        <v>5.1324471831321716E-2</v>
      </c>
      <c r="AK105" s="407">
        <v>5.5734433233737946E-2</v>
      </c>
      <c r="AL105" s="407">
        <v>8.9022882282733917E-2</v>
      </c>
      <c r="AM105" s="407">
        <v>8.2897953689098358E-2</v>
      </c>
      <c r="AN105" s="409">
        <v>4.5515261590480804E-2</v>
      </c>
      <c r="AO105" s="409">
        <v>6.5932855010032654E-2</v>
      </c>
      <c r="AP105" s="409">
        <v>5.9054233133792877E-2</v>
      </c>
      <c r="AQ105" s="409">
        <v>0.10858999192714691</v>
      </c>
      <c r="AR105" s="409">
        <v>8.4829822182655334E-2</v>
      </c>
      <c r="AS105" s="409">
        <v>0.11932235211133957</v>
      </c>
      <c r="AT105" s="409">
        <v>0.11554072052240372</v>
      </c>
      <c r="AU105" s="409">
        <v>0.11540865153074265</v>
      </c>
      <c r="AV105" s="409">
        <v>0.12656748294830322</v>
      </c>
      <c r="AW105" s="409">
        <v>0.12624785304069519</v>
      </c>
      <c r="AX105" s="409">
        <v>0.11668873578310013</v>
      </c>
      <c r="AY105" s="409">
        <v>0.12850180268287659</v>
      </c>
      <c r="AZ105" s="409">
        <v>0.12959295511245728</v>
      </c>
      <c r="BA105" s="409">
        <v>4.7410935163497925E-2</v>
      </c>
      <c r="BB105" s="409">
        <v>6.8850763142108917E-2</v>
      </c>
      <c r="BC105" s="409">
        <v>5.3833693265914917E-2</v>
      </c>
      <c r="BD105" s="409">
        <v>5.936247855424881E-2</v>
      </c>
      <c r="BE105" s="409">
        <v>8.1412225961685181E-2</v>
      </c>
      <c r="BF105" s="407">
        <v>6.7585296928882599E-2</v>
      </c>
      <c r="BG105" s="407">
        <v>8.7785661220550537E-2</v>
      </c>
      <c r="BH105" s="407">
        <v>6.8144530057907104E-2</v>
      </c>
      <c r="BI105" s="407">
        <v>8.8043436408042894E-2</v>
      </c>
      <c r="BJ105" s="407">
        <v>5.2873320877552032E-2</v>
      </c>
      <c r="BK105" s="407">
        <v>5.2873320877552032E-2</v>
      </c>
      <c r="BL105" s="407">
        <v>4.1600748896598816E-2</v>
      </c>
    </row>
    <row r="106" spans="3:64" x14ac:dyDescent="0.2">
      <c r="C106" s="404" t="s">
        <v>124</v>
      </c>
      <c r="D106" s="407">
        <v>7.4077293276786804E-2</v>
      </c>
      <c r="E106" s="407">
        <v>8.2129716873168945E-2</v>
      </c>
      <c r="F106" s="407">
        <v>0.10281090438365936</v>
      </c>
      <c r="G106" s="407">
        <v>7.5846850872039795E-2</v>
      </c>
      <c r="H106" s="407">
        <v>0.11488598585128784</v>
      </c>
      <c r="I106" s="407">
        <v>0.10427144169807434</v>
      </c>
      <c r="J106" s="407">
        <v>0.10033350437879562</v>
      </c>
      <c r="K106" s="407">
        <v>8.4711648523807526E-2</v>
      </c>
      <c r="L106" s="407">
        <v>0.13791942596435547</v>
      </c>
      <c r="M106" s="407">
        <v>0.17956778407096863</v>
      </c>
      <c r="N106" s="407">
        <v>0.11127811670303345</v>
      </c>
      <c r="O106" s="407">
        <v>7.769109308719635E-2</v>
      </c>
      <c r="P106" s="407">
        <v>8.1746965646743774E-2</v>
      </c>
      <c r="Q106" s="407">
        <v>0.10216037929058075</v>
      </c>
      <c r="R106" s="407">
        <v>8.5223197937011719E-2</v>
      </c>
      <c r="S106" s="407">
        <v>8.9708730578422546E-2</v>
      </c>
      <c r="T106" s="407">
        <v>7.6165772974491119E-2</v>
      </c>
      <c r="U106" s="407">
        <v>7.6105847954750061E-2</v>
      </c>
      <c r="V106" s="407">
        <v>8.0779492855072021E-2</v>
      </c>
      <c r="W106" s="407">
        <v>0.12154693901538849</v>
      </c>
      <c r="X106" s="407">
        <v>0.15406703948974609</v>
      </c>
      <c r="Y106" s="407">
        <v>0.11235222220420837</v>
      </c>
      <c r="Z106" s="407">
        <v>0.10204821079969406</v>
      </c>
      <c r="AA106" s="407">
        <v>0.13575765490531921</v>
      </c>
      <c r="AB106" s="407">
        <v>6.1338722705841064E-2</v>
      </c>
      <c r="AC106" s="407">
        <v>6.1338722705841064E-2</v>
      </c>
      <c r="AD106" s="407">
        <v>7.1347832679748535E-2</v>
      </c>
      <c r="AE106" s="38">
        <f>'User Add-in Location'!B112</f>
        <v>0</v>
      </c>
      <c r="AF106" s="38">
        <f>'User Add-in Location'!C112</f>
        <v>0</v>
      </c>
      <c r="AG106" s="407">
        <v>0.10009634494781494</v>
      </c>
      <c r="AH106" s="407">
        <v>9.1488257050514221E-2</v>
      </c>
      <c r="AI106" s="407">
        <v>0.1298949271440506</v>
      </c>
      <c r="AJ106" s="407">
        <v>0.12819194793701172</v>
      </c>
      <c r="AK106" s="407">
        <v>7.5703993439674377E-2</v>
      </c>
      <c r="AL106" s="407">
        <v>9.8525285720825195E-2</v>
      </c>
      <c r="AM106" s="407">
        <v>0.11286367475986481</v>
      </c>
      <c r="AN106" s="409">
        <v>7.4110686779022217E-2</v>
      </c>
      <c r="AO106" s="409">
        <v>9.6572108566761017E-2</v>
      </c>
      <c r="AP106" s="409">
        <v>6.6682144999504089E-2</v>
      </c>
      <c r="AQ106" s="409">
        <v>0.13282343745231628</v>
      </c>
      <c r="AR106" s="409">
        <v>0.10624408721923828</v>
      </c>
      <c r="AS106" s="409">
        <v>0.13649922609329224</v>
      </c>
      <c r="AT106" s="409">
        <v>0.14366742968559265</v>
      </c>
      <c r="AU106" s="409">
        <v>0.14905110001564026</v>
      </c>
      <c r="AV106" s="409">
        <v>0.14329546689987183</v>
      </c>
      <c r="AW106" s="409">
        <v>0.13962167501449585</v>
      </c>
      <c r="AX106" s="409">
        <v>0.1202499121427536</v>
      </c>
      <c r="AY106" s="409">
        <v>0.12999492883682251</v>
      </c>
      <c r="AZ106" s="409">
        <v>0.13669568300247192</v>
      </c>
      <c r="BA106" s="409">
        <v>0.13884890079498291</v>
      </c>
      <c r="BB106" s="409">
        <v>0.11919611692428589</v>
      </c>
      <c r="BC106" s="409">
        <v>9.2966318130493164E-2</v>
      </c>
      <c r="BD106" s="409">
        <v>0.10179592669010162</v>
      </c>
      <c r="BE106" s="409">
        <v>8.8058724999427795E-2</v>
      </c>
      <c r="BF106" s="407">
        <v>0.10107317566871643</v>
      </c>
      <c r="BG106" s="407">
        <v>9.6373021602630615E-2</v>
      </c>
      <c r="BH106" s="407">
        <v>0.10056445747613907</v>
      </c>
      <c r="BI106" s="407">
        <v>0.14489337801933289</v>
      </c>
      <c r="BJ106" s="407">
        <v>6.7753508687019348E-2</v>
      </c>
      <c r="BK106" s="407">
        <v>6.7753508687019348E-2</v>
      </c>
      <c r="BL106" s="407">
        <v>5.5423393845558167E-2</v>
      </c>
    </row>
    <row r="107" spans="3:64" x14ac:dyDescent="0.2">
      <c r="C107" s="404" t="s">
        <v>56</v>
      </c>
      <c r="D107" s="407">
        <v>0.11052124202251434</v>
      </c>
      <c r="E107" s="407">
        <v>7.8606247901916504E-2</v>
      </c>
      <c r="F107" s="407">
        <v>0.12779009342193604</v>
      </c>
      <c r="G107" s="407">
        <v>9.355442225933075E-2</v>
      </c>
      <c r="H107" s="407">
        <v>0.15173226594924927</v>
      </c>
      <c r="I107" s="407">
        <v>0.13063517212867737</v>
      </c>
      <c r="J107" s="407">
        <v>0.11787351965904236</v>
      </c>
      <c r="K107" s="407">
        <v>0.10924124717712402</v>
      </c>
      <c r="L107" s="407">
        <v>9.8329454660415649E-2</v>
      </c>
      <c r="M107" s="407">
        <v>0.14715391397476196</v>
      </c>
      <c r="N107" s="407">
        <v>0.12936955690383911</v>
      </c>
      <c r="O107" s="407">
        <v>8.7847203016281128E-2</v>
      </c>
      <c r="P107" s="407">
        <v>0.10327333211898804</v>
      </c>
      <c r="Q107" s="407">
        <v>0.13019940257072449</v>
      </c>
      <c r="R107" s="407">
        <v>9.8158836364746094E-2</v>
      </c>
      <c r="S107" s="407">
        <v>8.3017349243164063E-2</v>
      </c>
      <c r="T107" s="407">
        <v>9.2436403036117554E-2</v>
      </c>
      <c r="U107" s="407">
        <v>9.3719109892845154E-2</v>
      </c>
      <c r="V107" s="407">
        <v>0.1007673442363739</v>
      </c>
      <c r="W107" s="407">
        <v>0.11820071935653687</v>
      </c>
      <c r="X107" s="407">
        <v>0.11622264981269836</v>
      </c>
      <c r="Y107" s="407">
        <v>0.13976925611495972</v>
      </c>
      <c r="Z107" s="407">
        <v>0.14146435260772705</v>
      </c>
      <c r="AA107" s="407">
        <v>0.13475555181503296</v>
      </c>
      <c r="AB107" s="407">
        <v>8.453233540058136E-2</v>
      </c>
      <c r="AC107" s="407">
        <v>8.453233540058136E-2</v>
      </c>
      <c r="AD107" s="407">
        <v>9.3602165579795837E-2</v>
      </c>
      <c r="AE107" s="38">
        <f>'User Add-in Location'!B113</f>
        <v>0</v>
      </c>
      <c r="AF107" s="38">
        <f>'User Add-in Location'!C113</f>
        <v>0</v>
      </c>
      <c r="AG107" s="407">
        <v>0.10034343600273132</v>
      </c>
      <c r="AH107" s="407">
        <v>9.2998713254928589E-2</v>
      </c>
      <c r="AI107" s="407">
        <v>0.11467193067073822</v>
      </c>
      <c r="AJ107" s="407">
        <v>0.13100671768188477</v>
      </c>
      <c r="AK107" s="407">
        <v>9.186321496963501E-2</v>
      </c>
      <c r="AL107" s="407">
        <v>0.12505567073822021</v>
      </c>
      <c r="AM107" s="407">
        <v>0.12091526389122009</v>
      </c>
      <c r="AN107" s="409">
        <v>7.8004419803619385E-2</v>
      </c>
      <c r="AO107" s="409">
        <v>0.13107138872146606</v>
      </c>
      <c r="AP107" s="409">
        <v>9.4424501061439514E-2</v>
      </c>
      <c r="AQ107" s="409">
        <v>0.13207921385765076</v>
      </c>
      <c r="AR107" s="409">
        <v>0.13124307990074158</v>
      </c>
      <c r="AS107" s="409">
        <v>0.1783948689699173</v>
      </c>
      <c r="AT107" s="409">
        <v>0.16826549172401428</v>
      </c>
      <c r="AU107" s="409">
        <v>0.16599269211292267</v>
      </c>
      <c r="AV107" s="409">
        <v>0.17435069382190704</v>
      </c>
      <c r="AW107" s="409">
        <v>0.19129303097724915</v>
      </c>
      <c r="AX107" s="409">
        <v>0.16624665260314941</v>
      </c>
      <c r="AY107" s="409">
        <v>0.16132573783397675</v>
      </c>
      <c r="AZ107" s="409">
        <v>0.17983773350715637</v>
      </c>
      <c r="BA107" s="409">
        <v>0.11122629046440125</v>
      </c>
      <c r="BB107" s="409">
        <v>0.11197492480278015</v>
      </c>
      <c r="BC107" s="409">
        <v>8.7915480136871338E-2</v>
      </c>
      <c r="BD107" s="409">
        <v>0.11988635361194611</v>
      </c>
      <c r="BE107" s="409">
        <v>0.12915775179862976</v>
      </c>
      <c r="BF107" s="407">
        <v>0.1308654248714447</v>
      </c>
      <c r="BG107" s="407">
        <v>9.8900020122528076E-2</v>
      </c>
      <c r="BH107" s="407">
        <v>0.12531787157058716</v>
      </c>
      <c r="BI107" s="407">
        <v>0.13178491592407227</v>
      </c>
      <c r="BJ107" s="407">
        <v>7.3407024145126343E-2</v>
      </c>
      <c r="BK107" s="407">
        <v>7.3407024145126343E-2</v>
      </c>
      <c r="BL107" s="407">
        <v>5.7849317789077759E-2</v>
      </c>
    </row>
    <row r="108" spans="3:64" x14ac:dyDescent="0.2">
      <c r="C108" s="404" t="s">
        <v>389</v>
      </c>
      <c r="D108" s="407">
        <v>8.5293889045715332E-2</v>
      </c>
      <c r="E108" s="407">
        <v>5.8598935604095459E-2</v>
      </c>
      <c r="F108" s="407">
        <v>9.3858301639556885E-2</v>
      </c>
      <c r="G108" s="407">
        <v>7.4712425470352173E-2</v>
      </c>
      <c r="H108" s="407">
        <v>0.10828280448913574</v>
      </c>
      <c r="I108" s="407">
        <v>9.8359942436218262E-2</v>
      </c>
      <c r="J108" s="407">
        <v>9.0314388275146484E-2</v>
      </c>
      <c r="K108" s="407">
        <v>8.0390036106109619E-2</v>
      </c>
      <c r="L108" s="407">
        <v>6.6717922687530518E-2</v>
      </c>
      <c r="M108" s="407">
        <v>0.1094573438167572</v>
      </c>
      <c r="N108" s="407">
        <v>9.9979937076568604E-2</v>
      </c>
      <c r="O108" s="407">
        <v>6.1975836753845215E-2</v>
      </c>
      <c r="P108" s="407">
        <v>8.2414299249649048E-2</v>
      </c>
      <c r="Q108" s="407">
        <v>9.1473221778869629E-2</v>
      </c>
      <c r="R108" s="407">
        <v>7.3112845420837402E-2</v>
      </c>
      <c r="S108" s="407">
        <v>6.3647329807281494E-2</v>
      </c>
      <c r="T108" s="407">
        <v>6.9069713354110718E-2</v>
      </c>
      <c r="U108" s="407">
        <v>7.3205083608627319E-2</v>
      </c>
      <c r="V108" s="407">
        <v>7.4840724468231201E-2</v>
      </c>
      <c r="W108" s="407">
        <v>9.7229212522506714E-2</v>
      </c>
      <c r="X108" s="407">
        <v>8.4330976009368896E-2</v>
      </c>
      <c r="Y108" s="407">
        <v>0.10200494527816772</v>
      </c>
      <c r="Z108" s="407">
        <v>0.10652384161949158</v>
      </c>
      <c r="AA108" s="407">
        <v>9.8746955394744873E-2</v>
      </c>
      <c r="AB108" s="407">
        <v>6.7531049251556396E-2</v>
      </c>
      <c r="AC108" s="407">
        <v>6.7531049251556396E-2</v>
      </c>
      <c r="AD108" s="407">
        <v>7.3530346155166626E-2</v>
      </c>
      <c r="AE108" s="38">
        <f>'User Add-in Location'!B114</f>
        <v>0</v>
      </c>
      <c r="AF108" s="38">
        <f>'User Add-in Location'!C114</f>
        <v>0</v>
      </c>
      <c r="AG108" s="407">
        <v>7.1131348609924316E-2</v>
      </c>
      <c r="AH108" s="407">
        <v>6.4904212951660156E-2</v>
      </c>
      <c r="AI108" s="407">
        <v>9.3893051147460938E-2</v>
      </c>
      <c r="AJ108" s="407">
        <v>9.4958901405334473E-2</v>
      </c>
      <c r="AK108" s="407">
        <v>7.0254027843475342E-2</v>
      </c>
      <c r="AL108" s="407">
        <v>8.7938547134399414E-2</v>
      </c>
      <c r="AM108" s="407">
        <v>9.4015806913375854E-2</v>
      </c>
      <c r="AN108" s="409">
        <v>5.8644413948059082E-2</v>
      </c>
      <c r="AO108" s="409">
        <v>9.8987400531768799E-2</v>
      </c>
      <c r="AP108" s="409">
        <v>7.5071036815643311E-2</v>
      </c>
      <c r="AQ108" s="409">
        <v>9.6417069435119629E-2</v>
      </c>
      <c r="AR108" s="409">
        <v>9.6606820821762085E-2</v>
      </c>
      <c r="AS108" s="409">
        <v>0.12866061925888062</v>
      </c>
      <c r="AT108" s="409">
        <v>0.12247338891029358</v>
      </c>
      <c r="AU108" s="409">
        <v>0.12370432913303375</v>
      </c>
      <c r="AV108" s="409">
        <v>0.13114015758037567</v>
      </c>
      <c r="AW108" s="409">
        <v>0.13722643256187439</v>
      </c>
      <c r="AX108" s="409">
        <v>0.12289129197597504</v>
      </c>
      <c r="AY108" s="409">
        <v>0.11687140166759491</v>
      </c>
      <c r="AZ108" s="409">
        <v>0.12846110761165619</v>
      </c>
      <c r="BA108" s="409">
        <v>8.3955377340316772E-2</v>
      </c>
      <c r="BB108" s="409">
        <v>8.5963904857635498E-2</v>
      </c>
      <c r="BC108" s="409">
        <v>6.9595247507095337E-2</v>
      </c>
      <c r="BD108" s="409">
        <v>9.4275295734405518E-2</v>
      </c>
      <c r="BE108" s="409">
        <v>9.4256937503814697E-2</v>
      </c>
      <c r="BF108" s="407">
        <v>9.7242116928100586E-2</v>
      </c>
      <c r="BG108" s="407">
        <v>8.1975102424621582E-2</v>
      </c>
      <c r="BH108" s="407">
        <v>9.409719705581665E-2</v>
      </c>
      <c r="BI108" s="407">
        <v>9.2536807060241699E-2</v>
      </c>
      <c r="BJ108" s="407">
        <v>5.5668950080871582E-2</v>
      </c>
      <c r="BK108" s="407">
        <v>5.5668950080871582E-2</v>
      </c>
      <c r="BL108" s="407">
        <v>4.2779684066772461E-2</v>
      </c>
    </row>
    <row r="109" spans="3:64" x14ac:dyDescent="0.2">
      <c r="C109" s="404" t="s">
        <v>390</v>
      </c>
      <c r="D109" s="407">
        <v>5.7008787989616394E-2</v>
      </c>
      <c r="E109" s="407">
        <v>5.2636191248893738E-2</v>
      </c>
      <c r="F109" s="407">
        <v>7.0985347032546997E-2</v>
      </c>
      <c r="G109" s="407">
        <v>5.0909996032714844E-2</v>
      </c>
      <c r="H109" s="407">
        <v>9.0973064303398132E-2</v>
      </c>
      <c r="I109" s="407">
        <v>7.1213260293006897E-2</v>
      </c>
      <c r="J109" s="407">
        <v>6.7295953631401062E-2</v>
      </c>
      <c r="K109" s="407">
        <v>6.1816364526748657E-2</v>
      </c>
      <c r="L109" s="407">
        <v>4.8565089702606201E-2</v>
      </c>
      <c r="M109" s="407">
        <v>7.8335940837860107E-2</v>
      </c>
      <c r="N109" s="407">
        <v>6.9162964820861816E-2</v>
      </c>
      <c r="O109" s="407">
        <v>5.8168709278106689E-2</v>
      </c>
      <c r="P109" s="407">
        <v>5.3880199790000916E-2</v>
      </c>
      <c r="Q109" s="407">
        <v>7.6734334230422974E-2</v>
      </c>
      <c r="R109" s="407">
        <v>5.7431966066360474E-2</v>
      </c>
      <c r="S109" s="407">
        <v>5.0112739205360413E-2</v>
      </c>
      <c r="T109" s="407">
        <v>5.1987797021865845E-2</v>
      </c>
      <c r="U109" s="407">
        <v>5.3784668445587158E-2</v>
      </c>
      <c r="V109" s="407">
        <v>5.589526891708374E-2</v>
      </c>
      <c r="W109" s="407">
        <v>6.0357525944709778E-2</v>
      </c>
      <c r="X109" s="407">
        <v>6.4719140529632568E-2</v>
      </c>
      <c r="Y109" s="407">
        <v>7.7670872211456299E-2</v>
      </c>
      <c r="Z109" s="407">
        <v>7.6465442776679993E-2</v>
      </c>
      <c r="AA109" s="407">
        <v>7.5290665030479431E-2</v>
      </c>
      <c r="AB109" s="407">
        <v>4.6874478459358215E-2</v>
      </c>
      <c r="AC109" s="407">
        <v>4.6874478459358215E-2</v>
      </c>
      <c r="AD109" s="407">
        <v>5.058734118938446E-2</v>
      </c>
      <c r="AE109" s="38">
        <f>'User Add-in Location'!B115</f>
        <v>0</v>
      </c>
      <c r="AF109" s="38">
        <f>'User Add-in Location'!C115</f>
        <v>0</v>
      </c>
      <c r="AG109" s="407">
        <v>5.6687012314796448E-2</v>
      </c>
      <c r="AH109" s="407">
        <v>5.7743102312088013E-2</v>
      </c>
      <c r="AI109" s="407">
        <v>6.2633708119392395E-2</v>
      </c>
      <c r="AJ109" s="407">
        <v>7.6162710785865784E-2</v>
      </c>
      <c r="AK109" s="407">
        <v>5.0059586763381958E-2</v>
      </c>
      <c r="AL109" s="407">
        <v>7.0327192544937134E-2</v>
      </c>
      <c r="AM109" s="407">
        <v>6.4843073487281799E-2</v>
      </c>
      <c r="AN109" s="409">
        <v>4.7556251287460327E-2</v>
      </c>
      <c r="AO109" s="409">
        <v>7.1278229355812073E-2</v>
      </c>
      <c r="AP109" s="409">
        <v>5.0431042909622192E-2</v>
      </c>
      <c r="AQ109" s="409">
        <v>7.3149591684341431E-2</v>
      </c>
      <c r="AR109" s="409">
        <v>7.2792679071426392E-2</v>
      </c>
      <c r="AS109" s="409">
        <v>9.6454322338104248E-2</v>
      </c>
      <c r="AT109" s="409">
        <v>9.3292683362960815E-2</v>
      </c>
      <c r="AU109" s="409">
        <v>8.561350405216217E-2</v>
      </c>
      <c r="AV109" s="409">
        <v>9.0619727969169617E-2</v>
      </c>
      <c r="AW109" s="409">
        <v>0.10393379628658295</v>
      </c>
      <c r="AX109" s="409">
        <v>8.8510885834693909E-2</v>
      </c>
      <c r="AY109" s="409">
        <v>8.778873085975647E-2</v>
      </c>
      <c r="AZ109" s="409">
        <v>0.10624146461486816</v>
      </c>
      <c r="BA109" s="409">
        <v>6.1814501881599426E-2</v>
      </c>
      <c r="BB109" s="409">
        <v>5.9975624084472656E-2</v>
      </c>
      <c r="BC109" s="409">
        <v>4.9114391207695007E-2</v>
      </c>
      <c r="BD109" s="409">
        <v>6.444413959980011E-2</v>
      </c>
      <c r="BE109" s="409">
        <v>7.1200743317604065E-2</v>
      </c>
      <c r="BF109" s="407">
        <v>6.8753063678741455E-2</v>
      </c>
      <c r="BG109" s="407">
        <v>5.2743270993232727E-2</v>
      </c>
      <c r="BH109" s="407">
        <v>6.522485613822937E-2</v>
      </c>
      <c r="BI109" s="407">
        <v>7.5717270374298096E-2</v>
      </c>
      <c r="BJ109" s="407">
        <v>4.3760120868682861E-2</v>
      </c>
      <c r="BK109" s="407">
        <v>4.3760120868682861E-2</v>
      </c>
      <c r="BL109" s="407">
        <v>3.6290138959884644E-2</v>
      </c>
    </row>
    <row r="110" spans="3:64" x14ac:dyDescent="0.2">
      <c r="C110" s="404" t="s">
        <v>125</v>
      </c>
      <c r="D110" s="407">
        <v>8.2855224609375E-2</v>
      </c>
      <c r="E110" s="407">
        <v>9.9531322717666626E-2</v>
      </c>
      <c r="F110" s="407">
        <v>0.10498008131980896</v>
      </c>
      <c r="G110" s="407">
        <v>8.461790531873703E-2</v>
      </c>
      <c r="H110" s="407">
        <v>0.16439609229564667</v>
      </c>
      <c r="I110" s="407">
        <v>0.11468459665775299</v>
      </c>
      <c r="J110" s="407">
        <v>9.5816001296043396E-2</v>
      </c>
      <c r="K110" s="407">
        <v>9.4632573425769806E-2</v>
      </c>
      <c r="L110" s="407">
        <v>7.3123857378959656E-2</v>
      </c>
      <c r="M110" s="407">
        <v>0.12332773208618164</v>
      </c>
      <c r="N110" s="407">
        <v>9.9660366773605347E-2</v>
      </c>
      <c r="O110" s="407">
        <v>9.9451825022697449E-2</v>
      </c>
      <c r="P110" s="407">
        <v>8.3054736256599426E-2</v>
      </c>
      <c r="Q110" s="407">
        <v>0.12500174343585968</v>
      </c>
      <c r="R110" s="407">
        <v>7.8392535448074341E-2</v>
      </c>
      <c r="S110" s="407">
        <v>7.2262465953826904E-2</v>
      </c>
      <c r="T110" s="407">
        <v>7.5674772262573242E-2</v>
      </c>
      <c r="U110" s="407">
        <v>8.2488358020782471E-2</v>
      </c>
      <c r="V110" s="407">
        <v>9.9336922168731689E-2</v>
      </c>
      <c r="W110" s="407">
        <v>9.292110800743103E-2</v>
      </c>
      <c r="X110" s="407">
        <v>9.3305572867393494E-2</v>
      </c>
      <c r="Y110" s="407">
        <v>0.12173859775066376</v>
      </c>
      <c r="Z110" s="407">
        <v>0.11697079241275787</v>
      </c>
      <c r="AA110" s="407">
        <v>0.12274627387523651</v>
      </c>
      <c r="AB110" s="407">
        <v>7.0543959736824036E-2</v>
      </c>
      <c r="AC110" s="407">
        <v>7.0543959736824036E-2</v>
      </c>
      <c r="AD110" s="407">
        <v>7.832462340593338E-2</v>
      </c>
      <c r="AE110" s="38">
        <f>'User Add-in Location'!B116</f>
        <v>0</v>
      </c>
      <c r="AF110" s="38">
        <f>'User Add-in Location'!C116</f>
        <v>0</v>
      </c>
      <c r="AG110" s="407">
        <v>8.9789636433124542E-2</v>
      </c>
      <c r="AH110" s="407">
        <v>8.4191739559173584E-2</v>
      </c>
      <c r="AI110" s="407">
        <v>8.6293935775756836E-2</v>
      </c>
      <c r="AJ110" s="407">
        <v>0.1157120019197464</v>
      </c>
      <c r="AK110" s="407">
        <v>7.8685730695724487E-2</v>
      </c>
      <c r="AL110" s="407">
        <v>0.10929867625236511</v>
      </c>
      <c r="AM110" s="407">
        <v>9.6797123551368713E-2</v>
      </c>
      <c r="AN110" s="409">
        <v>7.8340388834476471E-2</v>
      </c>
      <c r="AO110" s="409">
        <v>0.10910031199455261</v>
      </c>
      <c r="AP110" s="409">
        <v>7.7820166945457458E-2</v>
      </c>
      <c r="AQ110" s="409">
        <v>0.12480585277080536</v>
      </c>
      <c r="AR110" s="409">
        <v>0.11615201830863953</v>
      </c>
      <c r="AS110" s="409">
        <v>0.15506035089492798</v>
      </c>
      <c r="AT110" s="409">
        <v>0.15404243767261505</v>
      </c>
      <c r="AU110" s="409">
        <v>0.13600185513496399</v>
      </c>
      <c r="AV110" s="409">
        <v>0.14991156756877899</v>
      </c>
      <c r="AW110" s="409">
        <v>0.17634327709674835</v>
      </c>
      <c r="AX110" s="409">
        <v>0.16960954666137695</v>
      </c>
      <c r="AY110" s="409">
        <v>0.15676973760128021</v>
      </c>
      <c r="AZ110" s="409">
        <v>0.19165755808353424</v>
      </c>
      <c r="BA110" s="409">
        <v>8.9958041906356812E-2</v>
      </c>
      <c r="BB110" s="409">
        <v>8.1700190901756287E-2</v>
      </c>
      <c r="BC110" s="409">
        <v>6.8912625312805176E-2</v>
      </c>
      <c r="BD110" s="409">
        <v>9.2791497707366943E-2</v>
      </c>
      <c r="BE110" s="409">
        <v>0.12337969988584518</v>
      </c>
      <c r="BF110" s="407">
        <v>0.10831406712532043</v>
      </c>
      <c r="BG110" s="407">
        <v>7.664315402507782E-2</v>
      </c>
      <c r="BH110" s="407">
        <v>9.4849497079849243E-2</v>
      </c>
      <c r="BI110" s="407">
        <v>0.12520357966423035</v>
      </c>
      <c r="BJ110" s="407">
        <v>6.939484179019928E-2</v>
      </c>
      <c r="BK110" s="407">
        <v>6.939484179019928E-2</v>
      </c>
      <c r="BL110" s="407">
        <v>6.0180310159921646E-2</v>
      </c>
    </row>
    <row r="111" spans="3:64" x14ac:dyDescent="0.2">
      <c r="C111" s="404" t="s">
        <v>126</v>
      </c>
      <c r="D111" s="407">
        <v>9.0707093477249146E-2</v>
      </c>
      <c r="E111" s="407">
        <v>8.3166688680648804E-2</v>
      </c>
      <c r="F111" s="407">
        <v>0.12139476835727692</v>
      </c>
      <c r="G111" s="407">
        <v>8.1758543848991394E-2</v>
      </c>
      <c r="H111" s="407">
        <v>0.16679544746875763</v>
      </c>
      <c r="I111" s="407">
        <v>0.12072563171386719</v>
      </c>
      <c r="J111" s="407">
        <v>0.11832337081432343</v>
      </c>
      <c r="K111" s="407">
        <v>9.9089384078979492E-2</v>
      </c>
      <c r="L111" s="407">
        <v>0.10124845802783966</v>
      </c>
      <c r="M111" s="407">
        <v>0.13830667734146118</v>
      </c>
      <c r="N111" s="407">
        <v>0.11767110228538513</v>
      </c>
      <c r="O111" s="407">
        <v>9.9695354700088501E-2</v>
      </c>
      <c r="P111" s="407">
        <v>8.5468828678131104E-2</v>
      </c>
      <c r="Q111" s="407">
        <v>0.13835315406322479</v>
      </c>
      <c r="R111" s="407">
        <v>8.7425753474235535E-2</v>
      </c>
      <c r="S111" s="407">
        <v>7.617129385471344E-2</v>
      </c>
      <c r="T111" s="407">
        <v>8.263590931892395E-2</v>
      </c>
      <c r="U111" s="407">
        <v>8.7520062923431396E-2</v>
      </c>
      <c r="V111" s="407">
        <v>8.417905867099762E-2</v>
      </c>
      <c r="W111" s="407">
        <v>0.10272963345050812</v>
      </c>
      <c r="X111" s="407">
        <v>0.11164616048336029</v>
      </c>
      <c r="Y111" s="407">
        <v>0.13887302577495575</v>
      </c>
      <c r="Z111" s="407">
        <v>0.13115154206752777</v>
      </c>
      <c r="AA111" s="407">
        <v>0.13105268776416779</v>
      </c>
      <c r="AB111" s="407">
        <v>7.0281341671943665E-2</v>
      </c>
      <c r="AC111" s="407">
        <v>7.0281341671943665E-2</v>
      </c>
      <c r="AD111" s="407">
        <v>7.5212284922599792E-2</v>
      </c>
      <c r="AE111" s="38">
        <f>'User Add-in Location'!B117</f>
        <v>0</v>
      </c>
      <c r="AF111" s="38">
        <f>'User Add-in Location'!C117</f>
        <v>0</v>
      </c>
      <c r="AG111" s="407">
        <v>9.0307056903839111E-2</v>
      </c>
      <c r="AH111" s="407">
        <v>9.3943327665328979E-2</v>
      </c>
      <c r="AI111" s="407">
        <v>0.10067766904830933</v>
      </c>
      <c r="AJ111" s="407">
        <v>0.12959389388561249</v>
      </c>
      <c r="AK111" s="407">
        <v>8.1270098686218262E-2</v>
      </c>
      <c r="AL111" s="407">
        <v>0.12725254893302917</v>
      </c>
      <c r="AM111" s="407">
        <v>0.1102282851934433</v>
      </c>
      <c r="AN111" s="409">
        <v>6.9533407688140869E-2</v>
      </c>
      <c r="AO111" s="409">
        <v>0.11912219226360321</v>
      </c>
      <c r="AP111" s="409">
        <v>7.8790977597236633E-2</v>
      </c>
      <c r="AQ111" s="409">
        <v>0.12817536294460297</v>
      </c>
      <c r="AR111" s="409">
        <v>0.12685616314411163</v>
      </c>
      <c r="AS111" s="409">
        <v>0.17798379063606262</v>
      </c>
      <c r="AT111" s="409">
        <v>0.16666179895401001</v>
      </c>
      <c r="AU111" s="409">
        <v>0.14980448782444</v>
      </c>
      <c r="AV111" s="409">
        <v>0.15952664613723755</v>
      </c>
      <c r="AW111" s="409">
        <v>0.18759302794933319</v>
      </c>
      <c r="AX111" s="409">
        <v>0.14745563268661499</v>
      </c>
      <c r="AY111" s="409">
        <v>0.15429075062274933</v>
      </c>
      <c r="AZ111" s="409">
        <v>0.19403882324695587</v>
      </c>
      <c r="BA111" s="409">
        <v>0.10653762519359589</v>
      </c>
      <c r="BB111" s="409">
        <v>8.9820072054862976E-2</v>
      </c>
      <c r="BC111" s="409">
        <v>7.358318567276001E-2</v>
      </c>
      <c r="BD111" s="409">
        <v>0.10152879357337952</v>
      </c>
      <c r="BE111" s="409">
        <v>0.11368881165981293</v>
      </c>
      <c r="BF111" s="407">
        <v>0.11928093433380127</v>
      </c>
      <c r="BG111" s="407">
        <v>8.3339020609855652E-2</v>
      </c>
      <c r="BH111" s="407">
        <v>0.10485431551933289</v>
      </c>
      <c r="BI111" s="407">
        <v>0.13018167018890381</v>
      </c>
      <c r="BJ111" s="407">
        <v>6.7323982715606689E-2</v>
      </c>
      <c r="BK111" s="407">
        <v>6.7323982715606689E-2</v>
      </c>
      <c r="BL111" s="407">
        <v>4.9548104405403137E-2</v>
      </c>
    </row>
    <row r="112" spans="3:64" x14ac:dyDescent="0.2">
      <c r="C112" s="404" t="s">
        <v>127</v>
      </c>
      <c r="D112" s="407">
        <v>9.1220006346702576E-2</v>
      </c>
      <c r="E112" s="407">
        <v>7.4481353163719177E-2</v>
      </c>
      <c r="F112" s="407">
        <v>0.12704972922801971</v>
      </c>
      <c r="G112" s="407">
        <v>8.8387772440910339E-2</v>
      </c>
      <c r="H112" s="407">
        <v>0.16254232823848724</v>
      </c>
      <c r="I112" s="407">
        <v>0.12371738255023956</v>
      </c>
      <c r="J112" s="407">
        <v>0.11978858709335327</v>
      </c>
      <c r="K112" s="407">
        <v>9.4927877187728882E-2</v>
      </c>
      <c r="L112" s="407">
        <v>0.10190229862928391</v>
      </c>
      <c r="M112" s="407">
        <v>0.13948221504688263</v>
      </c>
      <c r="N112" s="407">
        <v>0.1162048876285553</v>
      </c>
      <c r="O112" s="407">
        <v>0</v>
      </c>
      <c r="P112" s="407">
        <v>8.7163820862770081E-2</v>
      </c>
      <c r="Q112" s="407">
        <v>0.13596569001674652</v>
      </c>
      <c r="R112" s="407">
        <v>8.9750245213508606E-2</v>
      </c>
      <c r="S112" s="407">
        <v>7.954426109790802E-2</v>
      </c>
      <c r="T112" s="407">
        <v>8.3477914333343506E-2</v>
      </c>
      <c r="U112" s="407">
        <v>8.8685795664787292E-2</v>
      </c>
      <c r="V112" s="407">
        <v>8.4563344717025757E-2</v>
      </c>
      <c r="W112" s="407">
        <v>0.10248531401157379</v>
      </c>
      <c r="X112" s="407">
        <v>0.1124413013458252</v>
      </c>
      <c r="Y112" s="407">
        <v>0.13891565799713135</v>
      </c>
      <c r="Z112" s="407">
        <v>0.12881067395210266</v>
      </c>
      <c r="AA112" s="407">
        <v>0.13348689675331116</v>
      </c>
      <c r="AB112" s="407">
        <v>6.8808898329734802E-2</v>
      </c>
      <c r="AC112" s="407">
        <v>6.8808898329734802E-2</v>
      </c>
      <c r="AD112" s="407">
        <v>7.8458249568939209E-2</v>
      </c>
      <c r="AE112" s="38">
        <f>'User Add-in Location'!B118</f>
        <v>0</v>
      </c>
      <c r="AF112" s="38">
        <f>'User Add-in Location'!C118</f>
        <v>0</v>
      </c>
      <c r="AG112" s="407">
        <v>9.8100244998931885E-2</v>
      </c>
      <c r="AH112" s="407">
        <v>0.10622282326221466</v>
      </c>
      <c r="AI112" s="407">
        <v>0.10016071796417236</v>
      </c>
      <c r="AJ112" s="407">
        <v>0.13295328617095947</v>
      </c>
      <c r="AK112" s="407">
        <v>7.9033896327018738E-2</v>
      </c>
      <c r="AL112" s="407">
        <v>0.13091439008712769</v>
      </c>
      <c r="AM112" s="407">
        <v>0.11262524127960205</v>
      </c>
      <c r="AN112" s="409">
        <v>8.0427944660186768E-2</v>
      </c>
      <c r="AO112" s="409">
        <v>0.12216031551361084</v>
      </c>
      <c r="AP112" s="409">
        <v>7.8414976596832275E-2</v>
      </c>
      <c r="AQ112" s="409">
        <v>0.13127210736274719</v>
      </c>
      <c r="AR112" s="409">
        <v>0.13227970898151398</v>
      </c>
      <c r="AS112" s="409">
        <v>0.17883162200450897</v>
      </c>
      <c r="AT112" s="409">
        <v>0.17032702267169952</v>
      </c>
      <c r="AU112" s="409">
        <v>0.15354973077774048</v>
      </c>
      <c r="AV112" s="409">
        <v>0.16073289513587952</v>
      </c>
      <c r="AW112" s="409">
        <v>0.18877868354320526</v>
      </c>
      <c r="AX112" s="409">
        <v>0.14744561910629272</v>
      </c>
      <c r="AY112" s="409">
        <v>0.1583067774772644</v>
      </c>
      <c r="AZ112" s="409">
        <v>0.1883750706911087</v>
      </c>
      <c r="BA112" s="409">
        <v>0.11085712909698486</v>
      </c>
      <c r="BB112" s="409">
        <v>8.8033884763717651E-2</v>
      </c>
      <c r="BC112" s="409">
        <v>8.3269670605659485E-2</v>
      </c>
      <c r="BD112" s="409">
        <v>0.10776256024837494</v>
      </c>
      <c r="BE112" s="409">
        <v>0.11368860304355621</v>
      </c>
      <c r="BF112" s="407">
        <v>0.1229189932346344</v>
      </c>
      <c r="BG112" s="407">
        <v>8.2771122455596924E-2</v>
      </c>
      <c r="BH112" s="407">
        <v>0.1143491119146347</v>
      </c>
      <c r="BI112" s="407">
        <v>0.13150632381439209</v>
      </c>
      <c r="BJ112" s="407">
        <v>7.4854046106338501E-2</v>
      </c>
      <c r="BK112" s="407">
        <v>7.4854046106338501E-2</v>
      </c>
      <c r="BL112" s="407">
        <v>5.0485193729400635E-2</v>
      </c>
    </row>
    <row r="113" spans="3:64" x14ac:dyDescent="0.2">
      <c r="C113" s="404" t="s">
        <v>391</v>
      </c>
      <c r="D113" s="407">
        <v>7.4662789702415466E-2</v>
      </c>
      <c r="E113" s="407">
        <v>5.9011250734329224E-2</v>
      </c>
      <c r="F113" s="407">
        <v>0.1093154102563858</v>
      </c>
      <c r="G113" s="407">
        <v>7.8450217843055725E-2</v>
      </c>
      <c r="H113" s="407">
        <v>0.14845746755599976</v>
      </c>
      <c r="I113" s="407">
        <v>0.11130346357822418</v>
      </c>
      <c r="J113" s="407">
        <v>8.960336446762085E-2</v>
      </c>
      <c r="K113" s="407">
        <v>7.0097565650939941E-2</v>
      </c>
      <c r="L113" s="407">
        <v>0</v>
      </c>
      <c r="M113" s="407">
        <v>0.12213598191738129</v>
      </c>
      <c r="N113" s="407">
        <v>8.8850066065788269E-2</v>
      </c>
      <c r="O113" s="407">
        <v>0</v>
      </c>
      <c r="P113" s="407">
        <v>7.5594410300254822E-2</v>
      </c>
      <c r="Q113" s="407">
        <v>0.11863648891448975</v>
      </c>
      <c r="R113" s="407">
        <v>7.8971162438392639E-2</v>
      </c>
      <c r="S113" s="407">
        <v>6.2069013714790344E-2</v>
      </c>
      <c r="T113" s="407">
        <v>7.0624381303787231E-2</v>
      </c>
      <c r="U113" s="407">
        <v>7.0573121309280396E-2</v>
      </c>
      <c r="V113" s="407">
        <v>6.79960697889328E-2</v>
      </c>
      <c r="W113" s="407">
        <v>7.9578891396522522E-2</v>
      </c>
      <c r="X113" s="407">
        <v>9.3847528100013733E-2</v>
      </c>
      <c r="Y113" s="407">
        <v>0.11922271549701691</v>
      </c>
      <c r="Z113" s="407">
        <v>0.10809250175952911</v>
      </c>
      <c r="AA113" s="407">
        <v>0.11947737634181976</v>
      </c>
      <c r="AB113" s="407">
        <v>6.3021108508110046E-2</v>
      </c>
      <c r="AC113" s="407">
        <v>6.3021108508110046E-2</v>
      </c>
      <c r="AD113" s="407">
        <v>6.1845049262046814E-2</v>
      </c>
      <c r="AE113" s="38">
        <f>'User Add-in Location'!B119</f>
        <v>0</v>
      </c>
      <c r="AF113" s="38">
        <f>'User Add-in Location'!C119</f>
        <v>0</v>
      </c>
      <c r="AG113" s="407">
        <v>8.144533634185791E-2</v>
      </c>
      <c r="AH113" s="407">
        <v>8.1476747989654541E-2</v>
      </c>
      <c r="AI113" s="407">
        <v>9.4319596886634827E-2</v>
      </c>
      <c r="AJ113" s="407">
        <v>0.11629082262516022</v>
      </c>
      <c r="AK113" s="407">
        <v>7.3036313056945801E-2</v>
      </c>
      <c r="AL113" s="407">
        <v>0.10713405907154083</v>
      </c>
      <c r="AM113" s="407">
        <v>9.7579449415206909E-2</v>
      </c>
      <c r="AN113" s="409">
        <v>7.9970158636569977E-2</v>
      </c>
      <c r="AO113" s="409">
        <v>0.10350966453552246</v>
      </c>
      <c r="AP113" s="409">
        <v>7.3547571897506714E-2</v>
      </c>
      <c r="AQ113" s="409">
        <v>0.11595319211483002</v>
      </c>
      <c r="AR113" s="409">
        <v>0.1068444699048996</v>
      </c>
      <c r="AS113" s="409">
        <v>0.14318998157978058</v>
      </c>
      <c r="AT113" s="409">
        <v>0.13890726864337921</v>
      </c>
      <c r="AU113" s="409">
        <v>0.13122865557670593</v>
      </c>
      <c r="AV113" s="409">
        <v>0.13408666849136353</v>
      </c>
      <c r="AW113" s="409">
        <v>0.16059324145317078</v>
      </c>
      <c r="AX113" s="409">
        <v>0.12733523547649384</v>
      </c>
      <c r="AY113" s="409">
        <v>0.13204053044319153</v>
      </c>
      <c r="AZ113" s="409">
        <v>0.17006343603134155</v>
      </c>
      <c r="BA113" s="409">
        <v>8.8686048984527588E-2</v>
      </c>
      <c r="BB113" s="409">
        <v>8.0130159854888916E-2</v>
      </c>
      <c r="BC113" s="409">
        <v>7.162514328956604E-2</v>
      </c>
      <c r="BD113" s="409">
        <v>8.8080435991287231E-2</v>
      </c>
      <c r="BE113" s="409">
        <v>9.8160311579704285E-2</v>
      </c>
      <c r="BF113" s="407">
        <v>9.8952978849411011E-2</v>
      </c>
      <c r="BG113" s="407">
        <v>6.671905517578125E-2</v>
      </c>
      <c r="BH113" s="407">
        <v>9.541676938533783E-2</v>
      </c>
      <c r="BI113" s="407">
        <v>0.11069829761981964</v>
      </c>
      <c r="BJ113" s="407">
        <v>5.6704729795455933E-2</v>
      </c>
      <c r="BK113" s="407">
        <v>5.6704729795455933E-2</v>
      </c>
      <c r="BL113" s="407">
        <v>3.6835372447967529E-2</v>
      </c>
    </row>
    <row r="114" spans="3:64" x14ac:dyDescent="0.2">
      <c r="C114" s="404" t="s">
        <v>392</v>
      </c>
      <c r="D114" s="407">
        <v>0</v>
      </c>
      <c r="E114" s="407">
        <v>0</v>
      </c>
      <c r="F114" s="407">
        <v>0.13435544073581696</v>
      </c>
      <c r="G114" s="407">
        <v>9.1590955853462219E-2</v>
      </c>
      <c r="H114" s="407">
        <v>0.17838743329048157</v>
      </c>
      <c r="I114" s="407">
        <v>0.1366107165813446</v>
      </c>
      <c r="J114" s="407">
        <v>0.12711960077285767</v>
      </c>
      <c r="K114" s="407">
        <v>9.4751268625259399E-2</v>
      </c>
      <c r="L114" s="407">
        <v>0</v>
      </c>
      <c r="M114" s="407">
        <v>0.13414099812507629</v>
      </c>
      <c r="N114" s="407">
        <v>0.10873565077781677</v>
      </c>
      <c r="O114" s="407">
        <v>0</v>
      </c>
      <c r="P114" s="407">
        <v>0</v>
      </c>
      <c r="Q114" s="407">
        <v>0.13907544314861298</v>
      </c>
      <c r="R114" s="407">
        <v>0.10087086260318756</v>
      </c>
      <c r="S114" s="407">
        <v>8.93402099609375E-2</v>
      </c>
      <c r="T114" s="407">
        <v>9.2761069536209106E-2</v>
      </c>
      <c r="U114" s="407">
        <v>9.9161908030509949E-2</v>
      </c>
      <c r="V114" s="407">
        <v>0</v>
      </c>
      <c r="W114" s="407">
        <v>0</v>
      </c>
      <c r="X114" s="407">
        <v>8.1929832696914673E-2</v>
      </c>
      <c r="Y114" s="407">
        <v>0</v>
      </c>
      <c r="Z114" s="407">
        <v>0.12308028340339661</v>
      </c>
      <c r="AA114" s="407">
        <v>0.13699620962142944</v>
      </c>
      <c r="AB114" s="407">
        <v>8.0425292253494263E-2</v>
      </c>
      <c r="AC114" s="407">
        <v>8.0425292253494263E-2</v>
      </c>
      <c r="AD114" s="407">
        <v>0</v>
      </c>
      <c r="AE114" s="38">
        <f>'User Add-in Location'!B120</f>
        <v>0</v>
      </c>
      <c r="AF114" s="38">
        <f>'User Add-in Location'!C120</f>
        <v>0</v>
      </c>
      <c r="AG114" s="407">
        <v>0</v>
      </c>
      <c r="AH114" s="407">
        <v>0</v>
      </c>
      <c r="AI114" s="407">
        <v>0</v>
      </c>
      <c r="AJ114" s="407">
        <v>0.1393628865480423</v>
      </c>
      <c r="AK114" s="407">
        <v>0</v>
      </c>
      <c r="AL114" s="407">
        <v>0.14352154731750488</v>
      </c>
      <c r="AM114" s="407">
        <v>0.12170134484767914</v>
      </c>
      <c r="AN114" s="409">
        <v>0</v>
      </c>
      <c r="AO114" s="409">
        <v>0.13073737919330597</v>
      </c>
      <c r="AP114" s="409">
        <v>9.5733866095542908E-2</v>
      </c>
      <c r="AQ114" s="409">
        <v>0.13949969410896301</v>
      </c>
      <c r="AR114" s="409">
        <v>0.13987655937671661</v>
      </c>
      <c r="AS114" s="409">
        <v>0.18967315554618835</v>
      </c>
      <c r="AT114" s="409">
        <v>0.16971974074840546</v>
      </c>
      <c r="AU114" s="409">
        <v>0.16220094263553619</v>
      </c>
      <c r="AV114" s="409">
        <v>0.15481862425804138</v>
      </c>
      <c r="AW114" s="409">
        <v>0.19516482949256897</v>
      </c>
      <c r="AX114" s="409">
        <v>0.16340036690235138</v>
      </c>
      <c r="AY114" s="409">
        <v>0.16902945935726166</v>
      </c>
      <c r="AZ114" s="409">
        <v>0.20628407597541809</v>
      </c>
      <c r="BA114" s="409">
        <v>0.11338618397712708</v>
      </c>
      <c r="BB114" s="409">
        <v>0.1002233475446701</v>
      </c>
      <c r="BC114" s="409">
        <v>0</v>
      </c>
      <c r="BD114" s="409">
        <v>0.11879739165306091</v>
      </c>
      <c r="BE114" s="409">
        <v>0.1181601881980896</v>
      </c>
      <c r="BF114" s="407">
        <v>0.13516329228878021</v>
      </c>
      <c r="BG114" s="407">
        <v>0</v>
      </c>
      <c r="BH114" s="407">
        <v>0</v>
      </c>
      <c r="BI114" s="407">
        <v>0.1471952497959137</v>
      </c>
      <c r="BJ114" s="407">
        <v>7.1647077798843384E-2</v>
      </c>
      <c r="BK114" s="407">
        <v>7.1647077798843384E-2</v>
      </c>
      <c r="BL114" s="407">
        <v>0</v>
      </c>
    </row>
    <row r="115" spans="3:64" x14ac:dyDescent="0.2">
      <c r="C115" s="404" t="s">
        <v>393</v>
      </c>
      <c r="D115" s="407">
        <v>6.7472681403160095E-2</v>
      </c>
      <c r="E115" s="407">
        <v>0</v>
      </c>
      <c r="F115" s="407">
        <v>8.0761492252349854E-2</v>
      </c>
      <c r="G115" s="407">
        <v>6.1365842819213867E-2</v>
      </c>
      <c r="H115" s="407">
        <v>0.14017452299594879</v>
      </c>
      <c r="I115" s="407">
        <v>9.3517303466796875E-2</v>
      </c>
      <c r="J115" s="407">
        <v>9.130135178565979E-2</v>
      </c>
      <c r="K115" s="407">
        <v>6.0980424284934998E-2</v>
      </c>
      <c r="L115" s="407">
        <v>5.502791702747345E-2</v>
      </c>
      <c r="M115" s="407">
        <v>0.10708843171596527</v>
      </c>
      <c r="N115" s="407">
        <v>8.6446210741996765E-2</v>
      </c>
      <c r="O115" s="407">
        <v>0</v>
      </c>
      <c r="P115" s="407">
        <v>5.9859670698642731E-2</v>
      </c>
      <c r="Q115" s="407">
        <v>0.10601136088371277</v>
      </c>
      <c r="R115" s="407">
        <v>6.8376079201698303E-2</v>
      </c>
      <c r="S115" s="407">
        <v>5.8560572564601898E-2</v>
      </c>
      <c r="T115" s="407">
        <v>0</v>
      </c>
      <c r="U115" s="407">
        <v>6.846185028553009E-2</v>
      </c>
      <c r="V115" s="407">
        <v>0</v>
      </c>
      <c r="W115" s="407">
        <v>7.5960889458656311E-2</v>
      </c>
      <c r="X115" s="407">
        <v>7.0765465497970581E-2</v>
      </c>
      <c r="Y115" s="407">
        <v>0.10736292600631714</v>
      </c>
      <c r="Z115" s="407">
        <v>9.7403198480606079E-2</v>
      </c>
      <c r="AA115" s="407">
        <v>0.10885129868984222</v>
      </c>
      <c r="AB115" s="407">
        <v>5.0461240112781525E-2</v>
      </c>
      <c r="AC115" s="407">
        <v>5.0461240112781525E-2</v>
      </c>
      <c r="AD115" s="407">
        <v>4.9692049622535706E-2</v>
      </c>
      <c r="AE115" s="38">
        <f>'User Add-in Location'!B121</f>
        <v>0</v>
      </c>
      <c r="AF115" s="38">
        <f>'User Add-in Location'!C121</f>
        <v>0</v>
      </c>
      <c r="AG115" s="407">
        <v>6.5138310194015503E-2</v>
      </c>
      <c r="AH115" s="407">
        <v>6.9303594529628754E-2</v>
      </c>
      <c r="AI115" s="407">
        <v>7.7709481120109558E-2</v>
      </c>
      <c r="AJ115" s="407">
        <v>0.10376690328121185</v>
      </c>
      <c r="AK115" s="407">
        <v>5.3824231028556824E-2</v>
      </c>
      <c r="AL115" s="407">
        <v>9.7738280892372131E-2</v>
      </c>
      <c r="AM115" s="407">
        <v>8.7194472551345825E-2</v>
      </c>
      <c r="AN115" s="409">
        <v>5.9786885976791382E-2</v>
      </c>
      <c r="AO115" s="409">
        <v>9.9085651338100433E-2</v>
      </c>
      <c r="AP115" s="409">
        <v>6.1421342194080353E-2</v>
      </c>
      <c r="AQ115" s="409">
        <v>0.10203993320465088</v>
      </c>
      <c r="AR115" s="409">
        <v>9.6492990851402283E-2</v>
      </c>
      <c r="AS115" s="409">
        <v>0.14268492162227631</v>
      </c>
      <c r="AT115" s="409">
        <v>0.13041308522224426</v>
      </c>
      <c r="AU115" s="409">
        <v>0.11613591015338898</v>
      </c>
      <c r="AV115" s="409">
        <v>0.13009390234947205</v>
      </c>
      <c r="AW115" s="409">
        <v>0.15915310382843018</v>
      </c>
      <c r="AX115" s="409">
        <v>0.11663196235895157</v>
      </c>
      <c r="AY115" s="409">
        <v>0.12082848697900772</v>
      </c>
      <c r="AZ115" s="409">
        <v>0.15933814644813538</v>
      </c>
      <c r="BA115" s="409">
        <v>7.4207335710525513E-2</v>
      </c>
      <c r="BB115" s="409">
        <v>6.4403295516967773E-2</v>
      </c>
      <c r="BC115" s="409">
        <v>0</v>
      </c>
      <c r="BD115" s="409">
        <v>8.6511708796024323E-2</v>
      </c>
      <c r="BE115" s="409">
        <v>8.6663529276847839E-2</v>
      </c>
      <c r="BF115" s="407">
        <v>8.9428827166557312E-2</v>
      </c>
      <c r="BG115" s="407">
        <v>5.9326902031898499E-2</v>
      </c>
      <c r="BH115" s="407">
        <v>7.9022116959095001E-2</v>
      </c>
      <c r="BI115" s="407">
        <v>0.10719394683837891</v>
      </c>
      <c r="BJ115" s="407">
        <v>0</v>
      </c>
      <c r="BK115" s="407">
        <v>0</v>
      </c>
      <c r="BL115" s="407">
        <v>3.4779191017150879E-2</v>
      </c>
    </row>
    <row r="116" spans="3:64" x14ac:dyDescent="0.2">
      <c r="C116" s="404" t="s">
        <v>57</v>
      </c>
      <c r="D116" s="407">
        <v>8.0059558153152466E-2</v>
      </c>
      <c r="E116" s="407">
        <v>6.9536417722702026E-2</v>
      </c>
      <c r="F116" s="407">
        <v>0.11020222306251526</v>
      </c>
      <c r="G116" s="407">
        <v>7.9502761363983154E-2</v>
      </c>
      <c r="H116" s="407">
        <v>0.12660002708435059</v>
      </c>
      <c r="I116" s="407">
        <v>0.11328613758087158</v>
      </c>
      <c r="J116" s="407">
        <v>0.11610439419746399</v>
      </c>
      <c r="K116" s="407">
        <v>0.1000044047832489</v>
      </c>
      <c r="L116" s="407">
        <v>0.10441011190414429</v>
      </c>
      <c r="M116" s="407">
        <v>0.12138929963111877</v>
      </c>
      <c r="N116" s="407">
        <v>0.10427156090736389</v>
      </c>
      <c r="O116" s="407">
        <v>9.5584630966186523E-2</v>
      </c>
      <c r="P116" s="407">
        <v>8.2638800144195557E-2</v>
      </c>
      <c r="Q116" s="407">
        <v>0.12051397562026978</v>
      </c>
      <c r="R116" s="407">
        <v>8.2426220178604126E-2</v>
      </c>
      <c r="S116" s="407">
        <v>7.551237940788269E-2</v>
      </c>
      <c r="T116" s="407">
        <v>7.8591734170913696E-2</v>
      </c>
      <c r="U116" s="407">
        <v>8.0291509628295898E-2</v>
      </c>
      <c r="V116" s="407">
        <v>7.3733717203140259E-2</v>
      </c>
      <c r="W116" s="407">
        <v>9.9665522575378418E-2</v>
      </c>
      <c r="X116" s="407">
        <v>0.10659530758857727</v>
      </c>
      <c r="Y116" s="407">
        <v>0.13170671463012695</v>
      </c>
      <c r="Z116" s="407">
        <v>0.10760983824729919</v>
      </c>
      <c r="AA116" s="407">
        <v>0.11798581480979919</v>
      </c>
      <c r="AB116" s="407">
        <v>6.63260817527771E-2</v>
      </c>
      <c r="AC116" s="407">
        <v>6.63260817527771E-2</v>
      </c>
      <c r="AD116" s="407">
        <v>7.6894968748092651E-2</v>
      </c>
      <c r="AE116" s="38">
        <f>'User Add-in Location'!B122</f>
        <v>0</v>
      </c>
      <c r="AF116" s="38">
        <f>'User Add-in Location'!C122</f>
        <v>0</v>
      </c>
      <c r="AG116" s="407">
        <v>9.1407984495162964E-2</v>
      </c>
      <c r="AH116" s="407">
        <v>9.5913827419281006E-2</v>
      </c>
      <c r="AI116" s="407">
        <v>0.1030411422252655</v>
      </c>
      <c r="AJ116" s="407">
        <v>0.12086367607116699</v>
      </c>
      <c r="AK116" s="407">
        <v>8.117985725402832E-2</v>
      </c>
      <c r="AL116" s="407">
        <v>0.12281069159507751</v>
      </c>
      <c r="AM116" s="407">
        <v>0.10252803564071655</v>
      </c>
      <c r="AN116" s="409">
        <v>7.3601961135864258E-2</v>
      </c>
      <c r="AO116" s="409">
        <v>0.1082688570022583</v>
      </c>
      <c r="AP116" s="409">
        <v>7.8639328479766846E-2</v>
      </c>
      <c r="AQ116" s="409">
        <v>0.10614892840385437</v>
      </c>
      <c r="AR116" s="409">
        <v>0.11632248759269714</v>
      </c>
      <c r="AS116" s="409">
        <v>0.15595504641532898</v>
      </c>
      <c r="AT116" s="409">
        <v>0.14260450005531311</v>
      </c>
      <c r="AU116" s="409">
        <v>0.13497062027454376</v>
      </c>
      <c r="AV116" s="409">
        <v>0.13017025589942932</v>
      </c>
      <c r="AW116" s="409">
        <v>0.14075365662574768</v>
      </c>
      <c r="AX116" s="409">
        <v>0.11545371264219284</v>
      </c>
      <c r="AY116" s="409">
        <v>0.12682655453681946</v>
      </c>
      <c r="AZ116" s="409">
        <v>0.14959987998008728</v>
      </c>
      <c r="BA116" s="409">
        <v>0.10978671908378601</v>
      </c>
      <c r="BB116" s="409">
        <v>8.5747480392456055E-2</v>
      </c>
      <c r="BC116" s="409">
        <v>7.7758580446243286E-2</v>
      </c>
      <c r="BD116" s="409">
        <v>9.4982564449310303E-2</v>
      </c>
      <c r="BE116" s="409">
        <v>9.2972308397293091E-2</v>
      </c>
      <c r="BF116" s="407">
        <v>0.10812172293663025</v>
      </c>
      <c r="BG116" s="407">
        <v>8.4673941135406494E-2</v>
      </c>
      <c r="BH116" s="407">
        <v>0.10444778203964233</v>
      </c>
      <c r="BI116" s="407">
        <v>0.10655072331428528</v>
      </c>
      <c r="BJ116" s="407">
        <v>6.7027091979980469E-2</v>
      </c>
      <c r="BK116" s="407">
        <v>6.7027091979980469E-2</v>
      </c>
      <c r="BL116" s="407">
        <v>4.9810975790023804E-2</v>
      </c>
    </row>
    <row r="117" spans="3:64" x14ac:dyDescent="0.2">
      <c r="C117" s="404" t="s">
        <v>394</v>
      </c>
      <c r="D117" s="407">
        <v>7.0910125970840454E-2</v>
      </c>
      <c r="E117" s="407">
        <v>6.4521670341491699E-2</v>
      </c>
      <c r="F117" s="407">
        <v>9.1614812612533569E-2</v>
      </c>
      <c r="G117" s="407">
        <v>6.8795830011367798E-2</v>
      </c>
      <c r="H117" s="407">
        <v>0.10187622904777527</v>
      </c>
      <c r="I117" s="407">
        <v>9.486854076385498E-2</v>
      </c>
      <c r="J117" s="407">
        <v>0.10014763474464417</v>
      </c>
      <c r="K117" s="407">
        <v>8.8463276624679565E-2</v>
      </c>
      <c r="L117" s="407">
        <v>9.9732875823974609E-2</v>
      </c>
      <c r="M117" s="407">
        <v>0.10106104612350464</v>
      </c>
      <c r="N117" s="407">
        <v>9.1283977031707764E-2</v>
      </c>
      <c r="O117" s="407">
        <v>8.5412830114364624E-2</v>
      </c>
      <c r="P117" s="407">
        <v>6.8081170320510864E-2</v>
      </c>
      <c r="Q117" s="407">
        <v>0.10487544536590576</v>
      </c>
      <c r="R117" s="407">
        <v>7.4033379554748535E-2</v>
      </c>
      <c r="S117" s="407">
        <v>6.8952769041061401E-2</v>
      </c>
      <c r="T117" s="407">
        <v>7.0805609226226807E-2</v>
      </c>
      <c r="U117" s="407">
        <v>7.1593523025512695E-2</v>
      </c>
      <c r="V117" s="407">
        <v>6.4352273941040039E-2</v>
      </c>
      <c r="W117" s="407">
        <v>8.4491133689880371E-2</v>
      </c>
      <c r="X117" s="407">
        <v>9.0365022420883179E-2</v>
      </c>
      <c r="Y117" s="407">
        <v>0.11295658349990845</v>
      </c>
      <c r="Z117" s="407">
        <v>9.0470999479293823E-2</v>
      </c>
      <c r="AA117" s="407">
        <v>0.10323718190193176</v>
      </c>
      <c r="AB117" s="407">
        <v>5.9329122304916382E-2</v>
      </c>
      <c r="AC117" s="407">
        <v>5.9329122304916382E-2</v>
      </c>
      <c r="AD117" s="407">
        <v>6.7980051040649414E-2</v>
      </c>
      <c r="AE117" s="38">
        <f>'User Add-in Location'!B123</f>
        <v>0</v>
      </c>
      <c r="AF117" s="38">
        <f>'User Add-in Location'!C123</f>
        <v>0</v>
      </c>
      <c r="AG117" s="407">
        <v>7.945561408996582E-2</v>
      </c>
      <c r="AH117" s="407">
        <v>7.4744611978530884E-2</v>
      </c>
      <c r="AI117" s="407">
        <v>8.742976188659668E-2</v>
      </c>
      <c r="AJ117" s="407">
        <v>0.10180488228797913</v>
      </c>
      <c r="AK117" s="407">
        <v>6.5599948167800903E-2</v>
      </c>
      <c r="AL117" s="407">
        <v>0.10845193266868591</v>
      </c>
      <c r="AM117" s="407">
        <v>8.5724294185638428E-2</v>
      </c>
      <c r="AN117" s="409">
        <v>6.3073247671127319E-2</v>
      </c>
      <c r="AO117" s="409">
        <v>9.2728585004806519E-2</v>
      </c>
      <c r="AP117" s="409">
        <v>6.7129731178283691E-2</v>
      </c>
      <c r="AQ117" s="409">
        <v>8.994564414024353E-2</v>
      </c>
      <c r="AR117" s="409">
        <v>9.95979905128479E-2</v>
      </c>
      <c r="AS117" s="409">
        <v>0.13671329617500305</v>
      </c>
      <c r="AT117" s="409">
        <v>0.12281224131584167</v>
      </c>
      <c r="AU117" s="409">
        <v>0.11519646644592285</v>
      </c>
      <c r="AV117" s="409">
        <v>0.11377181112766266</v>
      </c>
      <c r="AW117" s="409">
        <v>0.12263062596321106</v>
      </c>
      <c r="AX117" s="409">
        <v>0.10238528996706009</v>
      </c>
      <c r="AY117" s="409">
        <v>0.10958540439605713</v>
      </c>
      <c r="AZ117" s="409">
        <v>0.12288035452365875</v>
      </c>
      <c r="BA117" s="409">
        <v>9.4029933214187622E-2</v>
      </c>
      <c r="BB117" s="409">
        <v>7.6083958148956299E-2</v>
      </c>
      <c r="BC117" s="409">
        <v>6.87580406665802E-2</v>
      </c>
      <c r="BD117" s="409">
        <v>8.1377625465393066E-2</v>
      </c>
      <c r="BE117" s="409">
        <v>8.1874936819076538E-2</v>
      </c>
      <c r="BF117" s="407">
        <v>9.0733885765075684E-2</v>
      </c>
      <c r="BG117" s="407">
        <v>7.5149744749069214E-2</v>
      </c>
      <c r="BH117" s="407">
        <v>8.8335573673248291E-2</v>
      </c>
      <c r="BI117" s="407">
        <v>8.9496195316314697E-2</v>
      </c>
      <c r="BJ117" s="407">
        <v>5.7470411062240601E-2</v>
      </c>
      <c r="BK117" s="407">
        <v>5.7470411062240601E-2</v>
      </c>
      <c r="BL117" s="407">
        <v>4.4586539268493652E-2</v>
      </c>
    </row>
    <row r="118" spans="3:64" x14ac:dyDescent="0.2">
      <c r="C118" s="404" t="s">
        <v>128</v>
      </c>
      <c r="D118" s="407">
        <v>5.9893056750297546E-2</v>
      </c>
      <c r="E118" s="407">
        <v>0.10673810541629791</v>
      </c>
      <c r="F118" s="407">
        <v>7.562139630317688E-2</v>
      </c>
      <c r="G118" s="407">
        <v>6.1690449714660645E-2</v>
      </c>
      <c r="H118" s="407">
        <v>0.10746490955352783</v>
      </c>
      <c r="I118" s="407">
        <v>9.1262266039848328E-2</v>
      </c>
      <c r="J118" s="407">
        <v>6.6583603620529175E-2</v>
      </c>
      <c r="K118" s="407">
        <v>5.8603227138519287E-2</v>
      </c>
      <c r="L118" s="407">
        <v>6.2047138810157776E-2</v>
      </c>
      <c r="M118" s="407">
        <v>9.3247175216674805E-2</v>
      </c>
      <c r="N118" s="407">
        <v>7.1944937109947205E-2</v>
      </c>
      <c r="O118" s="407">
        <v>8.595702052116394E-2</v>
      </c>
      <c r="P118" s="407">
        <v>5.6515559554100037E-2</v>
      </c>
      <c r="Q118" s="407">
        <v>8.8889956474304199E-2</v>
      </c>
      <c r="R118" s="407">
        <v>5.8670073747634888E-2</v>
      </c>
      <c r="S118" s="407">
        <v>5.2641257643699646E-2</v>
      </c>
      <c r="T118" s="407">
        <v>5.9669792652130127E-2</v>
      </c>
      <c r="U118" s="407">
        <v>6.9317176938056946E-2</v>
      </c>
      <c r="V118" s="407">
        <v>8.4903240203857422E-2</v>
      </c>
      <c r="W118" s="407">
        <v>6.0797348618507385E-2</v>
      </c>
      <c r="X118" s="407">
        <v>5.1613673567771912E-2</v>
      </c>
      <c r="Y118" s="407">
        <v>8.5980355739593506E-2</v>
      </c>
      <c r="Z118" s="407">
        <v>7.1709141135215759E-2</v>
      </c>
      <c r="AA118" s="407">
        <v>8.0379143357276917E-2</v>
      </c>
      <c r="AB118" s="407">
        <v>5.3624764084815979E-2</v>
      </c>
      <c r="AC118" s="407">
        <v>5.3624764084815979E-2</v>
      </c>
      <c r="AD118" s="407">
        <v>5.2410215139389038E-2</v>
      </c>
      <c r="AE118" s="38">
        <f>'User Add-in Location'!B124</f>
        <v>0</v>
      </c>
      <c r="AF118" s="38">
        <f>'User Add-in Location'!C124</f>
        <v>0</v>
      </c>
      <c r="AG118" s="407">
        <v>6.2383130192756653E-2</v>
      </c>
      <c r="AH118" s="407">
        <v>7.3959261178970337E-2</v>
      </c>
      <c r="AI118" s="407">
        <v>5.341552197933197E-2</v>
      </c>
      <c r="AJ118" s="407">
        <v>8.6980611085891724E-2</v>
      </c>
      <c r="AK118" s="407">
        <v>5.972820520401001E-2</v>
      </c>
      <c r="AL118" s="407">
        <v>7.5269922614097595E-2</v>
      </c>
      <c r="AM118" s="407">
        <v>7.1964308619499207E-2</v>
      </c>
      <c r="AN118" s="409">
        <v>5.8969825506210327E-2</v>
      </c>
      <c r="AO118" s="409">
        <v>7.5506046414375305E-2</v>
      </c>
      <c r="AP118" s="409">
        <v>6.8651497364044189E-2</v>
      </c>
      <c r="AQ118" s="409">
        <v>8.3098262548446655E-2</v>
      </c>
      <c r="AR118" s="409">
        <v>7.5793430209159851E-2</v>
      </c>
      <c r="AS118" s="409">
        <v>0.10089422762393951</v>
      </c>
      <c r="AT118" s="409">
        <v>0.10408592224121094</v>
      </c>
      <c r="AU118" s="409">
        <v>8.5426121950149536E-2</v>
      </c>
      <c r="AV118" s="409">
        <v>0.10743612051010132</v>
      </c>
      <c r="AW118" s="409">
        <v>0.10720163583755493</v>
      </c>
      <c r="AX118" s="409">
        <v>0.11844883859157562</v>
      </c>
      <c r="AY118" s="409">
        <v>0.11261896789073944</v>
      </c>
      <c r="AZ118" s="409">
        <v>0.12747049331665039</v>
      </c>
      <c r="BA118" s="409">
        <v>6.6927418112754822E-2</v>
      </c>
      <c r="BB118" s="409">
        <v>5.478261411190033E-2</v>
      </c>
      <c r="BC118" s="409">
        <v>5.1445469260215759E-2</v>
      </c>
      <c r="BD118" s="409">
        <v>8.331693708896637E-2</v>
      </c>
      <c r="BE118" s="409">
        <v>7.9813361167907715E-2</v>
      </c>
      <c r="BF118" s="407">
        <v>8.2476794719696045E-2</v>
      </c>
      <c r="BG118" s="407">
        <v>4.977099597454071E-2</v>
      </c>
      <c r="BH118" s="407">
        <v>6.8730056285858154E-2</v>
      </c>
      <c r="BI118" s="407">
        <v>9.6628695726394653E-2</v>
      </c>
      <c r="BJ118" s="407">
        <v>5.8404341340065002E-2</v>
      </c>
      <c r="BK118" s="407">
        <v>5.8404341340065002E-2</v>
      </c>
      <c r="BL118" s="407">
        <v>4.8720195889472961E-2</v>
      </c>
    </row>
    <row r="119" spans="3:64" x14ac:dyDescent="0.2">
      <c r="C119" s="404" t="s">
        <v>395</v>
      </c>
      <c r="D119" s="407">
        <v>8.0185577273368835E-2</v>
      </c>
      <c r="E119" s="407">
        <v>7.6480984687805176E-2</v>
      </c>
      <c r="F119" s="407">
        <v>8.9661739766597748E-2</v>
      </c>
      <c r="G119" s="407">
        <v>7.4487999081611633E-2</v>
      </c>
      <c r="H119" s="407">
        <v>9.8153278231620789E-2</v>
      </c>
      <c r="I119" s="407">
        <v>0.1028350442647934</v>
      </c>
      <c r="J119" s="407">
        <v>0.14477679133415222</v>
      </c>
      <c r="K119" s="407">
        <v>0.12923993170261383</v>
      </c>
      <c r="L119" s="407">
        <v>8.7694823741912842E-2</v>
      </c>
      <c r="M119" s="407">
        <v>0.10677196085453033</v>
      </c>
      <c r="N119" s="407">
        <v>9.6441537141799927E-2</v>
      </c>
      <c r="O119" s="407">
        <v>7.0754587650299072E-2</v>
      </c>
      <c r="P119" s="407">
        <v>8.0438569188117981E-2</v>
      </c>
      <c r="Q119" s="407">
        <v>0.12415480613708496</v>
      </c>
      <c r="R119" s="407">
        <v>8.3159893751144409E-2</v>
      </c>
      <c r="S119" s="407">
        <v>9.3262925744056702E-2</v>
      </c>
      <c r="T119" s="407">
        <v>8.7165281176567078E-2</v>
      </c>
      <c r="U119" s="407">
        <v>8.4630191326141357E-2</v>
      </c>
      <c r="V119" s="407">
        <v>6.5904021263122559E-2</v>
      </c>
      <c r="W119" s="407">
        <v>9.5998644828796387E-2</v>
      </c>
      <c r="X119" s="407">
        <v>9.1521799564361572E-2</v>
      </c>
      <c r="Y119" s="407">
        <v>0.12591993808746338</v>
      </c>
      <c r="Z119" s="407">
        <v>8.5778862237930298E-2</v>
      </c>
      <c r="AA119" s="407">
        <v>0.1242765337228775</v>
      </c>
      <c r="AB119" s="407">
        <v>6.7876264452934265E-2</v>
      </c>
      <c r="AC119" s="407">
        <v>6.7876264452934265E-2</v>
      </c>
      <c r="AD119" s="407">
        <v>5.8667771518230438E-2</v>
      </c>
      <c r="AE119" s="38">
        <f>'User Add-in Location'!B125</f>
        <v>0</v>
      </c>
      <c r="AF119" s="38">
        <f>'User Add-in Location'!C125</f>
        <v>0</v>
      </c>
      <c r="AG119" s="407">
        <v>0.1122429370880127</v>
      </c>
      <c r="AH119" s="407">
        <v>7.6731324195861816E-2</v>
      </c>
      <c r="AI119" s="407">
        <v>0.10016848146915436</v>
      </c>
      <c r="AJ119" s="407">
        <v>0.12180300056934357</v>
      </c>
      <c r="AK119" s="407">
        <v>6.750081479549408E-2</v>
      </c>
      <c r="AL119" s="407">
        <v>0.12734204530715942</v>
      </c>
      <c r="AM119" s="407">
        <v>9.2619314789772034E-2</v>
      </c>
      <c r="AN119" s="409">
        <v>8.6957886815071106E-2</v>
      </c>
      <c r="AO119" s="409">
        <v>0.10976175963878632</v>
      </c>
      <c r="AP119" s="409">
        <v>8.2714170217514038E-2</v>
      </c>
      <c r="AQ119" s="409">
        <v>9.4123959541320801E-2</v>
      </c>
      <c r="AR119" s="409">
        <v>0.12448877096176147</v>
      </c>
      <c r="AS119" s="409">
        <v>0.16550940275192261</v>
      </c>
      <c r="AT119" s="409">
        <v>0.15357126295566559</v>
      </c>
      <c r="AU119" s="409">
        <v>0.1204981729388237</v>
      </c>
      <c r="AV119" s="409">
        <v>0.12473326176404953</v>
      </c>
      <c r="AW119" s="409">
        <v>0.1465383917093277</v>
      </c>
      <c r="AX119" s="409">
        <v>0.11963357776403427</v>
      </c>
      <c r="AY119" s="409">
        <v>0.12343034893274307</v>
      </c>
      <c r="AZ119" s="409">
        <v>0.12297965586185455</v>
      </c>
      <c r="BA119" s="409">
        <v>0.11480626463890076</v>
      </c>
      <c r="BB119" s="409">
        <v>8.3105340600013733E-2</v>
      </c>
      <c r="BC119" s="409">
        <v>8.4954395890235901E-2</v>
      </c>
      <c r="BD119" s="409">
        <v>8.6884558200836182E-2</v>
      </c>
      <c r="BE119" s="409">
        <v>9.4608619809150696E-2</v>
      </c>
      <c r="BF119" s="407">
        <v>0.1216258704662323</v>
      </c>
      <c r="BG119" s="407">
        <v>8.0560237169265747E-2</v>
      </c>
      <c r="BH119" s="407">
        <v>8.5711106657981873E-2</v>
      </c>
      <c r="BI119" s="407">
        <v>8.8320761919021606E-2</v>
      </c>
      <c r="BJ119" s="407">
        <v>6.0075536370277405E-2</v>
      </c>
      <c r="BK119" s="407">
        <v>6.0075536370277405E-2</v>
      </c>
      <c r="BL119" s="407">
        <v>4.1154459118843079E-2</v>
      </c>
    </row>
    <row r="120" spans="3:64" x14ac:dyDescent="0.2">
      <c r="C120" s="404" t="s">
        <v>396</v>
      </c>
      <c r="D120" s="407">
        <v>9.1275781393051147E-2</v>
      </c>
      <c r="E120" s="407">
        <v>7.6022058725357056E-2</v>
      </c>
      <c r="F120" s="407">
        <v>0.14440268278121948</v>
      </c>
      <c r="G120" s="407">
        <v>9.2222392559051514E-2</v>
      </c>
      <c r="H120" s="407">
        <v>0.14899027347564697</v>
      </c>
      <c r="I120" s="407">
        <v>0.1494329571723938</v>
      </c>
      <c r="J120" s="407">
        <v>0.13836514949798584</v>
      </c>
      <c r="K120" s="407">
        <v>0.13368681073188782</v>
      </c>
      <c r="L120" s="407">
        <v>0.12740218639373779</v>
      </c>
      <c r="M120" s="407">
        <v>0.15863272547721863</v>
      </c>
      <c r="N120" s="407">
        <v>0.12190768122673035</v>
      </c>
      <c r="O120" s="407">
        <v>0.10934910178184509</v>
      </c>
      <c r="P120" s="407">
        <v>9.914398193359375E-2</v>
      </c>
      <c r="Q120" s="407">
        <v>0.15559560060501099</v>
      </c>
      <c r="R120" s="407">
        <v>9.6895337104797363E-2</v>
      </c>
      <c r="S120" s="407">
        <v>9.0922772884368896E-2</v>
      </c>
      <c r="T120" s="407">
        <v>0.10487854480743408</v>
      </c>
      <c r="U120" s="407">
        <v>9.7620576620101929E-2</v>
      </c>
      <c r="V120" s="407">
        <v>8.6829990148544312E-2</v>
      </c>
      <c r="W120" s="407">
        <v>0.10853895545005798</v>
      </c>
      <c r="X120" s="407">
        <v>0.13747656345367432</v>
      </c>
      <c r="Y120" s="407">
        <v>0.14803054928779602</v>
      </c>
      <c r="Z120" s="407">
        <v>0.1234898567199707</v>
      </c>
      <c r="AA120" s="407">
        <v>0.14752942323684692</v>
      </c>
      <c r="AB120" s="407">
        <v>8.2320749759674072E-2</v>
      </c>
      <c r="AC120" s="407">
        <v>8.2320749759674072E-2</v>
      </c>
      <c r="AD120" s="407">
        <v>9.5635205507278442E-2</v>
      </c>
      <c r="AE120" s="38">
        <f>'User Add-in Location'!B126</f>
        <v>0</v>
      </c>
      <c r="AF120" s="38">
        <f>'User Add-in Location'!C126</f>
        <v>0</v>
      </c>
      <c r="AG120" s="407">
        <v>0.1181681752204895</v>
      </c>
      <c r="AH120" s="407">
        <v>0.12269715964794159</v>
      </c>
      <c r="AI120" s="407">
        <v>0.13479596376419067</v>
      </c>
      <c r="AJ120" s="407">
        <v>0.15731221437454224</v>
      </c>
      <c r="AK120" s="407">
        <v>8.7825745344161987E-2</v>
      </c>
      <c r="AL120" s="407">
        <v>0.1371346116065979</v>
      </c>
      <c r="AM120" s="407">
        <v>0.11655142903327942</v>
      </c>
      <c r="AN120" s="409">
        <v>8.5802972316741943E-2</v>
      </c>
      <c r="AO120" s="409">
        <v>0.12546050548553467</v>
      </c>
      <c r="AP120" s="409">
        <v>9.697684645652771E-2</v>
      </c>
      <c r="AQ120" s="409">
        <v>0.12252750992774963</v>
      </c>
      <c r="AR120" s="409">
        <v>0.13488554954528809</v>
      </c>
      <c r="AS120" s="409">
        <v>0.17117598652839661</v>
      </c>
      <c r="AT120" s="409">
        <v>0.17173196375370026</v>
      </c>
      <c r="AU120" s="409">
        <v>0.15415722131729126</v>
      </c>
      <c r="AV120" s="409">
        <v>0.15682154893875122</v>
      </c>
      <c r="AW120" s="409">
        <v>0.165556401014328</v>
      </c>
      <c r="AX120" s="409">
        <v>0.14456330239772797</v>
      </c>
      <c r="AY120" s="409">
        <v>0.15936079621315002</v>
      </c>
      <c r="AZ120" s="409">
        <v>0.17555424571037292</v>
      </c>
      <c r="BA120" s="409">
        <v>0.13388019800186157</v>
      </c>
      <c r="BB120" s="409">
        <v>0.10255041718482971</v>
      </c>
      <c r="BC120" s="409">
        <v>0.10657775402069092</v>
      </c>
      <c r="BD120" s="409">
        <v>0.11040222644805908</v>
      </c>
      <c r="BE120" s="409">
        <v>0.12402260303497314</v>
      </c>
      <c r="BF120" s="407">
        <v>0.16344454884529114</v>
      </c>
      <c r="BG120" s="407">
        <v>9.7243338823318481E-2</v>
      </c>
      <c r="BH120" s="407">
        <v>0.11715498566627502</v>
      </c>
      <c r="BI120" s="407">
        <v>0.1164640486240387</v>
      </c>
      <c r="BJ120" s="407">
        <v>6.3084810972213745E-2</v>
      </c>
      <c r="BK120" s="407">
        <v>6.3084810972213745E-2</v>
      </c>
      <c r="BL120" s="407">
        <v>6.4808830618858337E-2</v>
      </c>
    </row>
    <row r="121" spans="3:64" x14ac:dyDescent="0.2">
      <c r="C121" s="404" t="s">
        <v>397</v>
      </c>
      <c r="D121" s="407">
        <v>9.5476448535919189E-2</v>
      </c>
      <c r="E121" s="407">
        <v>8.8990569114685059E-2</v>
      </c>
      <c r="F121" s="407">
        <v>0.13372719287872314</v>
      </c>
      <c r="G121" s="407">
        <v>9.2029392719268799E-2</v>
      </c>
      <c r="H121" s="407">
        <v>0.13990768790245056</v>
      </c>
      <c r="I121" s="407">
        <v>0.12642234563827515</v>
      </c>
      <c r="J121" s="407">
        <v>0.11976572871208191</v>
      </c>
      <c r="K121" s="407">
        <v>0.11304867267608643</v>
      </c>
      <c r="L121" s="407">
        <v>0.11420637369155884</v>
      </c>
      <c r="M121" s="407">
        <v>0.14037936925888062</v>
      </c>
      <c r="N121" s="407">
        <v>0.12067896127700806</v>
      </c>
      <c r="O121" s="407">
        <v>0.11457502841949463</v>
      </c>
      <c r="P121" s="407">
        <v>9.6987009048461914E-2</v>
      </c>
      <c r="Q121" s="407">
        <v>0.12803632020950317</v>
      </c>
      <c r="R121" s="407">
        <v>9.827423095703125E-2</v>
      </c>
      <c r="S121" s="407">
        <v>9.1493606567382813E-2</v>
      </c>
      <c r="T121" s="407">
        <v>9.5453768968582153E-2</v>
      </c>
      <c r="U121" s="407">
        <v>9.2872142791748047E-2</v>
      </c>
      <c r="V121" s="407">
        <v>8.7939411401748657E-2</v>
      </c>
      <c r="W121" s="407">
        <v>0.12349775433540344</v>
      </c>
      <c r="X121" s="407">
        <v>0.12974485754966736</v>
      </c>
      <c r="Y121" s="407">
        <v>0.14721223711967468</v>
      </c>
      <c r="Z121" s="407">
        <v>0.11627447605133057</v>
      </c>
      <c r="AA121" s="407">
        <v>0.123493492603302</v>
      </c>
      <c r="AB121" s="407">
        <v>7.7918440103530884E-2</v>
      </c>
      <c r="AC121" s="407">
        <v>7.7918440103530884E-2</v>
      </c>
      <c r="AD121" s="407">
        <v>9.7937911748886108E-2</v>
      </c>
      <c r="AE121" s="38">
        <f>'User Add-in Location'!B127</f>
        <v>0</v>
      </c>
      <c r="AF121" s="38">
        <f>'User Add-in Location'!C127</f>
        <v>0</v>
      </c>
      <c r="AG121" s="407">
        <v>0.10868003964424133</v>
      </c>
      <c r="AH121" s="407">
        <v>0.10060060024261475</v>
      </c>
      <c r="AI121" s="407">
        <v>0.1200803816318512</v>
      </c>
      <c r="AJ121" s="407">
        <v>0.12789580225944519</v>
      </c>
      <c r="AK121" s="407">
        <v>0.10382643342018127</v>
      </c>
      <c r="AL121" s="407">
        <v>0.1295362114906311</v>
      </c>
      <c r="AM121" s="407">
        <v>0.11799091100692749</v>
      </c>
      <c r="AN121" s="409">
        <v>9.0297102928161621E-2</v>
      </c>
      <c r="AO121" s="409">
        <v>0.12149700522422791</v>
      </c>
      <c r="AP121" s="409">
        <v>9.4589918851852417E-2</v>
      </c>
      <c r="AQ121" s="409">
        <v>0.12311261892318726</v>
      </c>
      <c r="AR121" s="409">
        <v>0.12713459134101868</v>
      </c>
      <c r="AS121" s="409">
        <v>0.1694750189781189</v>
      </c>
      <c r="AT121" s="409">
        <v>0.15597045421600342</v>
      </c>
      <c r="AU121" s="409">
        <v>0.1540420800447464</v>
      </c>
      <c r="AV121" s="409">
        <v>0.15237316489219666</v>
      </c>
      <c r="AW121" s="409">
        <v>0.15399663150310516</v>
      </c>
      <c r="AX121" s="409">
        <v>0.1334177553653717</v>
      </c>
      <c r="AY121" s="409">
        <v>0.15026828646659851</v>
      </c>
      <c r="AZ121" s="409">
        <v>0.16826961934566498</v>
      </c>
      <c r="BA121" s="409">
        <v>0.12261143326759338</v>
      </c>
      <c r="BB121" s="409">
        <v>0.10462045669555664</v>
      </c>
      <c r="BC121" s="409">
        <v>9.3306690454483032E-2</v>
      </c>
      <c r="BD121" s="409">
        <v>0.11132180690765381</v>
      </c>
      <c r="BE121" s="409">
        <v>0.10553416609764099</v>
      </c>
      <c r="BF121" s="407">
        <v>0.13501474261283875</v>
      </c>
      <c r="BG121" s="407">
        <v>0.106740802526474</v>
      </c>
      <c r="BH121" s="407">
        <v>0.11747097969055176</v>
      </c>
      <c r="BI121" s="407">
        <v>0.1230197548866272</v>
      </c>
      <c r="BJ121" s="407">
        <v>7.7548414468765259E-2</v>
      </c>
      <c r="BK121" s="407">
        <v>7.7548414468765259E-2</v>
      </c>
      <c r="BL121" s="407">
        <v>5.8585077524185181E-2</v>
      </c>
    </row>
    <row r="122" spans="3:64" x14ac:dyDescent="0.2">
      <c r="C122" s="404" t="s">
        <v>398</v>
      </c>
      <c r="D122" s="407">
        <v>8.6072772741317749E-2</v>
      </c>
      <c r="E122" s="407">
        <v>8.1378191709518433E-2</v>
      </c>
      <c r="F122" s="407">
        <v>0.12483265995979309</v>
      </c>
      <c r="G122" s="407">
        <v>8.6627960205078125E-2</v>
      </c>
      <c r="H122" s="407">
        <v>0.12761121988296509</v>
      </c>
      <c r="I122" s="407">
        <v>0.11986967921257019</v>
      </c>
      <c r="J122" s="407">
        <v>0.11841714382171631</v>
      </c>
      <c r="K122" s="407">
        <v>0.10705128312110901</v>
      </c>
      <c r="L122" s="407">
        <v>0.1070455014705658</v>
      </c>
      <c r="M122" s="407">
        <v>0.12966814637184143</v>
      </c>
      <c r="N122" s="407">
        <v>0.11058980226516724</v>
      </c>
      <c r="O122" s="407">
        <v>0.10406497120857239</v>
      </c>
      <c r="P122" s="407">
        <v>8.8115870952606201E-2</v>
      </c>
      <c r="Q122" s="407">
        <v>0.12299203872680664</v>
      </c>
      <c r="R122" s="407">
        <v>8.8297873735427856E-2</v>
      </c>
      <c r="S122" s="407">
        <v>7.9334139823913574E-2</v>
      </c>
      <c r="T122" s="407">
        <v>8.87126624584198E-2</v>
      </c>
      <c r="U122" s="407">
        <v>8.4945470094680786E-2</v>
      </c>
      <c r="V122" s="407">
        <v>8.0190330743789673E-2</v>
      </c>
      <c r="W122" s="407">
        <v>0.1131691038608551</v>
      </c>
      <c r="X122" s="407">
        <v>0.1096835732460022</v>
      </c>
      <c r="Y122" s="407">
        <v>0.13500866293907166</v>
      </c>
      <c r="Z122" s="407">
        <v>0.1120530366897583</v>
      </c>
      <c r="AA122" s="407">
        <v>0.12551566958427429</v>
      </c>
      <c r="AB122" s="407">
        <v>7.5975239276885986E-2</v>
      </c>
      <c r="AC122" s="407">
        <v>7.5975239276885986E-2</v>
      </c>
      <c r="AD122" s="407">
        <v>8.6913794279098511E-2</v>
      </c>
      <c r="AE122" s="38">
        <f>'User Add-in Location'!B128</f>
        <v>0</v>
      </c>
      <c r="AF122" s="38">
        <f>'User Add-in Location'!C128</f>
        <v>0</v>
      </c>
      <c r="AG122" s="407">
        <v>0.10045966506004333</v>
      </c>
      <c r="AH122" s="407">
        <v>0.10007995367050171</v>
      </c>
      <c r="AI122" s="407">
        <v>0.10517573356628418</v>
      </c>
      <c r="AJ122" s="407">
        <v>0.12063157558441162</v>
      </c>
      <c r="AK122" s="407">
        <v>9.3150079250335693E-2</v>
      </c>
      <c r="AL122" s="407">
        <v>0.12499627470970154</v>
      </c>
      <c r="AM122" s="407">
        <v>0.1114787757396698</v>
      </c>
      <c r="AN122" s="409">
        <v>7.6491236686706543E-2</v>
      </c>
      <c r="AO122" s="409">
        <v>0.11335372924804688</v>
      </c>
      <c r="AP122" s="409">
        <v>8.7811142206192017E-2</v>
      </c>
      <c r="AQ122" s="409">
        <v>0.11524567008018494</v>
      </c>
      <c r="AR122" s="409">
        <v>0.1209833025932312</v>
      </c>
      <c r="AS122" s="409">
        <v>0.16092371940612793</v>
      </c>
      <c r="AT122" s="409">
        <v>0.14710654318332672</v>
      </c>
      <c r="AU122" s="409">
        <v>0.14226192235946655</v>
      </c>
      <c r="AV122" s="409">
        <v>0.13866378366947174</v>
      </c>
      <c r="AW122" s="409">
        <v>0.14715351164340973</v>
      </c>
      <c r="AX122" s="409">
        <v>0.12474736571311951</v>
      </c>
      <c r="AY122" s="409">
        <v>0.14045791327953339</v>
      </c>
      <c r="AZ122" s="409">
        <v>0.15435412526130676</v>
      </c>
      <c r="BA122" s="409">
        <v>0.12171095609664917</v>
      </c>
      <c r="BB122" s="409">
        <v>9.6795737743377686E-2</v>
      </c>
      <c r="BC122" s="409">
        <v>8.8679909706115723E-2</v>
      </c>
      <c r="BD122" s="409">
        <v>9.387168288230896E-2</v>
      </c>
      <c r="BE122" s="409">
        <v>9.7928941249847412E-2</v>
      </c>
      <c r="BF122" s="407">
        <v>0.11857828497886658</v>
      </c>
      <c r="BG122" s="407">
        <v>9.360465407371521E-2</v>
      </c>
      <c r="BH122" s="407">
        <v>0.10627099871635437</v>
      </c>
      <c r="BI122" s="407">
        <v>0.11338427662849426</v>
      </c>
      <c r="BJ122" s="407">
        <v>7.2181016206741333E-2</v>
      </c>
      <c r="BK122" s="407">
        <v>7.2181016206741333E-2</v>
      </c>
      <c r="BL122" s="407">
        <v>5.2837759256362915E-2</v>
      </c>
    </row>
    <row r="123" spans="3:64" x14ac:dyDescent="0.2">
      <c r="C123" s="404" t="s">
        <v>399</v>
      </c>
      <c r="D123" s="407">
        <v>0.10281208157539368</v>
      </c>
      <c r="E123" s="407">
        <v>8.878481388092041E-2</v>
      </c>
      <c r="F123" s="407">
        <v>0.1439339816570282</v>
      </c>
      <c r="G123" s="407">
        <v>0.10013684630393982</v>
      </c>
      <c r="H123" s="407">
        <v>0.15186923742294312</v>
      </c>
      <c r="I123" s="407">
        <v>0.14254540205001831</v>
      </c>
      <c r="J123" s="407">
        <v>0.14294910430908203</v>
      </c>
      <c r="K123" s="407">
        <v>0.11758038401603699</v>
      </c>
      <c r="L123" s="407">
        <v>0.12298116087913513</v>
      </c>
      <c r="M123" s="407">
        <v>0.16462081670761108</v>
      </c>
      <c r="N123" s="407">
        <v>0.13301336765289307</v>
      </c>
      <c r="O123" s="407">
        <v>0.11561107635498047</v>
      </c>
      <c r="P123" s="407">
        <v>0.10241490602493286</v>
      </c>
      <c r="Q123" s="407">
        <v>0.14466768503189087</v>
      </c>
      <c r="R123" s="407">
        <v>0.1067923903465271</v>
      </c>
      <c r="S123" s="407">
        <v>8.9514344930648804E-2</v>
      </c>
      <c r="T123" s="407">
        <v>9.5121890306472778E-2</v>
      </c>
      <c r="U123" s="407">
        <v>9.781917929649353E-2</v>
      </c>
      <c r="V123" s="407">
        <v>9.3320131301879883E-2</v>
      </c>
      <c r="W123" s="407">
        <v>0.13499367237091064</v>
      </c>
      <c r="X123" s="407">
        <v>0.13633841276168823</v>
      </c>
      <c r="Y123" s="407">
        <v>0.16220647096633911</v>
      </c>
      <c r="Z123" s="407">
        <v>0.12552556395530701</v>
      </c>
      <c r="AA123" s="407">
        <v>0.15089148283004761</v>
      </c>
      <c r="AB123" s="407">
        <v>8.7313264608383179E-2</v>
      </c>
      <c r="AC123" s="407">
        <v>8.7313264608383179E-2</v>
      </c>
      <c r="AD123" s="407">
        <v>0.10627925395965576</v>
      </c>
      <c r="AE123" s="38">
        <f>'User Add-in Location'!B129</f>
        <v>0</v>
      </c>
      <c r="AF123" s="38">
        <f>'User Add-in Location'!C129</f>
        <v>0</v>
      </c>
      <c r="AG123" s="407">
        <v>0.1122734546661377</v>
      </c>
      <c r="AH123" s="407">
        <v>0.12252452969551086</v>
      </c>
      <c r="AI123" s="407">
        <v>0.13200750946998596</v>
      </c>
      <c r="AJ123" s="407">
        <v>0.14807507395744324</v>
      </c>
      <c r="AK123" s="407">
        <v>0.10586041212081909</v>
      </c>
      <c r="AL123" s="407">
        <v>0.1440790593624115</v>
      </c>
      <c r="AM123" s="407">
        <v>0.13012745976448059</v>
      </c>
      <c r="AN123" s="409">
        <v>8.7768822908401489E-2</v>
      </c>
      <c r="AO123" s="409">
        <v>0.13616025447845459</v>
      </c>
      <c r="AP123" s="409">
        <v>0.10011672973632812</v>
      </c>
      <c r="AQ123" s="409">
        <v>0.13805040717124939</v>
      </c>
      <c r="AR123" s="409">
        <v>0.14568009972572327</v>
      </c>
      <c r="AS123" s="409">
        <v>0.19430302083492279</v>
      </c>
      <c r="AT123" s="409">
        <v>0.1806570440530777</v>
      </c>
      <c r="AU123" s="409">
        <v>0.17134469747543335</v>
      </c>
      <c r="AV123" s="409">
        <v>0.17224574089050293</v>
      </c>
      <c r="AW123" s="409">
        <v>0.17697660624980927</v>
      </c>
      <c r="AX123" s="409">
        <v>0.14548493921756744</v>
      </c>
      <c r="AY123" s="409">
        <v>0.16782717406749725</v>
      </c>
      <c r="AZ123" s="409">
        <v>0.1844097226858139</v>
      </c>
      <c r="BA123" s="409">
        <v>0.14513441920280457</v>
      </c>
      <c r="BB123" s="409">
        <v>0.11078298091888428</v>
      </c>
      <c r="BC123" s="409">
        <v>0.10330376029014587</v>
      </c>
      <c r="BD123" s="409">
        <v>0.11579155921936035</v>
      </c>
      <c r="BE123" s="409">
        <v>0.11304053664207458</v>
      </c>
      <c r="BF123" s="407">
        <v>0.14503973722457886</v>
      </c>
      <c r="BG123" s="407">
        <v>0.11753109097480774</v>
      </c>
      <c r="BH123" s="407">
        <v>0.12887662649154663</v>
      </c>
      <c r="BI123" s="407">
        <v>0.13949796557426453</v>
      </c>
      <c r="BJ123" s="407">
        <v>8.4359914064407349E-2</v>
      </c>
      <c r="BK123" s="407">
        <v>8.4359914064407349E-2</v>
      </c>
      <c r="BL123" s="407">
        <v>6.6055327653884888E-2</v>
      </c>
    </row>
    <row r="124" spans="3:64" x14ac:dyDescent="0.2">
      <c r="C124" s="404" t="s">
        <v>400</v>
      </c>
      <c r="D124" s="407">
        <v>8.8490098714828491E-2</v>
      </c>
      <c r="E124" s="407">
        <v>7.8654736280441284E-2</v>
      </c>
      <c r="F124" s="407">
        <v>0.11533033847808838</v>
      </c>
      <c r="G124" s="407">
        <v>8.5560351610183716E-2</v>
      </c>
      <c r="H124" s="407">
        <v>0.13323739171028137</v>
      </c>
      <c r="I124" s="407">
        <v>0.12174731492996216</v>
      </c>
      <c r="J124" s="407">
        <v>0.12589335441589355</v>
      </c>
      <c r="K124" s="407">
        <v>0.11086744070053101</v>
      </c>
      <c r="L124" s="407">
        <v>0.11766919493675232</v>
      </c>
      <c r="M124" s="407">
        <v>0.12956050038337708</v>
      </c>
      <c r="N124" s="407">
        <v>0.11566880345344543</v>
      </c>
      <c r="O124" s="407">
        <v>9.8468512296676636E-2</v>
      </c>
      <c r="P124" s="407">
        <v>9.3273669481277466E-2</v>
      </c>
      <c r="Q124" s="407">
        <v>0.13071581721305847</v>
      </c>
      <c r="R124" s="407">
        <v>9.0118974447250366E-2</v>
      </c>
      <c r="S124" s="407">
        <v>8.6976230144500732E-2</v>
      </c>
      <c r="T124" s="407">
        <v>9.0067148208618164E-2</v>
      </c>
      <c r="U124" s="407">
        <v>8.8127583265304565E-2</v>
      </c>
      <c r="V124" s="407">
        <v>8.1391066312789917E-2</v>
      </c>
      <c r="W124" s="407">
        <v>0.10839477181434631</v>
      </c>
      <c r="X124" s="407">
        <v>0.11210343241691589</v>
      </c>
      <c r="Y124" s="407">
        <v>0.13840785622596741</v>
      </c>
      <c r="Z124" s="407">
        <v>0.11489057540893555</v>
      </c>
      <c r="AA124" s="407">
        <v>0.13050678372383118</v>
      </c>
      <c r="AB124" s="407">
        <v>7.2993069887161255E-2</v>
      </c>
      <c r="AC124" s="407">
        <v>7.2993069887161255E-2</v>
      </c>
      <c r="AD124" s="407">
        <v>8.9935988187789917E-2</v>
      </c>
      <c r="AE124" s="38">
        <f>'User Add-in Location'!B130</f>
        <v>0</v>
      </c>
      <c r="AF124" s="38">
        <f>'User Add-in Location'!C130</f>
        <v>0</v>
      </c>
      <c r="AG124" s="407">
        <v>0.10380664467811584</v>
      </c>
      <c r="AH124" s="407">
        <v>9.2782825231552124E-2</v>
      </c>
      <c r="AI124" s="407">
        <v>0.10826164484024048</v>
      </c>
      <c r="AJ124" s="407">
        <v>0.12432026863098145</v>
      </c>
      <c r="AK124" s="407">
        <v>8.5898071527481079E-2</v>
      </c>
      <c r="AL124" s="407">
        <v>0.13553297519683838</v>
      </c>
      <c r="AM124" s="407">
        <v>0.11187347769737244</v>
      </c>
      <c r="AN124" s="409">
        <v>8.0741524696350098E-2</v>
      </c>
      <c r="AO124" s="409">
        <v>0.11629775166511536</v>
      </c>
      <c r="AP124" s="409">
        <v>8.6903303861618042E-2</v>
      </c>
      <c r="AQ124" s="409">
        <v>0.1154625415802002</v>
      </c>
      <c r="AR124" s="409">
        <v>0.12346667051315308</v>
      </c>
      <c r="AS124" s="409">
        <v>0.17312410473823547</v>
      </c>
      <c r="AT124" s="409">
        <v>0.15292435884475708</v>
      </c>
      <c r="AU124" s="409">
        <v>0.1463240385055542</v>
      </c>
      <c r="AV124" s="409">
        <v>0.14482706785202026</v>
      </c>
      <c r="AW124" s="409">
        <v>0.15730211138725281</v>
      </c>
      <c r="AX124" s="409">
        <v>0.13095033168792725</v>
      </c>
      <c r="AY124" s="409">
        <v>0.14183899760246277</v>
      </c>
      <c r="AZ124" s="409">
        <v>0.16014179587364197</v>
      </c>
      <c r="BA124" s="409">
        <v>0.12033972144126892</v>
      </c>
      <c r="BB124" s="409">
        <v>9.5450550317764282E-2</v>
      </c>
      <c r="BC124" s="409">
        <v>8.9378118515014648E-2</v>
      </c>
      <c r="BD124" s="409">
        <v>0.10076379776000977</v>
      </c>
      <c r="BE124" s="409">
        <v>0.1030275821685791</v>
      </c>
      <c r="BF124" s="407">
        <v>0.12579956650733948</v>
      </c>
      <c r="BG124" s="407">
        <v>9.7837388515472412E-2</v>
      </c>
      <c r="BH124" s="407">
        <v>0.10908117890357971</v>
      </c>
      <c r="BI124" s="407">
        <v>0.1134917140007019</v>
      </c>
      <c r="BJ124" s="407">
        <v>7.1378380060195923E-2</v>
      </c>
      <c r="BK124" s="407">
        <v>7.1378380060195923E-2</v>
      </c>
      <c r="BL124" s="407">
        <v>5.5057898163795471E-2</v>
      </c>
    </row>
    <row r="125" spans="3:64" x14ac:dyDescent="0.2">
      <c r="C125" s="404" t="s">
        <v>58</v>
      </c>
      <c r="D125" s="407">
        <v>2.3995161056518555E-2</v>
      </c>
      <c r="E125" s="407">
        <v>1.5197694301605225E-2</v>
      </c>
      <c r="F125" s="407">
        <v>2.2102177143096924E-2</v>
      </c>
      <c r="G125" s="407">
        <v>1.6879022121429443E-2</v>
      </c>
      <c r="H125" s="407">
        <v>2.8156399726867676E-2</v>
      </c>
      <c r="I125" s="407">
        <v>2.4961590766906738E-2</v>
      </c>
      <c r="J125" s="407">
        <v>2.3840665817260742E-2</v>
      </c>
      <c r="K125" s="407">
        <v>3.1408905982971191E-2</v>
      </c>
      <c r="L125" s="407">
        <v>7.8972578048706055E-3</v>
      </c>
      <c r="M125" s="407">
        <v>1.4461636543273926E-2</v>
      </c>
      <c r="N125" s="407">
        <v>1.5747427940368652E-2</v>
      </c>
      <c r="O125" s="407">
        <v>1.8214762210845947E-2</v>
      </c>
      <c r="P125" s="407">
        <v>1.6295313835144043E-2</v>
      </c>
      <c r="Q125" s="407">
        <v>2.3970305919647217E-2</v>
      </c>
      <c r="R125" s="407">
        <v>1.3260960578918457E-2</v>
      </c>
      <c r="S125" s="407">
        <v>1.609337329864502E-2</v>
      </c>
      <c r="T125" s="407">
        <v>1.5843987464904785E-2</v>
      </c>
      <c r="U125" s="407">
        <v>1.9762217998504639E-2</v>
      </c>
      <c r="V125" s="407">
        <v>1.2572288513183594E-2</v>
      </c>
      <c r="W125" s="407">
        <v>2.6235401630401611E-2</v>
      </c>
      <c r="X125" s="407">
        <v>1.5240490436553955E-2</v>
      </c>
      <c r="Y125" s="407">
        <v>4.272085428237915E-2</v>
      </c>
      <c r="Z125" s="407">
        <v>1.9775450229644775E-2</v>
      </c>
      <c r="AA125" s="407">
        <v>2.6198804378509521E-2</v>
      </c>
      <c r="AB125" s="407">
        <v>1.3231337070465088E-2</v>
      </c>
      <c r="AC125" s="407">
        <v>1.3231337070465088E-2</v>
      </c>
      <c r="AD125" s="407">
        <v>2.1581649780273438E-2</v>
      </c>
      <c r="AE125" s="38">
        <f>'User Add-in Location'!B131</f>
        <v>0</v>
      </c>
      <c r="AF125" s="38">
        <f>'User Add-in Location'!C131</f>
        <v>0</v>
      </c>
      <c r="AG125" s="407">
        <v>1.8173396587371826E-2</v>
      </c>
      <c r="AH125" s="407">
        <v>1.1026203632354736E-2</v>
      </c>
      <c r="AI125" s="407">
        <v>4.2444884777069092E-2</v>
      </c>
      <c r="AJ125" s="407">
        <v>2.7767002582550049E-2</v>
      </c>
      <c r="AK125" s="407">
        <v>1.3343095779418945E-2</v>
      </c>
      <c r="AL125" s="407">
        <v>4.045480489730835E-2</v>
      </c>
      <c r="AM125" s="407">
        <v>1.2812554836273193E-2</v>
      </c>
      <c r="AN125" s="409">
        <v>2.0199239253997803E-2</v>
      </c>
      <c r="AO125" s="409">
        <v>1.8327534198760986E-2</v>
      </c>
      <c r="AP125" s="409">
        <v>1.3226449489593506E-2</v>
      </c>
      <c r="AQ125" s="409">
        <v>4.1710615158081055E-2</v>
      </c>
      <c r="AR125" s="409">
        <v>3.5550594329833984E-2</v>
      </c>
      <c r="AS125" s="409">
        <v>5.0656106323003769E-2</v>
      </c>
      <c r="AT125" s="409">
        <v>3.9064865559339523E-2</v>
      </c>
      <c r="AU125" s="409">
        <v>1.8258959054946899E-2</v>
      </c>
      <c r="AV125" s="409">
        <v>3.0423648655414581E-2</v>
      </c>
      <c r="AW125" s="409">
        <v>2.9853278771042824E-2</v>
      </c>
      <c r="AX125" s="409">
        <v>2.2430835291743279E-2</v>
      </c>
      <c r="AY125" s="409">
        <v>3.1381309032440186E-2</v>
      </c>
      <c r="AZ125" s="409">
        <v>3.3329062163829803E-2</v>
      </c>
      <c r="BA125" s="409">
        <v>2.921527624130249E-2</v>
      </c>
      <c r="BB125" s="409">
        <v>1.388317346572876E-2</v>
      </c>
      <c r="BC125" s="409">
        <v>2.0778238773345947E-2</v>
      </c>
      <c r="BD125" s="409">
        <v>5.4471611976623535E-2</v>
      </c>
      <c r="BE125" s="409">
        <v>1.5069842338562012E-2</v>
      </c>
      <c r="BF125" s="407">
        <v>1.2288510799407959E-2</v>
      </c>
      <c r="BG125" s="407">
        <v>2.8104066848754883E-2</v>
      </c>
      <c r="BH125" s="407">
        <v>1.6248047351837158E-2</v>
      </c>
      <c r="BI125" s="407">
        <v>3.2083868980407715E-2</v>
      </c>
      <c r="BJ125" s="407">
        <v>1.2709379196166992E-2</v>
      </c>
      <c r="BK125" s="407">
        <v>1.2709379196166992E-2</v>
      </c>
      <c r="BL125" s="407">
        <v>1.4176785945892334E-2</v>
      </c>
    </row>
    <row r="126" spans="3:64" x14ac:dyDescent="0.2">
      <c r="C126" s="404" t="s">
        <v>401</v>
      </c>
      <c r="D126" s="407">
        <v>0.12108147144317627</v>
      </c>
      <c r="E126" s="407">
        <v>0</v>
      </c>
      <c r="F126" s="407">
        <v>0.18243139982223511</v>
      </c>
      <c r="G126" s="407">
        <v>0.1344413161277771</v>
      </c>
      <c r="H126" s="407">
        <v>0.23826226592063904</v>
      </c>
      <c r="I126" s="407">
        <v>0.19837883114814758</v>
      </c>
      <c r="J126" s="407">
        <v>0.19453586637973785</v>
      </c>
      <c r="K126" s="407">
        <v>0.16580775380134583</v>
      </c>
      <c r="L126" s="407">
        <v>0.13796082139015198</v>
      </c>
      <c r="M126" s="407">
        <v>0.20883005857467651</v>
      </c>
      <c r="N126" s="407">
        <v>0.17914137244224548</v>
      </c>
      <c r="O126" s="407">
        <v>0.1598307192325592</v>
      </c>
      <c r="P126" s="407">
        <v>0.13508282601833344</v>
      </c>
      <c r="Q126" s="407">
        <v>0.20759987831115723</v>
      </c>
      <c r="R126" s="407">
        <v>0.12516206502914429</v>
      </c>
      <c r="S126" s="407">
        <v>0.11011514067649841</v>
      </c>
      <c r="T126" s="407">
        <v>0.11226227879524231</v>
      </c>
      <c r="U126" s="407">
        <v>0.12412488460540771</v>
      </c>
      <c r="V126" s="407">
        <v>0.11019407212734222</v>
      </c>
      <c r="W126" s="407">
        <v>0.14549714326858521</v>
      </c>
      <c r="X126" s="407">
        <v>0.18012985587120056</v>
      </c>
      <c r="Y126" s="407">
        <v>0.23001605272293091</v>
      </c>
      <c r="Z126" s="407">
        <v>0.20244067907333374</v>
      </c>
      <c r="AA126" s="407">
        <v>0.20673586428165436</v>
      </c>
      <c r="AB126" s="407">
        <v>9.534880518913269E-2</v>
      </c>
      <c r="AC126" s="407">
        <v>9.534880518913269E-2</v>
      </c>
      <c r="AD126" s="407">
        <v>0.11801101267337799</v>
      </c>
      <c r="AE126" s="38">
        <f>'User Add-in Location'!B132</f>
        <v>0</v>
      </c>
      <c r="AF126" s="38">
        <f>'User Add-in Location'!C132</f>
        <v>0</v>
      </c>
      <c r="AG126" s="407">
        <v>0.14710593223571777</v>
      </c>
      <c r="AH126" s="407">
        <v>0.17123101651668549</v>
      </c>
      <c r="AI126" s="407">
        <v>0.17193377017974854</v>
      </c>
      <c r="AJ126" s="407">
        <v>0.21585918962955475</v>
      </c>
      <c r="AK126" s="407">
        <v>0.12038655579090118</v>
      </c>
      <c r="AL126" s="407">
        <v>0.20069411396980286</v>
      </c>
      <c r="AM126" s="407">
        <v>0.16981407999992371</v>
      </c>
      <c r="AN126" s="409">
        <v>0.12048748880624771</v>
      </c>
      <c r="AO126" s="409">
        <v>0.12719628214836121</v>
      </c>
      <c r="AP126" s="409">
        <v>0.11852884292602539</v>
      </c>
      <c r="AQ126" s="409">
        <v>0.1886042058467865</v>
      </c>
      <c r="AR126" s="409">
        <v>0.20269002020359039</v>
      </c>
      <c r="AS126" s="409">
        <v>0.27270632982254028</v>
      </c>
      <c r="AT126" s="409">
        <v>0.25775381922721863</v>
      </c>
      <c r="AU126" s="409">
        <v>0.23448297381401062</v>
      </c>
      <c r="AV126" s="409">
        <v>0.22107468545436859</v>
      </c>
      <c r="AW126" s="409">
        <v>0.22534626722335815</v>
      </c>
      <c r="AX126" s="409">
        <v>0.20028063654899597</v>
      </c>
      <c r="AY126" s="409">
        <v>0.22094257175922394</v>
      </c>
      <c r="AZ126" s="409">
        <v>0.27673241496086121</v>
      </c>
      <c r="BA126" s="409">
        <v>0.17304745316505432</v>
      </c>
      <c r="BB126" s="409">
        <v>0.13124841451644897</v>
      </c>
      <c r="BC126" s="409">
        <v>0.11999403685331345</v>
      </c>
      <c r="BD126" s="409">
        <v>0.15691398084163666</v>
      </c>
      <c r="BE126" s="409">
        <v>0.15962889790534973</v>
      </c>
      <c r="BF126" s="407">
        <v>0.17320472002029419</v>
      </c>
      <c r="BG126" s="407">
        <v>0.1106230765581131</v>
      </c>
      <c r="BH126" s="407">
        <v>0.17544335126876831</v>
      </c>
      <c r="BI126" s="407">
        <v>0.19422447681427002</v>
      </c>
      <c r="BJ126" s="407">
        <v>0.108897365629673</v>
      </c>
      <c r="BK126" s="407">
        <v>0.108897365629673</v>
      </c>
      <c r="BL126" s="407">
        <v>0</v>
      </c>
    </row>
    <row r="127" spans="3:64" ht="15" x14ac:dyDescent="0.2">
      <c r="C127" s="5"/>
      <c r="D127" s="411"/>
      <c r="E127" s="411"/>
      <c r="F127" s="411"/>
      <c r="G127" s="411"/>
      <c r="H127" s="411"/>
      <c r="I127" s="411"/>
      <c r="J127" s="411"/>
      <c r="K127" s="411"/>
      <c r="L127" s="411"/>
      <c r="M127" s="411"/>
      <c r="N127" s="411"/>
      <c r="O127" s="411"/>
      <c r="P127" s="411"/>
      <c r="Q127" s="411"/>
      <c r="R127" s="411"/>
      <c r="S127" s="411"/>
      <c r="T127" s="411"/>
      <c r="U127" s="411"/>
      <c r="V127" s="411"/>
      <c r="W127" s="411"/>
      <c r="X127" s="411"/>
      <c r="Y127" s="411"/>
      <c r="Z127" s="411"/>
      <c r="AA127" s="411"/>
      <c r="AB127" s="411"/>
      <c r="AC127" s="411"/>
      <c r="AD127" s="411"/>
      <c r="AE127" s="38"/>
      <c r="AF127" s="38"/>
      <c r="AG127" s="410"/>
      <c r="AH127" s="410"/>
      <c r="AI127" s="410"/>
      <c r="AJ127" s="410"/>
      <c r="AK127" s="410"/>
      <c r="AL127" s="410"/>
      <c r="AM127" s="410"/>
      <c r="AN127" s="410"/>
      <c r="AO127" s="410"/>
      <c r="AP127" s="410"/>
      <c r="AQ127" s="410"/>
      <c r="AR127" s="410"/>
      <c r="AS127" s="412"/>
      <c r="AT127" s="412"/>
      <c r="AU127" s="412"/>
      <c r="AV127" s="412"/>
      <c r="AW127" s="412"/>
      <c r="AX127" s="412"/>
      <c r="AY127" s="412"/>
      <c r="AZ127" s="412"/>
      <c r="BA127" s="410"/>
      <c r="BB127" s="410"/>
      <c r="BC127" s="410"/>
      <c r="BD127" s="410"/>
      <c r="BE127" s="410"/>
      <c r="BF127" s="410"/>
      <c r="BG127" s="410"/>
      <c r="BH127" s="410"/>
      <c r="BI127" s="410"/>
      <c r="BJ127" s="410"/>
      <c r="BK127" s="410"/>
      <c r="BL127" s="410"/>
    </row>
    <row r="128" spans="3:64" ht="14.25" customHeight="1" x14ac:dyDescent="0.2">
      <c r="C128" s="17" t="s">
        <v>179</v>
      </c>
      <c r="D128" s="411"/>
      <c r="E128" s="411"/>
      <c r="F128" s="411"/>
      <c r="G128" s="411"/>
      <c r="H128" s="411"/>
      <c r="I128" s="411"/>
      <c r="J128" s="411"/>
      <c r="K128" s="411"/>
      <c r="L128" s="411"/>
      <c r="M128" s="411"/>
      <c r="N128" s="411"/>
      <c r="O128" s="411"/>
      <c r="P128" s="411"/>
      <c r="Q128" s="411"/>
      <c r="R128" s="411"/>
      <c r="S128" s="411"/>
      <c r="T128" s="411"/>
      <c r="U128" s="411"/>
      <c r="V128" s="411"/>
      <c r="W128" s="411"/>
      <c r="X128" s="411"/>
      <c r="Y128" s="411"/>
      <c r="Z128" s="411"/>
      <c r="AA128" s="411"/>
      <c r="AB128" s="411"/>
      <c r="AC128" s="411"/>
      <c r="AD128" s="411"/>
      <c r="AE128" s="38"/>
      <c r="AF128" s="38"/>
      <c r="AG128" s="410"/>
      <c r="AH128" s="410"/>
      <c r="AI128" s="410"/>
      <c r="AJ128" s="410"/>
      <c r="AK128" s="410"/>
      <c r="AL128" s="410"/>
      <c r="AM128" s="410"/>
      <c r="AN128" s="410"/>
      <c r="AO128" s="410"/>
      <c r="AP128" s="410"/>
      <c r="AQ128" s="410"/>
      <c r="AR128" s="410"/>
      <c r="AS128" s="412"/>
      <c r="AT128" s="412"/>
      <c r="AU128" s="412"/>
      <c r="AV128" s="412"/>
      <c r="AW128" s="412"/>
      <c r="AX128" s="412"/>
      <c r="AY128" s="412"/>
      <c r="AZ128" s="412"/>
      <c r="BA128" s="410"/>
      <c r="BB128" s="410"/>
      <c r="BC128" s="410"/>
      <c r="BD128" s="410"/>
      <c r="BE128" s="410"/>
      <c r="BF128" s="410"/>
      <c r="BG128" s="410"/>
      <c r="BH128" s="410"/>
      <c r="BI128" s="410"/>
      <c r="BJ128" s="410"/>
      <c r="BK128" s="410"/>
      <c r="BL128" s="410"/>
    </row>
    <row r="129" spans="3:64" ht="38.25" x14ac:dyDescent="0.2">
      <c r="C129" s="114" t="s">
        <v>186</v>
      </c>
      <c r="D129" s="411" t="s">
        <v>60</v>
      </c>
      <c r="E129" s="411" t="s">
        <v>61</v>
      </c>
      <c r="F129" s="411" t="s">
        <v>62</v>
      </c>
      <c r="G129" s="411" t="s">
        <v>63</v>
      </c>
      <c r="H129" s="411" t="s">
        <v>64</v>
      </c>
      <c r="I129" s="411" t="s">
        <v>65</v>
      </c>
      <c r="J129" s="411" t="s">
        <v>66</v>
      </c>
      <c r="K129" s="411" t="s">
        <v>67</v>
      </c>
      <c r="L129" s="411" t="s">
        <v>68</v>
      </c>
      <c r="M129" s="411" t="s">
        <v>69</v>
      </c>
      <c r="N129" s="411" t="s">
        <v>70</v>
      </c>
      <c r="O129" s="411" t="s">
        <v>71</v>
      </c>
      <c r="P129" s="411" t="s">
        <v>72</v>
      </c>
      <c r="Q129" s="411" t="s">
        <v>73</v>
      </c>
      <c r="R129" s="411" t="s">
        <v>74</v>
      </c>
      <c r="S129" s="411" t="s">
        <v>75</v>
      </c>
      <c r="T129" s="411" t="s">
        <v>76</v>
      </c>
      <c r="U129" s="411" t="s">
        <v>77</v>
      </c>
      <c r="V129" s="411" t="s">
        <v>78</v>
      </c>
      <c r="W129" s="411" t="s">
        <v>79</v>
      </c>
      <c r="X129" s="411" t="s">
        <v>80</v>
      </c>
      <c r="Y129" s="411" t="s">
        <v>81</v>
      </c>
      <c r="Z129" s="411" t="s">
        <v>82</v>
      </c>
      <c r="AA129" s="411" t="s">
        <v>83</v>
      </c>
      <c r="AB129" s="411" t="s">
        <v>84</v>
      </c>
      <c r="AC129" s="411" t="s">
        <v>85</v>
      </c>
      <c r="AD129" s="411" t="s">
        <v>86</v>
      </c>
      <c r="AE129" s="38" t="s">
        <v>208</v>
      </c>
      <c r="AF129" s="38" t="s">
        <v>207</v>
      </c>
      <c r="AG129" s="410" t="s">
        <v>87</v>
      </c>
      <c r="AH129" s="410" t="s">
        <v>88</v>
      </c>
      <c r="AI129" s="410" t="s">
        <v>89</v>
      </c>
      <c r="AJ129" s="410" t="s">
        <v>90</v>
      </c>
      <c r="AK129" s="410" t="s">
        <v>91</v>
      </c>
      <c r="AL129" s="410" t="s">
        <v>92</v>
      </c>
      <c r="AM129" s="410" t="s">
        <v>93</v>
      </c>
      <c r="AN129" s="410" t="s">
        <v>94</v>
      </c>
      <c r="AO129" s="410" t="s">
        <v>95</v>
      </c>
      <c r="AP129" s="410" t="s">
        <v>96</v>
      </c>
      <c r="AQ129" s="410" t="s">
        <v>97</v>
      </c>
      <c r="AR129" s="410" t="s">
        <v>98</v>
      </c>
      <c r="AS129" s="443" t="s">
        <v>451</v>
      </c>
      <c r="AT129" s="443" t="s">
        <v>452</v>
      </c>
      <c r="AU129" s="443" t="s">
        <v>453</v>
      </c>
      <c r="AV129" s="443" t="s">
        <v>454</v>
      </c>
      <c r="AW129" s="443" t="s">
        <v>455</v>
      </c>
      <c r="AX129" s="443" t="s">
        <v>456</v>
      </c>
      <c r="AY129" s="443" t="s">
        <v>457</v>
      </c>
      <c r="AZ129" s="443" t="s">
        <v>458</v>
      </c>
      <c r="BA129" s="410" t="s">
        <v>99</v>
      </c>
      <c r="BB129" s="410" t="s">
        <v>100</v>
      </c>
      <c r="BC129" s="410" t="s">
        <v>101</v>
      </c>
      <c r="BD129" s="410" t="s">
        <v>102</v>
      </c>
      <c r="BE129" s="410" t="s">
        <v>103</v>
      </c>
      <c r="BF129" s="410" t="s">
        <v>104</v>
      </c>
      <c r="BG129" s="410" t="s">
        <v>105</v>
      </c>
      <c r="BH129" s="410" t="s">
        <v>106</v>
      </c>
      <c r="BI129" s="410" t="s">
        <v>107</v>
      </c>
      <c r="BJ129" s="410" t="s">
        <v>108</v>
      </c>
      <c r="BK129" s="410" t="s">
        <v>109</v>
      </c>
      <c r="BL129" s="410" t="s">
        <v>59</v>
      </c>
    </row>
    <row r="130" spans="3:64" x14ac:dyDescent="0.2">
      <c r="C130" s="404" t="s">
        <v>388</v>
      </c>
      <c r="D130" s="407">
        <v>5.3940635174512863E-2</v>
      </c>
      <c r="E130" s="407">
        <v>6.0647983103990603E-2</v>
      </c>
      <c r="F130" s="407">
        <v>8.650495857000351E-2</v>
      </c>
      <c r="G130" s="407">
        <v>4.5247863978147507E-2</v>
      </c>
      <c r="H130" s="407">
        <v>0.13058507442474365</v>
      </c>
      <c r="I130" s="407">
        <v>5.7089850306510925E-2</v>
      </c>
      <c r="J130" s="407">
        <v>6.0257479548454285E-2</v>
      </c>
      <c r="K130" s="407">
        <v>6.0140032321214676E-2</v>
      </c>
      <c r="L130" s="407">
        <v>3.2083198428153992E-2</v>
      </c>
      <c r="M130" s="407">
        <v>0.111770331859589</v>
      </c>
      <c r="N130" s="407">
        <v>8.1942953169345856E-2</v>
      </c>
      <c r="O130" s="407">
        <v>9.5675282180309296E-2</v>
      </c>
      <c r="P130" s="407">
        <v>4.390021413564682E-2</v>
      </c>
      <c r="Q130" s="407">
        <v>6.056160107254982E-2</v>
      </c>
      <c r="R130" s="407">
        <v>3.5203900188207626E-2</v>
      </c>
      <c r="S130" s="407">
        <v>3.3170357346534729E-2</v>
      </c>
      <c r="T130" s="407">
        <v>2.7807733044028282E-2</v>
      </c>
      <c r="U130" s="407">
        <v>4.6117912977933898E-2</v>
      </c>
      <c r="V130" s="407">
        <v>4.8281420022249222E-2</v>
      </c>
      <c r="W130" s="407">
        <v>7.9342879354953766E-2</v>
      </c>
      <c r="X130" s="407">
        <v>5.7883854955434799E-2</v>
      </c>
      <c r="Y130" s="407">
        <v>0.13727347552776337</v>
      </c>
      <c r="Z130" s="407">
        <v>6.6087335348129272E-2</v>
      </c>
      <c r="AA130" s="407">
        <v>6.1399448662996292E-2</v>
      </c>
      <c r="AB130" s="407">
        <v>4.1508059948682785E-2</v>
      </c>
      <c r="AC130" s="407">
        <v>4.1508059948682785E-2</v>
      </c>
      <c r="AD130" s="407">
        <v>3.7516523152589798E-2</v>
      </c>
      <c r="AE130" s="38">
        <f>'User Add-in Location'!B136</f>
        <v>0</v>
      </c>
      <c r="AF130" s="38">
        <f>'User Add-in Location'!C136</f>
        <v>0</v>
      </c>
      <c r="AG130" s="407">
        <v>3.785368800163269E-2</v>
      </c>
      <c r="AH130" s="407">
        <v>3.3309783786535263E-2</v>
      </c>
      <c r="AI130" s="407">
        <v>7.9613827168941498E-2</v>
      </c>
      <c r="AJ130" s="407">
        <v>7.3074840009212494E-2</v>
      </c>
      <c r="AK130" s="407">
        <v>4.3823253363370895E-2</v>
      </c>
      <c r="AL130" s="407">
        <v>8.7302446365356445E-2</v>
      </c>
      <c r="AM130" s="407">
        <v>7.0932775735855103E-2</v>
      </c>
      <c r="AN130" s="409">
        <v>3.4536980092525482E-2</v>
      </c>
      <c r="AO130" s="409">
        <v>5.3414620459079742E-2</v>
      </c>
      <c r="AP130" s="409">
        <v>3.1459003686904907E-2</v>
      </c>
      <c r="AQ130" s="409">
        <v>9.5468983054161072E-2</v>
      </c>
      <c r="AR130" s="409">
        <v>8.6769819259643555E-2</v>
      </c>
      <c r="AS130" s="409">
        <v>0.12982505559921265</v>
      </c>
      <c r="AT130" s="409">
        <v>9.9906615912914276E-2</v>
      </c>
      <c r="AU130" s="409">
        <v>9.3293935060501099E-2</v>
      </c>
      <c r="AV130" s="409">
        <v>0.10876433551311493</v>
      </c>
      <c r="AW130" s="409">
        <v>8.9396119117736816E-2</v>
      </c>
      <c r="AX130" s="409">
        <v>7.8567445278167725E-2</v>
      </c>
      <c r="AY130" s="409">
        <v>8.8207729160785675E-2</v>
      </c>
      <c r="AZ130" s="409">
        <v>0.15381039679050446</v>
      </c>
      <c r="BA130" s="409">
        <v>0.10729312151670456</v>
      </c>
      <c r="BB130" s="409">
        <v>5.3246259689331055E-2</v>
      </c>
      <c r="BC130" s="409">
        <v>3.7353955209255219E-2</v>
      </c>
      <c r="BD130" s="409">
        <v>4.0716573596000671E-2</v>
      </c>
      <c r="BE130" s="409">
        <v>6.7206479609012604E-2</v>
      </c>
      <c r="BF130" s="407">
        <v>4.4946387410163879E-2</v>
      </c>
      <c r="BG130" s="407">
        <v>7.5271166861057281E-2</v>
      </c>
      <c r="BH130" s="407">
        <v>5.4425906389951699E-2</v>
      </c>
      <c r="BI130" s="407">
        <v>0.10027208924293518</v>
      </c>
      <c r="BJ130" s="407">
        <v>2.2504143416881561E-2</v>
      </c>
      <c r="BK130" s="407">
        <v>2.2504143416881561E-2</v>
      </c>
      <c r="BL130" s="407">
        <v>1.2842184863984585E-2</v>
      </c>
    </row>
    <row r="131" spans="3:64" x14ac:dyDescent="0.2">
      <c r="C131" s="404" t="s">
        <v>124</v>
      </c>
      <c r="D131" s="407">
        <v>7.0942960679531097E-2</v>
      </c>
      <c r="E131" s="407">
        <v>5.6515216827392578E-2</v>
      </c>
      <c r="F131" s="407">
        <v>8.5003308951854706E-2</v>
      </c>
      <c r="G131" s="407">
        <v>5.3724244236946106E-2</v>
      </c>
      <c r="H131" s="407">
        <v>0.10539839416742325</v>
      </c>
      <c r="I131" s="407">
        <v>9.2584356665611267E-2</v>
      </c>
      <c r="J131" s="407">
        <v>0.10236953943967819</v>
      </c>
      <c r="K131" s="407">
        <v>6.8632237613201141E-2</v>
      </c>
      <c r="L131" s="407">
        <v>4.0253594517707825E-2</v>
      </c>
      <c r="M131" s="407">
        <v>0.10767293721437454</v>
      </c>
      <c r="N131" s="407">
        <v>0.10918265581130981</v>
      </c>
      <c r="O131" s="407">
        <v>0.10268394649028778</v>
      </c>
      <c r="P131" s="407">
        <v>5.4595828056335449E-2</v>
      </c>
      <c r="Q131" s="407">
        <v>0.10844004154205322</v>
      </c>
      <c r="R131" s="407">
        <v>7.8090384602546692E-2</v>
      </c>
      <c r="S131" s="407">
        <v>6.2845215201377869E-2</v>
      </c>
      <c r="T131" s="407">
        <v>5.7222079485654831E-2</v>
      </c>
      <c r="U131" s="407">
        <v>6.525237113237381E-2</v>
      </c>
      <c r="V131" s="407">
        <v>5.779450386762619E-2</v>
      </c>
      <c r="W131" s="407">
        <v>7.8354880213737488E-2</v>
      </c>
      <c r="X131" s="407">
        <v>8.4391392767429352E-2</v>
      </c>
      <c r="Y131" s="407">
        <v>0.11604917049407959</v>
      </c>
      <c r="Z131" s="407">
        <v>9.3822628259658813E-2</v>
      </c>
      <c r="AA131" s="407">
        <v>9.5283202826976776E-2</v>
      </c>
      <c r="AB131" s="407">
        <v>4.8715937882661819E-2</v>
      </c>
      <c r="AC131" s="407">
        <v>4.8715937882661819E-2</v>
      </c>
      <c r="AD131" s="407">
        <v>5.2446361631155014E-2</v>
      </c>
      <c r="AE131" s="38">
        <f>'User Add-in Location'!B137</f>
        <v>0</v>
      </c>
      <c r="AF131" s="38">
        <f>'User Add-in Location'!C137</f>
        <v>0</v>
      </c>
      <c r="AG131" s="407">
        <v>7.8605286777019501E-2</v>
      </c>
      <c r="AH131" s="407">
        <v>5.9667222201824188E-2</v>
      </c>
      <c r="AI131" s="407">
        <v>9.5978155732154846E-2</v>
      </c>
      <c r="AJ131" s="407">
        <v>0.10104953497648239</v>
      </c>
      <c r="AK131" s="407">
        <v>5.4392725229263306E-2</v>
      </c>
      <c r="AL131" s="407">
        <v>0.10424897074699402</v>
      </c>
      <c r="AM131" s="407">
        <v>9.0132780373096466E-2</v>
      </c>
      <c r="AN131" s="409">
        <v>4.3358098715543747E-2</v>
      </c>
      <c r="AO131" s="409">
        <v>9.1227933764457703E-2</v>
      </c>
      <c r="AP131" s="409">
        <v>5.550822988152504E-2</v>
      </c>
      <c r="AQ131" s="409">
        <v>0.10146717727184296</v>
      </c>
      <c r="AR131" s="409">
        <v>0.1086156889796257</v>
      </c>
      <c r="AS131" s="409">
        <v>0.14590506255626678</v>
      </c>
      <c r="AT131" s="409">
        <v>0.13097995519638062</v>
      </c>
      <c r="AU131" s="409">
        <v>0.1284104585647583</v>
      </c>
      <c r="AV131" s="409">
        <v>0.12701529264450073</v>
      </c>
      <c r="AW131" s="409">
        <v>0.13757240772247314</v>
      </c>
      <c r="AX131" s="409">
        <v>0.10014963895082474</v>
      </c>
      <c r="AY131" s="409">
        <v>0.10917274653911591</v>
      </c>
      <c r="AZ131" s="409">
        <v>0.12437553703784943</v>
      </c>
      <c r="BA131" s="409">
        <v>0.1071448028087616</v>
      </c>
      <c r="BB131" s="409">
        <v>6.80813267827034E-2</v>
      </c>
      <c r="BC131" s="409">
        <v>5.6244052946567535E-2</v>
      </c>
      <c r="BD131" s="409">
        <v>8.5729293525218964E-2</v>
      </c>
      <c r="BE131" s="409">
        <v>8.079945296049118E-2</v>
      </c>
      <c r="BF131" s="407">
        <v>8.4245838224887848E-2</v>
      </c>
      <c r="BG131" s="407">
        <v>8.4492228925228119E-2</v>
      </c>
      <c r="BH131" s="407">
        <v>9.2872560024261475E-2</v>
      </c>
      <c r="BI131" s="407">
        <v>9.4637297093868256E-2</v>
      </c>
      <c r="BJ131" s="407">
        <v>4.862971231341362E-2</v>
      </c>
      <c r="BK131" s="407">
        <v>4.862971231341362E-2</v>
      </c>
      <c r="BL131" s="407">
        <v>3.2963689416646957E-2</v>
      </c>
    </row>
    <row r="132" spans="3:64" x14ac:dyDescent="0.2">
      <c r="C132" s="404" t="s">
        <v>56</v>
      </c>
      <c r="D132" s="407">
        <v>8.5003472864627838E-2</v>
      </c>
      <c r="E132" s="407">
        <v>9.307592362165451E-2</v>
      </c>
      <c r="F132" s="407">
        <v>0.14226445555686951</v>
      </c>
      <c r="G132" s="407">
        <v>7.1370474994182587E-2</v>
      </c>
      <c r="H132" s="407">
        <v>0.17173334956169128</v>
      </c>
      <c r="I132" s="407">
        <v>0.13862816989421844</v>
      </c>
      <c r="J132" s="407">
        <v>0.13204146921634674</v>
      </c>
      <c r="K132" s="407">
        <v>0.10556959360837936</v>
      </c>
      <c r="L132" s="407">
        <v>4.6952910721302032E-2</v>
      </c>
      <c r="M132" s="407">
        <v>0.15326608717441559</v>
      </c>
      <c r="N132" s="407">
        <v>0.12384774535894394</v>
      </c>
      <c r="O132" s="407">
        <v>0.11941118538379669</v>
      </c>
      <c r="P132" s="407">
        <v>7.8527860343456268E-2</v>
      </c>
      <c r="Q132" s="407">
        <v>0.16387461125850677</v>
      </c>
      <c r="R132" s="407">
        <v>9.6097707748413086E-2</v>
      </c>
      <c r="S132" s="407">
        <v>7.7869348227977753E-2</v>
      </c>
      <c r="T132" s="407">
        <v>8.4753051400184631E-2</v>
      </c>
      <c r="U132" s="407">
        <v>7.9784952104091644E-2</v>
      </c>
      <c r="V132" s="407">
        <v>8.4415018558502197E-2</v>
      </c>
      <c r="W132" s="407">
        <v>0.10301963984966278</v>
      </c>
      <c r="X132" s="407">
        <v>0.12266974151134491</v>
      </c>
      <c r="Y132" s="407">
        <v>0.1643100380897522</v>
      </c>
      <c r="Z132" s="407">
        <v>0.13793830573558807</v>
      </c>
      <c r="AA132" s="407">
        <v>0.14690910279750824</v>
      </c>
      <c r="AB132" s="407">
        <v>6.5478697419166565E-2</v>
      </c>
      <c r="AC132" s="407">
        <v>6.5478697419166565E-2</v>
      </c>
      <c r="AD132" s="407">
        <v>7.263435423374176E-2</v>
      </c>
      <c r="AE132" s="38">
        <f>'User Add-in Location'!B138</f>
        <v>0</v>
      </c>
      <c r="AF132" s="38">
        <f>'User Add-in Location'!C138</f>
        <v>0</v>
      </c>
      <c r="AG132" s="407">
        <v>9.1817781329154968E-2</v>
      </c>
      <c r="AH132" s="407">
        <v>0.10743729025125504</v>
      </c>
      <c r="AI132" s="407">
        <v>0.11951671540737152</v>
      </c>
      <c r="AJ132" s="407">
        <v>0.13532648980617523</v>
      </c>
      <c r="AK132" s="407">
        <v>7.7247247099876404E-2</v>
      </c>
      <c r="AL132" s="407">
        <v>0.15273478627204895</v>
      </c>
      <c r="AM132" s="407">
        <v>0.10552962124347687</v>
      </c>
      <c r="AN132" s="409">
        <v>6.5378062427043915E-2</v>
      </c>
      <c r="AO132" s="409">
        <v>0.12646278738975525</v>
      </c>
      <c r="AP132" s="409">
        <v>7.4880354106426239E-2</v>
      </c>
      <c r="AQ132" s="409">
        <v>0.12402752786874771</v>
      </c>
      <c r="AR132" s="409">
        <v>0.15105214715003967</v>
      </c>
      <c r="AS132" s="409">
        <v>0.20937247574329376</v>
      </c>
      <c r="AT132" s="409">
        <v>0.1840045154094696</v>
      </c>
      <c r="AU132" s="409">
        <v>0.16230244934558868</v>
      </c>
      <c r="AV132" s="409">
        <v>0.16766200959682465</v>
      </c>
      <c r="AW132" s="409">
        <v>0.19950869679450989</v>
      </c>
      <c r="AX132" s="409">
        <v>0.14993724226951599</v>
      </c>
      <c r="AY132" s="409">
        <v>0.16532216966152191</v>
      </c>
      <c r="AZ132" s="409">
        <v>0.2021404355764389</v>
      </c>
      <c r="BA132" s="409">
        <v>0.13624344766139984</v>
      </c>
      <c r="BB132" s="409">
        <v>9.1954216361045837E-2</v>
      </c>
      <c r="BC132" s="409">
        <v>7.3736429214477539E-2</v>
      </c>
      <c r="BD132" s="409">
        <v>0.11172981560230255</v>
      </c>
      <c r="BE132" s="409">
        <v>0.12564657628536224</v>
      </c>
      <c r="BF132" s="407">
        <v>0.12230934947729111</v>
      </c>
      <c r="BG132" s="407">
        <v>9.1759547591209412E-2</v>
      </c>
      <c r="BH132" s="407">
        <v>0.117113396525383</v>
      </c>
      <c r="BI132" s="407">
        <v>0.14106784760951996</v>
      </c>
      <c r="BJ132" s="407">
        <v>6.5292805433273315E-2</v>
      </c>
      <c r="BK132" s="407">
        <v>6.5292805433273315E-2</v>
      </c>
      <c r="BL132" s="407">
        <v>4.7658547759056091E-2</v>
      </c>
    </row>
    <row r="133" spans="3:64" x14ac:dyDescent="0.2">
      <c r="C133" s="404" t="s">
        <v>389</v>
      </c>
      <c r="D133" s="407">
        <v>0.11273305863142014</v>
      </c>
      <c r="E133" s="407">
        <v>0.1192902997136116</v>
      </c>
      <c r="F133" s="407">
        <v>0.18292777240276337</v>
      </c>
      <c r="G133" s="407">
        <v>9.8285876214504242E-2</v>
      </c>
      <c r="H133" s="407">
        <v>0.20608830451965332</v>
      </c>
      <c r="I133" s="407">
        <v>0.17631298303604126</v>
      </c>
      <c r="J133" s="407">
        <v>0.16207624971866608</v>
      </c>
      <c r="K133" s="407">
        <v>0.13871008157730103</v>
      </c>
      <c r="L133" s="407">
        <v>6.0204029083251953E-2</v>
      </c>
      <c r="M133" s="407">
        <v>0.19687066972255707</v>
      </c>
      <c r="N133" s="407">
        <v>0.16147880256175995</v>
      </c>
      <c r="O133" s="407">
        <v>0.15756919980049133</v>
      </c>
      <c r="P133" s="407">
        <v>0.10482179373502731</v>
      </c>
      <c r="Q133" s="407">
        <v>0.2063901275396347</v>
      </c>
      <c r="R133" s="407">
        <v>0.12781380116939545</v>
      </c>
      <c r="S133" s="407">
        <v>0.10620983690023422</v>
      </c>
      <c r="T133" s="407">
        <v>0.11622824519872665</v>
      </c>
      <c r="U133" s="407">
        <v>0.10752227157354355</v>
      </c>
      <c r="V133" s="407">
        <v>0.11347819864749908</v>
      </c>
      <c r="W133" s="407">
        <v>0.13372510671615601</v>
      </c>
      <c r="X133" s="407">
        <v>0.1572398841381073</v>
      </c>
      <c r="Y133" s="407">
        <v>0.20357632637023926</v>
      </c>
      <c r="Z133" s="407">
        <v>0.17179583013057709</v>
      </c>
      <c r="AA133" s="407">
        <v>0.18821953237056732</v>
      </c>
      <c r="AB133" s="407">
        <v>9.1086193919181824E-2</v>
      </c>
      <c r="AC133" s="407">
        <v>9.1086193919181824E-2</v>
      </c>
      <c r="AD133" s="407">
        <v>9.96546670794487E-2</v>
      </c>
      <c r="AE133" s="38">
        <f>'User Add-in Location'!B139</f>
        <v>0</v>
      </c>
      <c r="AF133" s="38">
        <f>'User Add-in Location'!C139</f>
        <v>0</v>
      </c>
      <c r="AG133" s="407">
        <v>0.12703727185726166</v>
      </c>
      <c r="AH133" s="407">
        <v>0.14095300436019897</v>
      </c>
      <c r="AI133" s="407">
        <v>0.14936234056949615</v>
      </c>
      <c r="AJ133" s="407">
        <v>0.16633765399456024</v>
      </c>
      <c r="AK133" s="407">
        <v>0.1079719141125679</v>
      </c>
      <c r="AL133" s="407">
        <v>0.19417308270931244</v>
      </c>
      <c r="AM133" s="407">
        <v>0.13946928083896637</v>
      </c>
      <c r="AN133" s="409">
        <v>9.1242782771587372E-2</v>
      </c>
      <c r="AO133" s="409">
        <v>0.16239821910858154</v>
      </c>
      <c r="AP133" s="409">
        <v>0.10130374133586884</v>
      </c>
      <c r="AQ133" s="409">
        <v>0.15861904621124268</v>
      </c>
      <c r="AR133" s="409">
        <v>0.19035476446151733</v>
      </c>
      <c r="AS133" s="409">
        <v>0.25843289494514465</v>
      </c>
      <c r="AT133" s="409">
        <v>0.22845479846000671</v>
      </c>
      <c r="AU133" s="409">
        <v>0.20752863585948944</v>
      </c>
      <c r="AV133" s="409">
        <v>0.21315503120422363</v>
      </c>
      <c r="AW133" s="409">
        <v>0.2458563894033432</v>
      </c>
      <c r="AX133" s="409">
        <v>0.19146305322647095</v>
      </c>
      <c r="AY133" s="409">
        <v>0.21088799834251404</v>
      </c>
      <c r="AZ133" s="409">
        <v>0.24303430318832397</v>
      </c>
      <c r="BA133" s="409">
        <v>0.17667631804943085</v>
      </c>
      <c r="BB133" s="409">
        <v>0.12356936931610107</v>
      </c>
      <c r="BC133" s="409">
        <v>0.10079129040241241</v>
      </c>
      <c r="BD133" s="409">
        <v>0.14327000081539154</v>
      </c>
      <c r="BE133" s="409">
        <v>0.16053588688373566</v>
      </c>
      <c r="BF133" s="407">
        <v>0.1585877388715744</v>
      </c>
      <c r="BG133" s="407">
        <v>0.12085045129060745</v>
      </c>
      <c r="BH133" s="407">
        <v>0.15291324257850647</v>
      </c>
      <c r="BI133" s="407">
        <v>0.17854902148246765</v>
      </c>
      <c r="BJ133" s="407">
        <v>9.0444609522819519E-2</v>
      </c>
      <c r="BK133" s="407">
        <v>9.0444609522819519E-2</v>
      </c>
      <c r="BL133" s="407">
        <v>6.8529099225997925E-2</v>
      </c>
    </row>
    <row r="134" spans="3:64" x14ac:dyDescent="0.2">
      <c r="C134" s="404" t="s">
        <v>390</v>
      </c>
      <c r="D134" s="407">
        <v>0.10059285163879395</v>
      </c>
      <c r="E134" s="407">
        <v>9.102967381477356E-2</v>
      </c>
      <c r="F134" s="407">
        <v>0.14322353899478912</v>
      </c>
      <c r="G134" s="407">
        <v>9.3980014324188232E-2</v>
      </c>
      <c r="H134" s="407">
        <v>0.16191112995147705</v>
      </c>
      <c r="I134" s="407">
        <v>0.13974136114120483</v>
      </c>
      <c r="J134" s="407">
        <v>0.13565625250339508</v>
      </c>
      <c r="K134" s="407">
        <v>0.11013972759246826</v>
      </c>
      <c r="L134" s="407">
        <v>4.4756107032299042E-2</v>
      </c>
      <c r="M134" s="407">
        <v>0.15746690332889557</v>
      </c>
      <c r="N134" s="407">
        <v>0.1380574107170105</v>
      </c>
      <c r="O134" s="407">
        <v>0.11190719902515411</v>
      </c>
      <c r="P134" s="407">
        <v>9.5182083547115326E-2</v>
      </c>
      <c r="Q134" s="407">
        <v>0.15491208434104919</v>
      </c>
      <c r="R134" s="407">
        <v>0.10511712729930878</v>
      </c>
      <c r="S134" s="407">
        <v>9.2873372137546539E-2</v>
      </c>
      <c r="T134" s="407">
        <v>9.5854796469211578E-2</v>
      </c>
      <c r="U134" s="407">
        <v>9.8287567496299744E-2</v>
      </c>
      <c r="V134" s="407">
        <v>8.9501857757568359E-2</v>
      </c>
      <c r="W134" s="407">
        <v>0.13145975768566132</v>
      </c>
      <c r="X134" s="407">
        <v>0.11981010437011719</v>
      </c>
      <c r="Y134" s="407">
        <v>0.16004215180873871</v>
      </c>
      <c r="Z134" s="407">
        <v>0.14522910118103027</v>
      </c>
      <c r="AA134" s="407">
        <v>0.15008820593357086</v>
      </c>
      <c r="AB134" s="407">
        <v>8.3586864173412323E-2</v>
      </c>
      <c r="AC134" s="407">
        <v>8.3586864173412323E-2</v>
      </c>
      <c r="AD134" s="407">
        <v>9.0217724442481995E-2</v>
      </c>
      <c r="AE134" s="38">
        <f>'User Add-in Location'!B140</f>
        <v>0</v>
      </c>
      <c r="AF134" s="38">
        <f>'User Add-in Location'!C140</f>
        <v>0</v>
      </c>
      <c r="AG134" s="407">
        <v>0.10636669397354126</v>
      </c>
      <c r="AH134" s="407">
        <v>9.7562313079833984E-2</v>
      </c>
      <c r="AI134" s="407">
        <v>0.13749387860298157</v>
      </c>
      <c r="AJ134" s="407">
        <v>0.13082839548587799</v>
      </c>
      <c r="AK134" s="407">
        <v>8.7521992623806E-2</v>
      </c>
      <c r="AL134" s="407">
        <v>0.14280501008033752</v>
      </c>
      <c r="AM134" s="407">
        <v>0.12486383318901062</v>
      </c>
      <c r="AN134" s="409">
        <v>7.5457639992237091E-2</v>
      </c>
      <c r="AO134" s="409">
        <v>0.13861395418643951</v>
      </c>
      <c r="AP134" s="409">
        <v>9.2374466359615326E-2</v>
      </c>
      <c r="AQ134" s="409">
        <v>0.12868782877922058</v>
      </c>
      <c r="AR134" s="409">
        <v>0.15341620147228241</v>
      </c>
      <c r="AS134" s="409">
        <v>0.20132046937942505</v>
      </c>
      <c r="AT134" s="409">
        <v>0.18032777309417725</v>
      </c>
      <c r="AU134" s="409">
        <v>0.1685233861207962</v>
      </c>
      <c r="AV134" s="409">
        <v>0.17965631186962128</v>
      </c>
      <c r="AW134" s="409">
        <v>0.19788411259651184</v>
      </c>
      <c r="AX134" s="409">
        <v>0.1546453982591629</v>
      </c>
      <c r="AY134" s="409">
        <v>0.16527996957302094</v>
      </c>
      <c r="AZ134" s="409">
        <v>0.19020996987819672</v>
      </c>
      <c r="BA134" s="409">
        <v>0.14269500970840454</v>
      </c>
      <c r="BB134" s="409">
        <v>0.10622356086969376</v>
      </c>
      <c r="BC134" s="409">
        <v>9.2817328870296478E-2</v>
      </c>
      <c r="BD134" s="409">
        <v>0.13111414015293121</v>
      </c>
      <c r="BE134" s="409">
        <v>0.1271304190158844</v>
      </c>
      <c r="BF134" s="407">
        <v>0.13069653511047363</v>
      </c>
      <c r="BG134" s="407">
        <v>0.1169109046459198</v>
      </c>
      <c r="BH134" s="407">
        <v>0.12377532571554184</v>
      </c>
      <c r="BI134" s="407">
        <v>0.1343950480222702</v>
      </c>
      <c r="BJ134" s="407">
        <v>7.4029944837093353E-2</v>
      </c>
      <c r="BK134" s="407">
        <v>7.4029944837093353E-2</v>
      </c>
      <c r="BL134" s="407">
        <v>5.1406711339950562E-2</v>
      </c>
    </row>
    <row r="135" spans="3:64" x14ac:dyDescent="0.2">
      <c r="C135" s="404" t="s">
        <v>125</v>
      </c>
      <c r="D135" s="407">
        <v>4.6574391424655914E-2</v>
      </c>
      <c r="E135" s="407">
        <v>3.9207935333251953E-2</v>
      </c>
      <c r="F135" s="407">
        <v>8.4569945931434631E-2</v>
      </c>
      <c r="G135" s="407">
        <v>4.0441539138555527E-2</v>
      </c>
      <c r="H135" s="407">
        <v>0.10467425733804703</v>
      </c>
      <c r="I135" s="407">
        <v>8.1414908170700073E-2</v>
      </c>
      <c r="J135" s="407">
        <v>8.0074243247509003E-2</v>
      </c>
      <c r="K135" s="407">
        <v>5.3600817918777466E-2</v>
      </c>
      <c r="L135" s="407">
        <v>2.1668938919901848E-2</v>
      </c>
      <c r="M135" s="407">
        <v>9.4349496066570282E-2</v>
      </c>
      <c r="N135" s="407">
        <v>7.0107854902744293E-2</v>
      </c>
      <c r="O135" s="407">
        <v>5.8533184230327606E-2</v>
      </c>
      <c r="P135" s="407">
        <v>4.3039772659540176E-2</v>
      </c>
      <c r="Q135" s="407">
        <v>9.1830797493457794E-2</v>
      </c>
      <c r="R135" s="407">
        <v>5.1468953490257263E-2</v>
      </c>
      <c r="S135" s="407">
        <v>4.0730345994234085E-2</v>
      </c>
      <c r="T135" s="407">
        <v>4.1321076452732086E-2</v>
      </c>
      <c r="U135" s="407">
        <v>4.3227363377809525E-2</v>
      </c>
      <c r="V135" s="407">
        <v>3.5492781549692154E-2</v>
      </c>
      <c r="W135" s="407">
        <v>6.6942572593688965E-2</v>
      </c>
      <c r="X135" s="407">
        <v>7.105681300163269E-2</v>
      </c>
      <c r="Y135" s="407">
        <v>0.10242845118045807</v>
      </c>
      <c r="Z135" s="407">
        <v>8.4470450878143311E-2</v>
      </c>
      <c r="AA135" s="407">
        <v>9.0767748653888702E-2</v>
      </c>
      <c r="AB135" s="407">
        <v>3.2765645533800125E-2</v>
      </c>
      <c r="AC135" s="407">
        <v>3.2765645533800125E-2</v>
      </c>
      <c r="AD135" s="407">
        <v>3.0550502240657806E-2</v>
      </c>
      <c r="AE135" s="38">
        <f>'User Add-in Location'!B141</f>
        <v>0</v>
      </c>
      <c r="AF135" s="38">
        <f>'User Add-in Location'!C141</f>
        <v>0</v>
      </c>
      <c r="AG135" s="407">
        <v>4.5836515724658966E-2</v>
      </c>
      <c r="AH135" s="407">
        <v>6.1680056154727936E-2</v>
      </c>
      <c r="AI135" s="407">
        <v>7.8742742538452148E-2</v>
      </c>
      <c r="AJ135" s="407">
        <v>7.2993263602256775E-2</v>
      </c>
      <c r="AK135" s="407">
        <v>3.6817591637372971E-2</v>
      </c>
      <c r="AL135" s="407">
        <v>8.8921621441841125E-2</v>
      </c>
      <c r="AM135" s="407">
        <v>6.2035076320171356E-2</v>
      </c>
      <c r="AN135" s="409">
        <v>3.0574334785342216E-2</v>
      </c>
      <c r="AO135" s="409">
        <v>7.3108196258544922E-2</v>
      </c>
      <c r="AP135" s="409">
        <v>4.7071769833564758E-2</v>
      </c>
      <c r="AQ135" s="409">
        <v>7.7845670282840729E-2</v>
      </c>
      <c r="AR135" s="409">
        <v>8.4673695266246796E-2</v>
      </c>
      <c r="AS135" s="409">
        <v>0.13100454211235046</v>
      </c>
      <c r="AT135" s="409">
        <v>0.10510564595460892</v>
      </c>
      <c r="AU135" s="409">
        <v>9.5285117626190186E-2</v>
      </c>
      <c r="AV135" s="409">
        <v>0.10110989212989807</v>
      </c>
      <c r="AW135" s="409">
        <v>0.12381988763809204</v>
      </c>
      <c r="AX135" s="409">
        <v>8.5169874131679535E-2</v>
      </c>
      <c r="AY135" s="409">
        <v>9.6421957015991211E-2</v>
      </c>
      <c r="AZ135" s="409">
        <v>0.12291803956031799</v>
      </c>
      <c r="BA135" s="409">
        <v>8.0052711069583893E-2</v>
      </c>
      <c r="BB135" s="409">
        <v>5.2182529121637344E-2</v>
      </c>
      <c r="BC135" s="409">
        <v>4.0721029043197632E-2</v>
      </c>
      <c r="BD135" s="409">
        <v>6.5240181982517242E-2</v>
      </c>
      <c r="BE135" s="409">
        <v>6.8439804017543793E-2</v>
      </c>
      <c r="BF135" s="407">
        <v>6.5931655466556549E-2</v>
      </c>
      <c r="BG135" s="407">
        <v>5.7486861944198608E-2</v>
      </c>
      <c r="BH135" s="407">
        <v>6.3895314931869507E-2</v>
      </c>
      <c r="BI135" s="407">
        <v>7.7194325625896454E-2</v>
      </c>
      <c r="BJ135" s="407">
        <v>2.9796404764056206E-2</v>
      </c>
      <c r="BK135" s="407">
        <v>2.9796404764056206E-2</v>
      </c>
      <c r="BL135" s="407">
        <v>1.4544576406478882E-2</v>
      </c>
    </row>
    <row r="136" spans="3:64" x14ac:dyDescent="0.2">
      <c r="C136" s="404" t="s">
        <v>126</v>
      </c>
      <c r="D136" s="407">
        <v>5.610869824886322E-2</v>
      </c>
      <c r="E136" s="407">
        <v>4.5788224786520004E-2</v>
      </c>
      <c r="F136" s="407">
        <v>9.04737189412117E-2</v>
      </c>
      <c r="G136" s="407">
        <v>5.0762098282575607E-2</v>
      </c>
      <c r="H136" s="407">
        <v>0.11622020602226257</v>
      </c>
      <c r="I136" s="407">
        <v>9.1654121875762939E-2</v>
      </c>
      <c r="J136" s="407">
        <v>8.7553530931472778E-2</v>
      </c>
      <c r="K136" s="407">
        <v>6.9615162909030914E-2</v>
      </c>
      <c r="L136" s="407">
        <v>2.7074145153164864E-2</v>
      </c>
      <c r="M136" s="407">
        <v>0.10242854803800583</v>
      </c>
      <c r="N136" s="407">
        <v>8.2403041422367096E-2</v>
      </c>
      <c r="O136" s="407">
        <v>6.8359002470970154E-2</v>
      </c>
      <c r="P136" s="407">
        <v>5.1687616854906082E-2</v>
      </c>
      <c r="Q136" s="407">
        <v>0.10738666355609894</v>
      </c>
      <c r="R136" s="407">
        <v>6.2973819673061371E-2</v>
      </c>
      <c r="S136" s="407">
        <v>5.1056906580924988E-2</v>
      </c>
      <c r="T136" s="407">
        <v>5.2479300647974014E-2</v>
      </c>
      <c r="U136" s="407">
        <v>5.1969364285469055E-2</v>
      </c>
      <c r="V136" s="407">
        <v>5.5230207741260529E-2</v>
      </c>
      <c r="W136" s="407">
        <v>7.2439081966876984E-2</v>
      </c>
      <c r="X136" s="407">
        <v>7.6217614114284515E-2</v>
      </c>
      <c r="Y136" s="407">
        <v>0.1107698380947113</v>
      </c>
      <c r="Z136" s="407">
        <v>9.3655571341514587E-2</v>
      </c>
      <c r="AA136" s="407">
        <v>0.10048573464155197</v>
      </c>
      <c r="AB136" s="407">
        <v>4.3294377624988556E-2</v>
      </c>
      <c r="AC136" s="407">
        <v>4.3294377624988556E-2</v>
      </c>
      <c r="AD136" s="407">
        <v>4.692409560084343E-2</v>
      </c>
      <c r="AE136" s="38">
        <f>'User Add-in Location'!B142</f>
        <v>0</v>
      </c>
      <c r="AF136" s="38">
        <f>'User Add-in Location'!C142</f>
        <v>0</v>
      </c>
      <c r="AG136" s="407">
        <v>6.000949814915657E-2</v>
      </c>
      <c r="AH136" s="407">
        <v>6.3282512128353119E-2</v>
      </c>
      <c r="AI136" s="407">
        <v>8.1650964915752411E-2</v>
      </c>
      <c r="AJ136" s="407">
        <v>9.0288005769252777E-2</v>
      </c>
      <c r="AK136" s="407">
        <v>4.5000046491622925E-2</v>
      </c>
      <c r="AL136" s="407">
        <v>0.10210827738046646</v>
      </c>
      <c r="AM136" s="407">
        <v>7.4379153549671173E-2</v>
      </c>
      <c r="AN136" s="409">
        <v>4.1690777987241745E-2</v>
      </c>
      <c r="AO136" s="409">
        <v>8.6443580687046051E-2</v>
      </c>
      <c r="AP136" s="409">
        <v>5.4152481257915497E-2</v>
      </c>
      <c r="AQ136" s="409">
        <v>8.2575328648090363E-2</v>
      </c>
      <c r="AR136" s="409">
        <v>0.10151104629039764</v>
      </c>
      <c r="AS136" s="409">
        <v>0.1451958566904068</v>
      </c>
      <c r="AT136" s="409">
        <v>0.12549036741256714</v>
      </c>
      <c r="AU136" s="409">
        <v>0.11368605494499207</v>
      </c>
      <c r="AV136" s="409">
        <v>0.11747822910547256</v>
      </c>
      <c r="AW136" s="409">
        <v>0.14064717292785645</v>
      </c>
      <c r="AX136" s="409">
        <v>0.10563962161540985</v>
      </c>
      <c r="AY136" s="409">
        <v>0.10969085246324539</v>
      </c>
      <c r="AZ136" s="409">
        <v>0.13649682700634003</v>
      </c>
      <c r="BA136" s="409">
        <v>8.9941099286079407E-2</v>
      </c>
      <c r="BB136" s="409">
        <v>6.2602892518043518E-2</v>
      </c>
      <c r="BC136" s="409">
        <v>5.0755828619003296E-2</v>
      </c>
      <c r="BD136" s="409">
        <v>8.0046840012073517E-2</v>
      </c>
      <c r="BE136" s="409">
        <v>8.7703980505466461E-2</v>
      </c>
      <c r="BF136" s="407">
        <v>8.2467854022979736E-2</v>
      </c>
      <c r="BG136" s="407">
        <v>6.2934651970863342E-2</v>
      </c>
      <c r="BH136" s="407">
        <v>8.1000149250030518E-2</v>
      </c>
      <c r="BI136" s="407">
        <v>9.1787129640579224E-2</v>
      </c>
      <c r="BJ136" s="407">
        <v>3.8623400032520294E-2</v>
      </c>
      <c r="BK136" s="407">
        <v>3.8623400032520294E-2</v>
      </c>
      <c r="BL136" s="407">
        <v>2.6180176064372063E-2</v>
      </c>
    </row>
    <row r="137" spans="3:64" x14ac:dyDescent="0.2">
      <c r="C137" s="404" t="s">
        <v>127</v>
      </c>
      <c r="D137" s="407">
        <v>5.5832415819168091E-2</v>
      </c>
      <c r="E137" s="407">
        <v>3.6823969334363937E-2</v>
      </c>
      <c r="F137" s="407">
        <v>8.9977599680423737E-2</v>
      </c>
      <c r="G137" s="407">
        <v>5.0636384636163712E-2</v>
      </c>
      <c r="H137" s="407">
        <v>0.11828159540891647</v>
      </c>
      <c r="I137" s="407">
        <v>9.1891445219516754E-2</v>
      </c>
      <c r="J137" s="407">
        <v>8.2823053002357483E-2</v>
      </c>
      <c r="K137" s="407">
        <v>8.6828641593456268E-2</v>
      </c>
      <c r="L137" s="407">
        <v>2.5676451623439789E-2</v>
      </c>
      <c r="M137" s="407">
        <v>0.11130747199058533</v>
      </c>
      <c r="N137" s="407">
        <v>9.7028739750385284E-2</v>
      </c>
      <c r="O137" s="407">
        <v>0</v>
      </c>
      <c r="P137" s="407">
        <v>5.9644073247909546E-2</v>
      </c>
      <c r="Q137" s="407">
        <v>0.11676455289125443</v>
      </c>
      <c r="R137" s="407">
        <v>6.5883398056030273E-2</v>
      </c>
      <c r="S137" s="407">
        <v>4.9681723117828369E-2</v>
      </c>
      <c r="T137" s="407">
        <v>5.8166127651929855E-2</v>
      </c>
      <c r="U137" s="407">
        <v>5.5702973157167435E-2</v>
      </c>
      <c r="V137" s="407">
        <v>5.9078056365251541E-2</v>
      </c>
      <c r="W137" s="407">
        <v>7.1455255150794983E-2</v>
      </c>
      <c r="X137" s="407">
        <v>9.1526791453361511E-2</v>
      </c>
      <c r="Y137" s="407">
        <v>0.11884135752916336</v>
      </c>
      <c r="Z137" s="407">
        <v>0.10707473754882813</v>
      </c>
      <c r="AA137" s="407">
        <v>0.11757612973451614</v>
      </c>
      <c r="AB137" s="407">
        <v>4.7412902116775513E-2</v>
      </c>
      <c r="AC137" s="407">
        <v>4.7412902116775513E-2</v>
      </c>
      <c r="AD137" s="407">
        <v>4.8506218940019608E-2</v>
      </c>
      <c r="AE137" s="38">
        <f>'User Add-in Location'!B143</f>
        <v>0</v>
      </c>
      <c r="AF137" s="38">
        <f>'User Add-in Location'!C143</f>
        <v>0</v>
      </c>
      <c r="AG137" s="407">
        <v>5.7831060141324997E-2</v>
      </c>
      <c r="AH137" s="407">
        <v>6.121748685836792E-2</v>
      </c>
      <c r="AI137" s="407">
        <v>0.1041557788848877</v>
      </c>
      <c r="AJ137" s="407">
        <v>0.10472735017538071</v>
      </c>
      <c r="AK137" s="407">
        <v>5.3548358380794525E-2</v>
      </c>
      <c r="AL137" s="407">
        <v>0.1065710112452507</v>
      </c>
      <c r="AM137" s="407">
        <v>8.0574333667755127E-2</v>
      </c>
      <c r="AN137" s="409">
        <v>2.973536029458046E-2</v>
      </c>
      <c r="AO137" s="409">
        <v>9.6020050346851349E-2</v>
      </c>
      <c r="AP137" s="409">
        <v>5.9549011290073395E-2</v>
      </c>
      <c r="AQ137" s="409">
        <v>9.3972489237785339E-2</v>
      </c>
      <c r="AR137" s="409">
        <v>0.10738521814346313</v>
      </c>
      <c r="AS137" s="409">
        <v>0.15221010148525238</v>
      </c>
      <c r="AT137" s="409">
        <v>0.13662843406200409</v>
      </c>
      <c r="AU137" s="409">
        <v>0.11853135377168655</v>
      </c>
      <c r="AV137" s="409">
        <v>0.12523883581161499</v>
      </c>
      <c r="AW137" s="409">
        <v>0.15459482371807098</v>
      </c>
      <c r="AX137" s="409">
        <v>0.11002670973539352</v>
      </c>
      <c r="AY137" s="409">
        <v>0.11465991288423538</v>
      </c>
      <c r="AZ137" s="409">
        <v>0.13901865482330322</v>
      </c>
      <c r="BA137" s="409">
        <v>0.10280084609985352</v>
      </c>
      <c r="BB137" s="409">
        <v>6.3048072159290314E-2</v>
      </c>
      <c r="BC137" s="409">
        <v>4.3510843068361282E-2</v>
      </c>
      <c r="BD137" s="409">
        <v>8.2044675946235657E-2</v>
      </c>
      <c r="BE137" s="409">
        <v>8.9569628238677979E-2</v>
      </c>
      <c r="BF137" s="407">
        <v>8.4172651171684265E-2</v>
      </c>
      <c r="BG137" s="407">
        <v>7.1793593466281891E-2</v>
      </c>
      <c r="BH137" s="407">
        <v>8.6083747446537018E-2</v>
      </c>
      <c r="BI137" s="407">
        <v>0.10467834770679474</v>
      </c>
      <c r="BJ137" s="407">
        <v>3.1874153763055801E-2</v>
      </c>
      <c r="BK137" s="407">
        <v>3.1874153763055801E-2</v>
      </c>
      <c r="BL137" s="407">
        <v>2.413826622068882E-2</v>
      </c>
    </row>
    <row r="138" spans="3:64" x14ac:dyDescent="0.2">
      <c r="C138" s="404" t="s">
        <v>391</v>
      </c>
      <c r="D138" s="407">
        <v>5.2220471203327179E-2</v>
      </c>
      <c r="E138" s="407">
        <v>4.3315209448337555E-2</v>
      </c>
      <c r="F138" s="407">
        <v>8.6937554180622101E-2</v>
      </c>
      <c r="G138" s="407">
        <v>4.4540911912918091E-2</v>
      </c>
      <c r="H138" s="407">
        <v>0.11154233664274216</v>
      </c>
      <c r="I138" s="407">
        <v>8.6877867579460144E-2</v>
      </c>
      <c r="J138" s="407">
        <v>9.6243560314178467E-2</v>
      </c>
      <c r="K138" s="407">
        <v>7.151387631893158E-2</v>
      </c>
      <c r="L138" s="407">
        <v>0</v>
      </c>
      <c r="M138" s="407">
        <v>9.8790913820266724E-2</v>
      </c>
      <c r="N138" s="407">
        <v>8.1989958882331848E-2</v>
      </c>
      <c r="O138" s="407">
        <v>0</v>
      </c>
      <c r="P138" s="407">
        <v>4.8073753714561462E-2</v>
      </c>
      <c r="Q138" s="407">
        <v>0.10479135066270828</v>
      </c>
      <c r="R138" s="407">
        <v>5.5817428976297379E-2</v>
      </c>
      <c r="S138" s="407">
        <v>4.8385348170995712E-2</v>
      </c>
      <c r="T138" s="407">
        <v>4.8551503568887711E-2</v>
      </c>
      <c r="U138" s="407">
        <v>5.1154728978872299E-2</v>
      </c>
      <c r="V138" s="407">
        <v>4.7428317368030548E-2</v>
      </c>
      <c r="W138" s="407">
        <v>7.0611216127872467E-2</v>
      </c>
      <c r="X138" s="407">
        <v>7.3600113391876221E-2</v>
      </c>
      <c r="Y138" s="407">
        <v>0.10833502560853958</v>
      </c>
      <c r="Z138" s="407">
        <v>8.9500196278095245E-2</v>
      </c>
      <c r="AA138" s="407">
        <v>9.6294194459915161E-2</v>
      </c>
      <c r="AB138" s="407">
        <v>3.7242468446493149E-2</v>
      </c>
      <c r="AC138" s="407">
        <v>3.7242468446493149E-2</v>
      </c>
      <c r="AD138" s="407">
        <v>4.9737207591533661E-2</v>
      </c>
      <c r="AE138" s="38">
        <f>'User Add-in Location'!B144</f>
        <v>0</v>
      </c>
      <c r="AF138" s="38">
        <f>'User Add-in Location'!C144</f>
        <v>0</v>
      </c>
      <c r="AG138" s="407">
        <v>5.5513419210910797E-2</v>
      </c>
      <c r="AH138" s="407">
        <v>7.2657905519008636E-2</v>
      </c>
      <c r="AI138" s="407">
        <v>7.9238884150981903E-2</v>
      </c>
      <c r="AJ138" s="407">
        <v>8.4318257868289948E-2</v>
      </c>
      <c r="AK138" s="407">
        <v>4.1668452322483063E-2</v>
      </c>
      <c r="AL138" s="407">
        <v>0.10105917602777481</v>
      </c>
      <c r="AM138" s="407">
        <v>7.5200401246547699E-2</v>
      </c>
      <c r="AN138" s="409">
        <v>3.3026903867721558E-2</v>
      </c>
      <c r="AO138" s="409">
        <v>8.3172671496868134E-2</v>
      </c>
      <c r="AP138" s="409">
        <v>4.8841256648302078E-2</v>
      </c>
      <c r="AQ138" s="409">
        <v>8.1267140805721283E-2</v>
      </c>
      <c r="AR138" s="409">
        <v>9.8598942160606384E-2</v>
      </c>
      <c r="AS138" s="409">
        <v>0.14688509702682495</v>
      </c>
      <c r="AT138" s="409">
        <v>0.12075158208608627</v>
      </c>
      <c r="AU138" s="409">
        <v>0.1074003279209137</v>
      </c>
      <c r="AV138" s="409">
        <v>0.10878385603427887</v>
      </c>
      <c r="AW138" s="409">
        <v>0.13430327177047729</v>
      </c>
      <c r="AX138" s="409">
        <v>9.5261633396148682E-2</v>
      </c>
      <c r="AY138" s="409">
        <v>0.10642773658037186</v>
      </c>
      <c r="AZ138" s="409">
        <v>0.13108205795288086</v>
      </c>
      <c r="BA138" s="409">
        <v>9.3046210706233978E-2</v>
      </c>
      <c r="BB138" s="409">
        <v>5.9745389968156815E-2</v>
      </c>
      <c r="BC138" s="409">
        <v>4.1083220392465591E-2</v>
      </c>
      <c r="BD138" s="409">
        <v>7.0514947175979614E-2</v>
      </c>
      <c r="BE138" s="409">
        <v>8.0902300775051117E-2</v>
      </c>
      <c r="BF138" s="407">
        <v>8.812231570482254E-2</v>
      </c>
      <c r="BG138" s="407">
        <v>6.2511198222637177E-2</v>
      </c>
      <c r="BH138" s="407">
        <v>7.0153340697288513E-2</v>
      </c>
      <c r="BI138" s="407">
        <v>9.3217462301254272E-2</v>
      </c>
      <c r="BJ138" s="407">
        <v>3.7970669567584991E-2</v>
      </c>
      <c r="BK138" s="407">
        <v>3.7970669567584991E-2</v>
      </c>
      <c r="BL138" s="407">
        <v>2.7877660468220711E-2</v>
      </c>
    </row>
    <row r="139" spans="3:64" x14ac:dyDescent="0.2">
      <c r="C139" s="404" t="s">
        <v>392</v>
      </c>
      <c r="D139" s="407">
        <v>0</v>
      </c>
      <c r="E139" s="407">
        <v>0</v>
      </c>
      <c r="F139" s="407">
        <v>9.0014234185218811E-2</v>
      </c>
      <c r="G139" s="407">
        <v>5.3905952721834183E-2</v>
      </c>
      <c r="H139" s="407">
        <v>0.11815616488456726</v>
      </c>
      <c r="I139" s="407">
        <v>9.0398848056793213E-2</v>
      </c>
      <c r="J139" s="407">
        <v>8.9452922344207764E-2</v>
      </c>
      <c r="K139" s="407">
        <v>8.1910058856010437E-2</v>
      </c>
      <c r="L139" s="407">
        <v>0</v>
      </c>
      <c r="M139" s="407">
        <v>0.11376620084047318</v>
      </c>
      <c r="N139" s="407">
        <v>9.8709188401699066E-2</v>
      </c>
      <c r="O139" s="407">
        <v>0</v>
      </c>
      <c r="P139" s="407">
        <v>0</v>
      </c>
      <c r="Q139" s="407">
        <v>0.11619451642036438</v>
      </c>
      <c r="R139" s="407">
        <v>6.2274370342493057E-2</v>
      </c>
      <c r="S139" s="407">
        <v>5.1391098648309708E-2</v>
      </c>
      <c r="T139" s="407">
        <v>5.2658762782812119E-2</v>
      </c>
      <c r="U139" s="407">
        <v>5.4155576974153519E-2</v>
      </c>
      <c r="V139" s="407">
        <v>0</v>
      </c>
      <c r="W139" s="407">
        <v>0</v>
      </c>
      <c r="X139" s="407">
        <v>0.10365317016839981</v>
      </c>
      <c r="Y139" s="407">
        <v>0</v>
      </c>
      <c r="Z139" s="407">
        <v>0.10472682118415833</v>
      </c>
      <c r="AA139" s="407">
        <v>0.10761529207229614</v>
      </c>
      <c r="AB139" s="407">
        <v>4.4413808733224869E-2</v>
      </c>
      <c r="AC139" s="407">
        <v>4.4413808733224869E-2</v>
      </c>
      <c r="AD139" s="407">
        <v>0</v>
      </c>
      <c r="AE139" s="38">
        <f>'User Add-in Location'!B145</f>
        <v>0</v>
      </c>
      <c r="AF139" s="38">
        <f>'User Add-in Location'!C145</f>
        <v>0</v>
      </c>
      <c r="AG139" s="407">
        <v>0</v>
      </c>
      <c r="AH139" s="407">
        <v>0</v>
      </c>
      <c r="AI139" s="407">
        <v>0</v>
      </c>
      <c r="AJ139" s="407">
        <v>9.3448042869567871E-2</v>
      </c>
      <c r="AK139" s="407">
        <v>0</v>
      </c>
      <c r="AL139" s="407">
        <v>0.10066689550876617</v>
      </c>
      <c r="AM139" s="407">
        <v>7.7325992286205292E-2</v>
      </c>
      <c r="AN139" s="409">
        <v>0</v>
      </c>
      <c r="AO139" s="409">
        <v>8.783789724111557E-2</v>
      </c>
      <c r="AP139" s="409">
        <v>4.7828566282987595E-2</v>
      </c>
      <c r="AQ139" s="409">
        <v>8.3766750991344452E-2</v>
      </c>
      <c r="AR139" s="409">
        <v>0.10091875493526459</v>
      </c>
      <c r="AS139" s="409">
        <v>0.14697374403476715</v>
      </c>
      <c r="AT139" s="409">
        <v>0.13273939490318298</v>
      </c>
      <c r="AU139" s="409">
        <v>0.11457885056734085</v>
      </c>
      <c r="AV139" s="409">
        <v>0.12878373265266418</v>
      </c>
      <c r="AW139" s="409">
        <v>0.14473550021648407</v>
      </c>
      <c r="AX139" s="409">
        <v>0.10207010805606842</v>
      </c>
      <c r="AY139" s="409">
        <v>0.10815908014774323</v>
      </c>
      <c r="AZ139" s="409">
        <v>0.13886883854866028</v>
      </c>
      <c r="BA139" s="409">
        <v>9.4734184443950653E-2</v>
      </c>
      <c r="BB139" s="409">
        <v>6.3778586685657501E-2</v>
      </c>
      <c r="BC139" s="409">
        <v>0</v>
      </c>
      <c r="BD139" s="409">
        <v>7.6958678662776947E-2</v>
      </c>
      <c r="BE139" s="409">
        <v>8.9706234633922577E-2</v>
      </c>
      <c r="BF139" s="407">
        <v>7.7863603830337524E-2</v>
      </c>
      <c r="BG139" s="407">
        <v>0</v>
      </c>
      <c r="BH139" s="407">
        <v>0</v>
      </c>
      <c r="BI139" s="407">
        <v>8.9055880904197693E-2</v>
      </c>
      <c r="BJ139" s="407">
        <v>4.3400369584560394E-2</v>
      </c>
      <c r="BK139" s="407">
        <v>4.3400369584560394E-2</v>
      </c>
      <c r="BL139" s="407">
        <v>0</v>
      </c>
    </row>
    <row r="140" spans="3:64" x14ac:dyDescent="0.2">
      <c r="C140" s="404" t="s">
        <v>393</v>
      </c>
      <c r="D140" s="407">
        <v>3.5422589629888535E-2</v>
      </c>
      <c r="E140" s="407">
        <v>0</v>
      </c>
      <c r="F140" s="407">
        <v>6.5389476716518402E-2</v>
      </c>
      <c r="G140" s="407">
        <v>3.6270473152399063E-2</v>
      </c>
      <c r="H140" s="407">
        <v>8.9953556656837463E-2</v>
      </c>
      <c r="I140" s="407">
        <v>5.607273057103157E-2</v>
      </c>
      <c r="J140" s="407">
        <v>5.9980947524309158E-2</v>
      </c>
      <c r="K140" s="407">
        <v>5.52477166056633E-2</v>
      </c>
      <c r="L140" s="407">
        <v>1.7525678500533104E-2</v>
      </c>
      <c r="M140" s="407">
        <v>6.7999318242073059E-2</v>
      </c>
      <c r="N140" s="407">
        <v>5.8852363377809525E-2</v>
      </c>
      <c r="O140" s="407">
        <v>0</v>
      </c>
      <c r="P140" s="407">
        <v>3.3544592559337616E-2</v>
      </c>
      <c r="Q140" s="407">
        <v>7.8694634139537811E-2</v>
      </c>
      <c r="R140" s="407">
        <v>4.152953252196312E-2</v>
      </c>
      <c r="S140" s="407">
        <v>3.3362850546836853E-2</v>
      </c>
      <c r="T140" s="407">
        <v>0</v>
      </c>
      <c r="U140" s="407">
        <v>3.5470228642225266E-2</v>
      </c>
      <c r="V140" s="407">
        <v>0</v>
      </c>
      <c r="W140" s="407">
        <v>4.6826984733343124E-2</v>
      </c>
      <c r="X140" s="407">
        <v>5.8629598468542099E-2</v>
      </c>
      <c r="Y140" s="407">
        <v>7.6603762805461884E-2</v>
      </c>
      <c r="Z140" s="407">
        <v>7.00501948595047E-2</v>
      </c>
      <c r="AA140" s="407">
        <v>6.8847887217998505E-2</v>
      </c>
      <c r="AB140" s="407">
        <v>2.9210520908236504E-2</v>
      </c>
      <c r="AC140" s="407">
        <v>2.9210520908236504E-2</v>
      </c>
      <c r="AD140" s="407">
        <v>2.9570011422038078E-2</v>
      </c>
      <c r="AE140" s="38">
        <f>'User Add-in Location'!B146</f>
        <v>0</v>
      </c>
      <c r="AF140" s="38">
        <f>'User Add-in Location'!C146</f>
        <v>0</v>
      </c>
      <c r="AG140" s="407">
        <v>4.0144290775060654E-2</v>
      </c>
      <c r="AH140" s="407">
        <v>4.0430735796689987E-2</v>
      </c>
      <c r="AI140" s="407">
        <v>5.4424863308668137E-2</v>
      </c>
      <c r="AJ140" s="407">
        <v>6.3591152429580688E-2</v>
      </c>
      <c r="AK140" s="407">
        <v>2.7631087228655815E-2</v>
      </c>
      <c r="AL140" s="407">
        <v>6.6303066909313202E-2</v>
      </c>
      <c r="AM140" s="407">
        <v>5.3096838295459747E-2</v>
      </c>
      <c r="AN140" s="409">
        <v>2.0628837868571281E-2</v>
      </c>
      <c r="AO140" s="409">
        <v>5.5467359721660614E-2</v>
      </c>
      <c r="AP140" s="409">
        <v>3.2050471752882004E-2</v>
      </c>
      <c r="AQ140" s="409">
        <v>5.8890379965305328E-2</v>
      </c>
      <c r="AR140" s="409">
        <v>7.2758026421070099E-2</v>
      </c>
      <c r="AS140" s="409">
        <v>0.10335224121809006</v>
      </c>
      <c r="AT140" s="409">
        <v>9.2672005295753479E-2</v>
      </c>
      <c r="AU140" s="409">
        <v>7.9770520329475403E-2</v>
      </c>
      <c r="AV140" s="409">
        <v>8.1928424537181854E-2</v>
      </c>
      <c r="AW140" s="409">
        <v>0.10562923550605774</v>
      </c>
      <c r="AX140" s="409">
        <v>7.866080105304718E-2</v>
      </c>
      <c r="AY140" s="409">
        <v>7.5356476008892059E-2</v>
      </c>
      <c r="AZ140" s="409">
        <v>0.10558000206947327</v>
      </c>
      <c r="BA140" s="409">
        <v>6.1671942472457886E-2</v>
      </c>
      <c r="BB140" s="409">
        <v>4.4189453125E-2</v>
      </c>
      <c r="BC140" s="409">
        <v>0</v>
      </c>
      <c r="BD140" s="409">
        <v>4.7095917165279388E-2</v>
      </c>
      <c r="BE140" s="409">
        <v>6.6192500293254852E-2</v>
      </c>
      <c r="BF140" s="407">
        <v>5.1842629909515381E-2</v>
      </c>
      <c r="BG140" s="407">
        <v>4.1055783629417419E-2</v>
      </c>
      <c r="BH140" s="407">
        <v>4.9568790942430496E-2</v>
      </c>
      <c r="BI140" s="407">
        <v>6.1598088592290878E-2</v>
      </c>
      <c r="BJ140" s="407">
        <v>0</v>
      </c>
      <c r="BK140" s="407">
        <v>0</v>
      </c>
      <c r="BL140" s="407">
        <v>1.4709223061800003E-2</v>
      </c>
    </row>
    <row r="141" spans="3:64" x14ac:dyDescent="0.2">
      <c r="C141" s="404" t="s">
        <v>57</v>
      </c>
      <c r="D141" s="407">
        <v>8.9819259941577911E-2</v>
      </c>
      <c r="E141" s="407">
        <v>8.0623716115951538E-2</v>
      </c>
      <c r="F141" s="407">
        <v>0.13974432647228241</v>
      </c>
      <c r="G141" s="407">
        <v>8.2659438252449036E-2</v>
      </c>
      <c r="H141" s="407">
        <v>0.15434394776821136</v>
      </c>
      <c r="I141" s="407">
        <v>0.13820989429950714</v>
      </c>
      <c r="J141" s="407">
        <v>0.13007861375808716</v>
      </c>
      <c r="K141" s="407">
        <v>0.10682128369808197</v>
      </c>
      <c r="L141" s="407">
        <v>4.4266339391469955E-2</v>
      </c>
      <c r="M141" s="407">
        <v>0.1562218964099884</v>
      </c>
      <c r="N141" s="407">
        <v>0.13143593072891235</v>
      </c>
      <c r="O141" s="407">
        <v>0.1114514097571373</v>
      </c>
      <c r="P141" s="407">
        <v>8.6427100002765656E-2</v>
      </c>
      <c r="Q141" s="407">
        <v>0.15545184910297394</v>
      </c>
      <c r="R141" s="407">
        <v>9.6945181488990784E-2</v>
      </c>
      <c r="S141" s="407">
        <v>8.3818003535270691E-2</v>
      </c>
      <c r="T141" s="407">
        <v>8.9221648871898651E-2</v>
      </c>
      <c r="U141" s="407">
        <v>8.7038077414035797E-2</v>
      </c>
      <c r="V141" s="407">
        <v>8.4134951233863831E-2</v>
      </c>
      <c r="W141" s="407">
        <v>0.11717797070741653</v>
      </c>
      <c r="X141" s="407">
        <v>0.11856497079133987</v>
      </c>
      <c r="Y141" s="407">
        <v>0.15996909141540527</v>
      </c>
      <c r="Z141" s="407">
        <v>0.13444966077804565</v>
      </c>
      <c r="AA141" s="407">
        <v>0.14755196869373322</v>
      </c>
      <c r="AB141" s="407">
        <v>7.4939429759979248E-2</v>
      </c>
      <c r="AC141" s="407">
        <v>7.4939429759979248E-2</v>
      </c>
      <c r="AD141" s="407">
        <v>7.9628869891166687E-2</v>
      </c>
      <c r="AE141" s="38">
        <f>'User Add-in Location'!B147</f>
        <v>0</v>
      </c>
      <c r="AF141" s="38">
        <f>'User Add-in Location'!C147</f>
        <v>0</v>
      </c>
      <c r="AG141" s="407">
        <v>9.6296884119510651E-2</v>
      </c>
      <c r="AH141" s="407">
        <v>9.968162328004837E-2</v>
      </c>
      <c r="AI141" s="407">
        <v>0.1263735294342041</v>
      </c>
      <c r="AJ141" s="407">
        <v>0.12624993920326233</v>
      </c>
      <c r="AK141" s="407">
        <v>8.3678275346755981E-2</v>
      </c>
      <c r="AL141" s="407">
        <v>0.14877362549304962</v>
      </c>
      <c r="AM141" s="407">
        <v>0.11759006232023239</v>
      </c>
      <c r="AN141" s="409">
        <v>6.93478062748909E-2</v>
      </c>
      <c r="AO141" s="409">
        <v>0.12883093953132629</v>
      </c>
      <c r="AP141" s="409">
        <v>8.3909392356872559E-2</v>
      </c>
      <c r="AQ141" s="409">
        <v>0.12259689718484879</v>
      </c>
      <c r="AR141" s="409">
        <v>0.1481500118970871</v>
      </c>
      <c r="AS141" s="409">
        <v>0.20296965539455414</v>
      </c>
      <c r="AT141" s="409">
        <v>0.17638160288333893</v>
      </c>
      <c r="AU141" s="409">
        <v>0.16589033603668213</v>
      </c>
      <c r="AV141" s="409">
        <v>0.17049333453178406</v>
      </c>
      <c r="AW141" s="409">
        <v>0.18867887556552887</v>
      </c>
      <c r="AX141" s="409">
        <v>0.14563091099262238</v>
      </c>
      <c r="AY141" s="409">
        <v>0.1596236526966095</v>
      </c>
      <c r="AZ141" s="409">
        <v>0.18171294033527374</v>
      </c>
      <c r="BA141" s="409">
        <v>0.14089229702949524</v>
      </c>
      <c r="BB141" s="409">
        <v>9.8962664604187012E-2</v>
      </c>
      <c r="BC141" s="409">
        <v>8.3497703075408936E-2</v>
      </c>
      <c r="BD141" s="409">
        <v>0.11793863773345947</v>
      </c>
      <c r="BE141" s="409">
        <v>0.12066424638032913</v>
      </c>
      <c r="BF141" s="407">
        <v>0.1253812164068222</v>
      </c>
      <c r="BG141" s="407">
        <v>0.10366147756576538</v>
      </c>
      <c r="BH141" s="407">
        <v>0.11981484293937683</v>
      </c>
      <c r="BI141" s="407">
        <v>0.13109463453292847</v>
      </c>
      <c r="BJ141" s="407">
        <v>6.6674284636974335E-2</v>
      </c>
      <c r="BK141" s="407">
        <v>6.6674284636974335E-2</v>
      </c>
      <c r="BL141" s="407">
        <v>4.8410370945930481E-2</v>
      </c>
    </row>
    <row r="142" spans="3:64" x14ac:dyDescent="0.2">
      <c r="C142" s="404" t="s">
        <v>394</v>
      </c>
      <c r="D142" s="407">
        <v>9.7433730959892273E-2</v>
      </c>
      <c r="E142" s="407">
        <v>8.8291339576244354E-2</v>
      </c>
      <c r="F142" s="407">
        <v>0.14566801488399506</v>
      </c>
      <c r="G142" s="407">
        <v>9.0215615928173065E-2</v>
      </c>
      <c r="H142" s="407">
        <v>0.15656237304210663</v>
      </c>
      <c r="I142" s="407">
        <v>0.14438436925411224</v>
      </c>
      <c r="J142" s="407">
        <v>0.12765809893608093</v>
      </c>
      <c r="K142" s="407">
        <v>0.1128380224108696</v>
      </c>
      <c r="L142" s="407">
        <v>4.5367669314146042E-2</v>
      </c>
      <c r="M142" s="407">
        <v>0.16426776349544525</v>
      </c>
      <c r="N142" s="407">
        <v>0.1388707160949707</v>
      </c>
      <c r="O142" s="407">
        <v>0.12028986215591431</v>
      </c>
      <c r="P142" s="407">
        <v>9.2142179608345032E-2</v>
      </c>
      <c r="Q142" s="407">
        <v>0.1619110107421875</v>
      </c>
      <c r="R142" s="407">
        <v>0.10391093790531158</v>
      </c>
      <c r="S142" s="407">
        <v>8.8405154645442963E-2</v>
      </c>
      <c r="T142" s="407">
        <v>9.6662089228630066E-2</v>
      </c>
      <c r="U142" s="407">
        <v>9.3585968017578125E-2</v>
      </c>
      <c r="V142" s="407">
        <v>9.1505162417888641E-2</v>
      </c>
      <c r="W142" s="407">
        <v>0.11676586419343948</v>
      </c>
      <c r="X142" s="407">
        <v>0.12585733830928802</v>
      </c>
      <c r="Y142" s="407">
        <v>0.1609504371881485</v>
      </c>
      <c r="Z142" s="407">
        <v>0.14288763701915741</v>
      </c>
      <c r="AA142" s="407">
        <v>0.15002651512622833</v>
      </c>
      <c r="AB142" s="407">
        <v>8.0575719475746155E-2</v>
      </c>
      <c r="AC142" s="407">
        <v>8.0575719475746155E-2</v>
      </c>
      <c r="AD142" s="407">
        <v>8.6818285286426544E-2</v>
      </c>
      <c r="AE142" s="38">
        <f>'User Add-in Location'!B148</f>
        <v>0</v>
      </c>
      <c r="AF142" s="38">
        <f>'User Add-in Location'!C148</f>
        <v>0</v>
      </c>
      <c r="AG142" s="407">
        <v>9.8912656307220459E-2</v>
      </c>
      <c r="AH142" s="407">
        <v>0.10092939436435699</v>
      </c>
      <c r="AI142" s="407">
        <v>0.12591631710529327</v>
      </c>
      <c r="AJ142" s="407">
        <v>0.1277649998664856</v>
      </c>
      <c r="AK142" s="407">
        <v>8.9852020144462585E-2</v>
      </c>
      <c r="AL142" s="407">
        <v>0.14986337721347809</v>
      </c>
      <c r="AM142" s="407">
        <v>0.12369422614574432</v>
      </c>
      <c r="AN142" s="409">
        <v>7.3672860860824585E-2</v>
      </c>
      <c r="AO142" s="409">
        <v>0.13357545435428619</v>
      </c>
      <c r="AP142" s="409">
        <v>9.0583398938179016E-2</v>
      </c>
      <c r="AQ142" s="409">
        <v>0.12819015979766846</v>
      </c>
      <c r="AR142" s="409">
        <v>0.1491350531578064</v>
      </c>
      <c r="AS142" s="409">
        <v>0.2028365433216095</v>
      </c>
      <c r="AT142" s="409">
        <v>0.17810110747814178</v>
      </c>
      <c r="AU142" s="409">
        <v>0.1729402095079422</v>
      </c>
      <c r="AV142" s="409">
        <v>0.18014304339885712</v>
      </c>
      <c r="AW142" s="409">
        <v>0.19450423121452332</v>
      </c>
      <c r="AX142" s="409">
        <v>0.1550239622592926</v>
      </c>
      <c r="AY142" s="409">
        <v>0.1646113246679306</v>
      </c>
      <c r="AZ142" s="409">
        <v>0.18454596400260925</v>
      </c>
      <c r="BA142" s="409">
        <v>0.14461337029933929</v>
      </c>
      <c r="BB142" s="409">
        <v>0.10645915567874908</v>
      </c>
      <c r="BC142" s="409">
        <v>8.8019527494907379E-2</v>
      </c>
      <c r="BD142" s="409">
        <v>0.12526014447212219</v>
      </c>
      <c r="BE142" s="409">
        <v>0.12933552265167236</v>
      </c>
      <c r="BF142" s="407">
        <v>0.12662100791931152</v>
      </c>
      <c r="BG142" s="407">
        <v>0.10367362946271896</v>
      </c>
      <c r="BH142" s="407">
        <v>0.12497329711914063</v>
      </c>
      <c r="BI142" s="407">
        <v>0.13046082854270935</v>
      </c>
      <c r="BJ142" s="407">
        <v>7.2283327579498291E-2</v>
      </c>
      <c r="BK142" s="407">
        <v>7.2283327579498291E-2</v>
      </c>
      <c r="BL142" s="407">
        <v>5.1277685910463333E-2</v>
      </c>
    </row>
    <row r="143" spans="3:64" x14ac:dyDescent="0.2">
      <c r="C143" s="404" t="s">
        <v>128</v>
      </c>
      <c r="D143" s="407">
        <v>6.0668513178825378E-2</v>
      </c>
      <c r="E143" s="407">
        <v>6.7158780992031097E-2</v>
      </c>
      <c r="F143" s="407">
        <v>9.9944859743118286E-2</v>
      </c>
      <c r="G143" s="407">
        <v>6.4020551741123199E-2</v>
      </c>
      <c r="H143" s="407">
        <v>0.10961640626192093</v>
      </c>
      <c r="I143" s="407">
        <v>0.10047326982021332</v>
      </c>
      <c r="J143" s="407">
        <v>8.06613489985466E-2</v>
      </c>
      <c r="K143" s="407">
        <v>6.7918449640274048E-2</v>
      </c>
      <c r="L143" s="407">
        <v>2.55572609603405E-2</v>
      </c>
      <c r="M143" s="407">
        <v>0.10611503571271896</v>
      </c>
      <c r="N143" s="407">
        <v>8.9597180485725403E-2</v>
      </c>
      <c r="O143" s="407">
        <v>7.3990128934383392E-2</v>
      </c>
      <c r="P143" s="407">
        <v>6.4770355820655823E-2</v>
      </c>
      <c r="Q143" s="407">
        <v>0.11390487849712372</v>
      </c>
      <c r="R143" s="407">
        <v>7.1695998311042786E-2</v>
      </c>
      <c r="S143" s="407">
        <v>6.1727613210678101E-2</v>
      </c>
      <c r="T143" s="407">
        <v>6.0545239597558975E-2</v>
      </c>
      <c r="U143" s="407">
        <v>6.4477846026420593E-2</v>
      </c>
      <c r="V143" s="407">
        <v>6.0558885335922241E-2</v>
      </c>
      <c r="W143" s="407">
        <v>8.3513572812080383E-2</v>
      </c>
      <c r="X143" s="407">
        <v>7.0416457951068878E-2</v>
      </c>
      <c r="Y143" s="407">
        <v>0.1025552973151207</v>
      </c>
      <c r="Z143" s="407">
        <v>9.2605993151664734E-2</v>
      </c>
      <c r="AA143" s="407">
        <v>0.10722417384386063</v>
      </c>
      <c r="AB143" s="407">
        <v>5.3275320678949356E-2</v>
      </c>
      <c r="AC143" s="407">
        <v>5.3275320678949356E-2</v>
      </c>
      <c r="AD143" s="407">
        <v>5.4420351982116699E-2</v>
      </c>
      <c r="AE143" s="38">
        <f>'User Add-in Location'!B149</f>
        <v>0</v>
      </c>
      <c r="AF143" s="38">
        <f>'User Add-in Location'!C149</f>
        <v>0</v>
      </c>
      <c r="AG143" s="407">
        <v>7.1311824023723602E-2</v>
      </c>
      <c r="AH143" s="407">
        <v>6.891951709985733E-2</v>
      </c>
      <c r="AI143" s="407">
        <v>7.9807467758655548E-2</v>
      </c>
      <c r="AJ143" s="407">
        <v>9.2335022985935211E-2</v>
      </c>
      <c r="AK143" s="407">
        <v>5.8162756264209747E-2</v>
      </c>
      <c r="AL143" s="407">
        <v>9.5258593559265137E-2</v>
      </c>
      <c r="AM143" s="407">
        <v>8.4100060164928436E-2</v>
      </c>
      <c r="AN143" s="409">
        <v>4.8725936561822891E-2</v>
      </c>
      <c r="AO143" s="409">
        <v>9.4843991100788116E-2</v>
      </c>
      <c r="AP143" s="409">
        <v>6.2142662703990936E-2</v>
      </c>
      <c r="AQ143" s="409">
        <v>8.766523003578186E-2</v>
      </c>
      <c r="AR143" s="409">
        <v>0.10549900680780411</v>
      </c>
      <c r="AS143" s="409">
        <v>0.1307578980922699</v>
      </c>
      <c r="AT143" s="409">
        <v>0.12686792016029358</v>
      </c>
      <c r="AU143" s="409">
        <v>0.1094297468662262</v>
      </c>
      <c r="AV143" s="409">
        <v>0.12221003323793411</v>
      </c>
      <c r="AW143" s="409">
        <v>0.1397872120141983</v>
      </c>
      <c r="AX143" s="409">
        <v>0.1128162145614624</v>
      </c>
      <c r="AY143" s="409">
        <v>0.11916221678256989</v>
      </c>
      <c r="AZ143" s="409">
        <v>0.12883704900741577</v>
      </c>
      <c r="BA143" s="409">
        <v>8.8634610176086426E-2</v>
      </c>
      <c r="BB143" s="409">
        <v>6.5497361123561859E-2</v>
      </c>
      <c r="BC143" s="409">
        <v>5.9610303491353989E-2</v>
      </c>
      <c r="BD143" s="409">
        <v>9.1409496963024139E-2</v>
      </c>
      <c r="BE143" s="409">
        <v>9.1169022023677826E-2</v>
      </c>
      <c r="BF143" s="407">
        <v>9.5918707549571991E-2</v>
      </c>
      <c r="BG143" s="407">
        <v>6.7611999809741974E-2</v>
      </c>
      <c r="BH143" s="407">
        <v>8.096727728843689E-2</v>
      </c>
      <c r="BI143" s="407">
        <v>9.4842083752155304E-2</v>
      </c>
      <c r="BJ143" s="407">
        <v>4.5863498002290726E-2</v>
      </c>
      <c r="BK143" s="407">
        <v>4.5863498002290726E-2</v>
      </c>
      <c r="BL143" s="407">
        <v>3.5154365003108978E-2</v>
      </c>
    </row>
    <row r="144" spans="3:64" x14ac:dyDescent="0.2">
      <c r="C144" s="404" t="s">
        <v>395</v>
      </c>
      <c r="D144" s="407">
        <v>6.1372637748718262E-2</v>
      </c>
      <c r="E144" s="407">
        <v>5.7029798626899719E-2</v>
      </c>
      <c r="F144" s="407">
        <v>8.6645863950252533E-2</v>
      </c>
      <c r="G144" s="407">
        <v>5.4685253649950027E-2</v>
      </c>
      <c r="H144" s="407">
        <v>9.7074456512928009E-2</v>
      </c>
      <c r="I144" s="407">
        <v>8.9230403304100037E-2</v>
      </c>
      <c r="J144" s="407">
        <v>0.11058185249567032</v>
      </c>
      <c r="K144" s="407">
        <v>7.9042628407478333E-2</v>
      </c>
      <c r="L144" s="407">
        <v>3.019598126411438E-2</v>
      </c>
      <c r="M144" s="407">
        <v>0.10106535255908966</v>
      </c>
      <c r="N144" s="407">
        <v>8.9340649545192719E-2</v>
      </c>
      <c r="O144" s="407">
        <v>6.4953424036502838E-2</v>
      </c>
      <c r="P144" s="407">
        <v>5.5653907358646393E-2</v>
      </c>
      <c r="Q144" s="407">
        <v>0.11154431849718094</v>
      </c>
      <c r="R144" s="407">
        <v>6.5914280712604523E-2</v>
      </c>
      <c r="S144" s="407">
        <v>6.4899258315563202E-2</v>
      </c>
      <c r="T144" s="407">
        <v>6.4852267503738403E-2</v>
      </c>
      <c r="U144" s="407">
        <v>6.2579795718193054E-2</v>
      </c>
      <c r="V144" s="407">
        <v>5.7759057730436325E-2</v>
      </c>
      <c r="W144" s="407">
        <v>8.5184216499328613E-2</v>
      </c>
      <c r="X144" s="407">
        <v>7.399199903011322E-2</v>
      </c>
      <c r="Y144" s="407">
        <v>0.11728958040475845</v>
      </c>
      <c r="Z144" s="407">
        <v>8.6908891797065735E-2</v>
      </c>
      <c r="AA144" s="407">
        <v>0.10917172580957413</v>
      </c>
      <c r="AB144" s="407">
        <v>4.9587171524763107E-2</v>
      </c>
      <c r="AC144" s="407">
        <v>4.9587171524763107E-2</v>
      </c>
      <c r="AD144" s="407">
        <v>5.1955167204141617E-2</v>
      </c>
      <c r="AE144" s="38">
        <f>'User Add-in Location'!B150</f>
        <v>0</v>
      </c>
      <c r="AF144" s="38">
        <f>'User Add-in Location'!C150</f>
        <v>0</v>
      </c>
      <c r="AG144" s="407">
        <v>7.2607323527336121E-2</v>
      </c>
      <c r="AH144" s="407">
        <v>5.8135911822319031E-2</v>
      </c>
      <c r="AI144" s="407">
        <v>9.0168684720993042E-2</v>
      </c>
      <c r="AJ144" s="407">
        <v>9.4233229756355286E-2</v>
      </c>
      <c r="AK144" s="407">
        <v>5.2379794418811798E-2</v>
      </c>
      <c r="AL144" s="407">
        <v>0.10562530905008316</v>
      </c>
      <c r="AM144" s="407">
        <v>7.7384971082210541E-2</v>
      </c>
      <c r="AN144" s="409">
        <v>4.8539556562900543E-2</v>
      </c>
      <c r="AO144" s="409">
        <v>9.3129552900791168E-2</v>
      </c>
      <c r="AP144" s="409">
        <v>5.5661477148532867E-2</v>
      </c>
      <c r="AQ144" s="409">
        <v>8.1057652831077576E-2</v>
      </c>
      <c r="AR144" s="409">
        <v>0.11448168754577637</v>
      </c>
      <c r="AS144" s="409">
        <v>0.15130899846553802</v>
      </c>
      <c r="AT144" s="409">
        <v>0.13426050543785095</v>
      </c>
      <c r="AU144" s="409">
        <v>0.10606132447719574</v>
      </c>
      <c r="AV144" s="409">
        <v>0.11452344805002213</v>
      </c>
      <c r="AW144" s="409">
        <v>0.13551932573318481</v>
      </c>
      <c r="AX144" s="409">
        <v>9.8860859870910645E-2</v>
      </c>
      <c r="AY144" s="409">
        <v>0.10478673130273819</v>
      </c>
      <c r="AZ144" s="409">
        <v>0.1139838919043541</v>
      </c>
      <c r="BA144" s="409">
        <v>0.10062023997306824</v>
      </c>
      <c r="BB144" s="409">
        <v>6.5905570983886719E-2</v>
      </c>
      <c r="BC144" s="409">
        <v>5.8334257453680038E-2</v>
      </c>
      <c r="BD144" s="409">
        <v>8.1365868449211121E-2</v>
      </c>
      <c r="BE144" s="409">
        <v>8.1202007830142975E-2</v>
      </c>
      <c r="BF144" s="407">
        <v>8.5753068327903748E-2</v>
      </c>
      <c r="BG144" s="407">
        <v>7.1249403059482574E-2</v>
      </c>
      <c r="BH144" s="407">
        <v>7.523549348115921E-2</v>
      </c>
      <c r="BI144" s="407">
        <v>8.4123954176902771E-2</v>
      </c>
      <c r="BJ144" s="407">
        <v>4.4424030929803848E-2</v>
      </c>
      <c r="BK144" s="407">
        <v>4.4424030929803848E-2</v>
      </c>
      <c r="BL144" s="407">
        <v>2.8295457363128662E-2</v>
      </c>
    </row>
    <row r="145" spans="3:64" x14ac:dyDescent="0.2">
      <c r="C145" s="404" t="s">
        <v>396</v>
      </c>
      <c r="D145" s="407">
        <v>7.5531557202339172E-2</v>
      </c>
      <c r="E145" s="407">
        <v>6.6969580948352814E-2</v>
      </c>
      <c r="F145" s="407">
        <v>0.13844855129718781</v>
      </c>
      <c r="G145" s="407">
        <v>7.2207450866699219E-2</v>
      </c>
      <c r="H145" s="407">
        <v>0.16248989105224609</v>
      </c>
      <c r="I145" s="407">
        <v>0.14813044667243958</v>
      </c>
      <c r="J145" s="407">
        <v>0.16905133426189423</v>
      </c>
      <c r="K145" s="407">
        <v>0.11529475450515747</v>
      </c>
      <c r="L145" s="407">
        <v>5.12385293841362E-2</v>
      </c>
      <c r="M145" s="407">
        <v>0.15792080760002136</v>
      </c>
      <c r="N145" s="407">
        <v>0.1281784325838089</v>
      </c>
      <c r="O145" s="407">
        <v>9.4256609678268433E-2</v>
      </c>
      <c r="P145" s="407">
        <v>7.7299095690250397E-2</v>
      </c>
      <c r="Q145" s="407">
        <v>0.17130313813686371</v>
      </c>
      <c r="R145" s="407">
        <v>8.7179578840732574E-2</v>
      </c>
      <c r="S145" s="407">
        <v>7.5962454080581665E-2</v>
      </c>
      <c r="T145" s="407">
        <v>8.1300511956214905E-2</v>
      </c>
      <c r="U145" s="407">
        <v>8.0233685672283173E-2</v>
      </c>
      <c r="V145" s="407">
        <v>7.313944399356842E-2</v>
      </c>
      <c r="W145" s="407">
        <v>0.1043468564748764</v>
      </c>
      <c r="X145" s="407">
        <v>0.1257854551076889</v>
      </c>
      <c r="Y145" s="407">
        <v>0.18706107139587402</v>
      </c>
      <c r="Z145" s="407">
        <v>0.1246245801448822</v>
      </c>
      <c r="AA145" s="407">
        <v>0.15077036619186401</v>
      </c>
      <c r="AB145" s="407">
        <v>6.2072351574897766E-2</v>
      </c>
      <c r="AC145" s="407">
        <v>6.2072351574897766E-2</v>
      </c>
      <c r="AD145" s="407">
        <v>6.9273002445697784E-2</v>
      </c>
      <c r="AE145" s="38">
        <f>'User Add-in Location'!B151</f>
        <v>0</v>
      </c>
      <c r="AF145" s="38">
        <f>'User Add-in Location'!C151</f>
        <v>0</v>
      </c>
      <c r="AG145" s="407">
        <v>8.9509099721908569E-2</v>
      </c>
      <c r="AH145" s="407">
        <v>9.5329195261001587E-2</v>
      </c>
      <c r="AI145" s="407">
        <v>0.13772271573543549</v>
      </c>
      <c r="AJ145" s="407">
        <v>0.14758653938770294</v>
      </c>
      <c r="AK145" s="407">
        <v>7.8356444835662842E-2</v>
      </c>
      <c r="AL145" s="407">
        <v>0.20678496360778809</v>
      </c>
      <c r="AM145" s="407">
        <v>0.10633669793605804</v>
      </c>
      <c r="AN145" s="409">
        <v>5.6471984833478928E-2</v>
      </c>
      <c r="AO145" s="409">
        <v>0.12210079282522202</v>
      </c>
      <c r="AP145" s="409">
        <v>7.1397468447685242E-2</v>
      </c>
      <c r="AQ145" s="409">
        <v>0.11389608681201935</v>
      </c>
      <c r="AR145" s="409">
        <v>0.14192910492420197</v>
      </c>
      <c r="AS145" s="409">
        <v>0.26848629117012024</v>
      </c>
      <c r="AT145" s="409">
        <v>0.18749566376209259</v>
      </c>
      <c r="AU145" s="409">
        <v>0.16266593337059021</v>
      </c>
      <c r="AV145" s="409">
        <v>0.16559137403964996</v>
      </c>
      <c r="AW145" s="409">
        <v>0.18889801204204559</v>
      </c>
      <c r="AX145" s="409">
        <v>0.14081881940364838</v>
      </c>
      <c r="AY145" s="409">
        <v>0.15391051769256592</v>
      </c>
      <c r="AZ145" s="409">
        <v>0.19051989912986755</v>
      </c>
      <c r="BA145" s="409">
        <v>0.14510968327522278</v>
      </c>
      <c r="BB145" s="409">
        <v>8.8779836893081665E-2</v>
      </c>
      <c r="BC145" s="409">
        <v>7.701130211353302E-2</v>
      </c>
      <c r="BD145" s="409">
        <v>0.11746165901422501</v>
      </c>
      <c r="BE145" s="409">
        <v>0.11984220147132874</v>
      </c>
      <c r="BF145" s="407">
        <v>0.11889591068029404</v>
      </c>
      <c r="BG145" s="407">
        <v>9.3378216028213501E-2</v>
      </c>
      <c r="BH145" s="407">
        <v>0.1209740936756134</v>
      </c>
      <c r="BI145" s="407">
        <v>0.12299187481403351</v>
      </c>
      <c r="BJ145" s="407">
        <v>5.3528230637311935E-2</v>
      </c>
      <c r="BK145" s="407">
        <v>5.3528230637311935E-2</v>
      </c>
      <c r="BL145" s="407">
        <v>4.0107470005750656E-2</v>
      </c>
    </row>
    <row r="146" spans="3:64" x14ac:dyDescent="0.2">
      <c r="C146" s="404" t="s">
        <v>397</v>
      </c>
      <c r="D146" s="407">
        <v>0.11452560126781464</v>
      </c>
      <c r="E146" s="407">
        <v>0.10380570590496063</v>
      </c>
      <c r="F146" s="407">
        <v>0.17435009777545929</v>
      </c>
      <c r="G146" s="407">
        <v>9.9976815283298492E-2</v>
      </c>
      <c r="H146" s="407">
        <v>0.20117351412773132</v>
      </c>
      <c r="I146" s="407">
        <v>0.18021582067012787</v>
      </c>
      <c r="J146" s="407">
        <v>0.16900202631950378</v>
      </c>
      <c r="K146" s="407">
        <v>0.14348684251308441</v>
      </c>
      <c r="L146" s="407">
        <v>7.1744494140148163E-2</v>
      </c>
      <c r="M146" s="407">
        <v>0.1953519880771637</v>
      </c>
      <c r="N146" s="407">
        <v>0.16487535834312439</v>
      </c>
      <c r="O146" s="407">
        <v>0.14098379015922546</v>
      </c>
      <c r="P146" s="407">
        <v>0.11950377374887466</v>
      </c>
      <c r="Q146" s="407">
        <v>0.20244869589805603</v>
      </c>
      <c r="R146" s="407">
        <v>0.12045073509216309</v>
      </c>
      <c r="S146" s="407">
        <v>0.10221684724092484</v>
      </c>
      <c r="T146" s="407">
        <v>0.1111515536904335</v>
      </c>
      <c r="U146" s="407">
        <v>0.1072966605424881</v>
      </c>
      <c r="V146" s="407">
        <v>0.10375344008207321</v>
      </c>
      <c r="W146" s="407">
        <v>0.14614516496658325</v>
      </c>
      <c r="X146" s="407">
        <v>0.15910051763057709</v>
      </c>
      <c r="Y146" s="407">
        <v>0.21482408046722412</v>
      </c>
      <c r="Z146" s="407">
        <v>0.17512816190719604</v>
      </c>
      <c r="AA146" s="407">
        <v>0.18386760354042053</v>
      </c>
      <c r="AB146" s="407">
        <v>9.1554552316665649E-2</v>
      </c>
      <c r="AC146" s="407">
        <v>9.1554552316665649E-2</v>
      </c>
      <c r="AD146" s="407">
        <v>0.10154766589403152</v>
      </c>
      <c r="AE146" s="38">
        <f>'User Add-in Location'!B152</f>
        <v>0</v>
      </c>
      <c r="AF146" s="38">
        <f>'User Add-in Location'!C152</f>
        <v>0</v>
      </c>
      <c r="AG146" s="407">
        <v>0.11698754131793976</v>
      </c>
      <c r="AH146" s="407">
        <v>0.12663251161575317</v>
      </c>
      <c r="AI146" s="407">
        <v>0.15972073376178741</v>
      </c>
      <c r="AJ146" s="407">
        <v>0.16684137284755707</v>
      </c>
      <c r="AK146" s="407">
        <v>0.12006784975528717</v>
      </c>
      <c r="AL146" s="407">
        <v>0.1924978494644165</v>
      </c>
      <c r="AM146" s="407">
        <v>0.14811931550502777</v>
      </c>
      <c r="AN146" s="409">
        <v>8.0920316278934479E-2</v>
      </c>
      <c r="AO146" s="409">
        <v>0.16136199235916138</v>
      </c>
      <c r="AP146" s="409">
        <v>0.10312183201313019</v>
      </c>
      <c r="AQ146" s="409">
        <v>0.15027908980846405</v>
      </c>
      <c r="AR146" s="409">
        <v>0.19083888828754425</v>
      </c>
      <c r="AS146" s="409">
        <v>0.26321807503700256</v>
      </c>
      <c r="AT146" s="409">
        <v>0.22893762588500977</v>
      </c>
      <c r="AU146" s="409">
        <v>0.21575343608856201</v>
      </c>
      <c r="AV146" s="409">
        <v>0.21346637606620789</v>
      </c>
      <c r="AW146" s="409">
        <v>0.2388865202665329</v>
      </c>
      <c r="AX146" s="409">
        <v>0.18488705158233643</v>
      </c>
      <c r="AY146" s="409">
        <v>0.2026020884513855</v>
      </c>
      <c r="AZ146" s="409">
        <v>0.23668584227561951</v>
      </c>
      <c r="BA146" s="409">
        <v>0.17499442398548126</v>
      </c>
      <c r="BB146" s="409">
        <v>0.12269216030836105</v>
      </c>
      <c r="BC146" s="409">
        <v>0.10101908445358276</v>
      </c>
      <c r="BD146" s="409">
        <v>0.1523316502571106</v>
      </c>
      <c r="BE146" s="409">
        <v>0.15353323519229889</v>
      </c>
      <c r="BF146" s="407">
        <v>0.15615798532962799</v>
      </c>
      <c r="BG146" s="407">
        <v>0.13222864270210266</v>
      </c>
      <c r="BH146" s="407">
        <v>0.1572108268737793</v>
      </c>
      <c r="BI146" s="407">
        <v>0.17095558345317841</v>
      </c>
      <c r="BJ146" s="407">
        <v>8.5091449320316315E-2</v>
      </c>
      <c r="BK146" s="407">
        <v>8.5091449320316315E-2</v>
      </c>
      <c r="BL146" s="407">
        <v>5.9757038950920105E-2</v>
      </c>
    </row>
    <row r="147" spans="3:64" x14ac:dyDescent="0.2">
      <c r="C147" s="404" t="s">
        <v>398</v>
      </c>
      <c r="D147" s="407">
        <v>0.12075868248939514</v>
      </c>
      <c r="E147" s="407">
        <v>0.10913554579019547</v>
      </c>
      <c r="F147" s="407">
        <v>0.18237543106079102</v>
      </c>
      <c r="G147" s="407">
        <v>0.1115519106388092</v>
      </c>
      <c r="H147" s="407">
        <v>0.20166036486625671</v>
      </c>
      <c r="I147" s="407">
        <v>0.18152430653572083</v>
      </c>
      <c r="J147" s="407">
        <v>0.17438258230686188</v>
      </c>
      <c r="K147" s="407">
        <v>0.14659424126148224</v>
      </c>
      <c r="L147" s="407">
        <v>7.375422865152359E-2</v>
      </c>
      <c r="M147" s="407">
        <v>0.20605538785457611</v>
      </c>
      <c r="N147" s="407">
        <v>0.17561128735542297</v>
      </c>
      <c r="O147" s="407">
        <v>0.14762428402900696</v>
      </c>
      <c r="P147" s="407">
        <v>0.11639413237571716</v>
      </c>
      <c r="Q147" s="407">
        <v>0.2074427455663681</v>
      </c>
      <c r="R147" s="407">
        <v>0.13085457682609558</v>
      </c>
      <c r="S147" s="407">
        <v>0.11477672308683395</v>
      </c>
      <c r="T147" s="407">
        <v>0.11902940273284912</v>
      </c>
      <c r="U147" s="407">
        <v>0.11986227333545685</v>
      </c>
      <c r="V147" s="407">
        <v>0.11372940242290497</v>
      </c>
      <c r="W147" s="407">
        <v>0.15506193041801453</v>
      </c>
      <c r="X147" s="407">
        <v>0.15872222185134888</v>
      </c>
      <c r="Y147" s="407">
        <v>0.21235954761505127</v>
      </c>
      <c r="Z147" s="407">
        <v>0.17851166427135468</v>
      </c>
      <c r="AA147" s="407">
        <v>0.19426393508911133</v>
      </c>
      <c r="AB147" s="407">
        <v>9.950682520866394E-2</v>
      </c>
      <c r="AC147" s="407">
        <v>9.950682520866394E-2</v>
      </c>
      <c r="AD147" s="407">
        <v>0.10736732929944992</v>
      </c>
      <c r="AE147" s="38">
        <f>'User Add-in Location'!B153</f>
        <v>0</v>
      </c>
      <c r="AF147" s="38">
        <f>'User Add-in Location'!C153</f>
        <v>0</v>
      </c>
      <c r="AG147" s="407">
        <v>0.12730102241039276</v>
      </c>
      <c r="AH147" s="407">
        <v>0.13190105557441711</v>
      </c>
      <c r="AI147" s="407">
        <v>0.16924756765365601</v>
      </c>
      <c r="AJ147" s="407">
        <v>0.16962751746177673</v>
      </c>
      <c r="AK147" s="407">
        <v>0.10849159210920334</v>
      </c>
      <c r="AL147" s="407">
        <v>0.20093053579330444</v>
      </c>
      <c r="AM147" s="407">
        <v>0.15454992651939392</v>
      </c>
      <c r="AN147" s="409">
        <v>9.2495344579219818E-2</v>
      </c>
      <c r="AO147" s="409">
        <v>0.17349295318126678</v>
      </c>
      <c r="AP147" s="409">
        <v>0.11150975525379181</v>
      </c>
      <c r="AQ147" s="409">
        <v>0.16090914607048035</v>
      </c>
      <c r="AR147" s="409">
        <v>0.19683492183685303</v>
      </c>
      <c r="AS147" s="409">
        <v>0.27029848098754883</v>
      </c>
      <c r="AT147" s="409">
        <v>0.23403047025203705</v>
      </c>
      <c r="AU147" s="409">
        <v>0.21995623409748077</v>
      </c>
      <c r="AV147" s="409">
        <v>0.22665460407733917</v>
      </c>
      <c r="AW147" s="409">
        <v>0.24907904863357544</v>
      </c>
      <c r="AX147" s="409">
        <v>0.19248686730861664</v>
      </c>
      <c r="AY147" s="409">
        <v>0.20918434858322144</v>
      </c>
      <c r="AZ147" s="409">
        <v>0.23739664256572723</v>
      </c>
      <c r="BA147" s="409">
        <v>0.18672849237918854</v>
      </c>
      <c r="BB147" s="409">
        <v>0.13123102486133575</v>
      </c>
      <c r="BC147" s="409">
        <v>0.10991692543029785</v>
      </c>
      <c r="BD147" s="409">
        <v>0.1621730774641037</v>
      </c>
      <c r="BE147" s="409">
        <v>0.15963514149188995</v>
      </c>
      <c r="BF147" s="407">
        <v>0.16623970866203308</v>
      </c>
      <c r="BG147" s="407">
        <v>0.13916400074958801</v>
      </c>
      <c r="BH147" s="407">
        <v>0.16189785301685333</v>
      </c>
      <c r="BI147" s="407">
        <v>0.17251428961753845</v>
      </c>
      <c r="BJ147" s="407">
        <v>9.1779433190822601E-2</v>
      </c>
      <c r="BK147" s="407">
        <v>9.1779433190822601E-2</v>
      </c>
      <c r="BL147" s="407">
        <v>6.5905481576919556E-2</v>
      </c>
    </row>
    <row r="148" spans="3:64" x14ac:dyDescent="0.2">
      <c r="C148" s="404" t="s">
        <v>399</v>
      </c>
      <c r="D148" s="407">
        <v>0.13079428672790527</v>
      </c>
      <c r="E148" s="407">
        <v>0.12188155949115753</v>
      </c>
      <c r="F148" s="407">
        <v>0.19697293639183044</v>
      </c>
      <c r="G148" s="407">
        <v>0.11345718801021576</v>
      </c>
      <c r="H148" s="407">
        <v>0.21497346460819244</v>
      </c>
      <c r="I148" s="407">
        <v>0.19638656079769135</v>
      </c>
      <c r="J148" s="407">
        <v>0.18173845112323761</v>
      </c>
      <c r="K148" s="407">
        <v>0.15984272956848145</v>
      </c>
      <c r="L148" s="407">
        <v>8.0071501433849335E-2</v>
      </c>
      <c r="M148" s="407">
        <v>0.21392670273780823</v>
      </c>
      <c r="N148" s="407">
        <v>0.18360304832458496</v>
      </c>
      <c r="O148" s="407">
        <v>0.1556585431098938</v>
      </c>
      <c r="P148" s="407">
        <v>0.12505310773849487</v>
      </c>
      <c r="Q148" s="407">
        <v>0.21657197177410126</v>
      </c>
      <c r="R148" s="407">
        <v>0.13480627536773682</v>
      </c>
      <c r="S148" s="407">
        <v>0.11692428588867188</v>
      </c>
      <c r="T148" s="407">
        <v>0.13006356358528137</v>
      </c>
      <c r="U148" s="407">
        <v>0.12253859639167786</v>
      </c>
      <c r="V148" s="407">
        <v>0.12576718628406525</v>
      </c>
      <c r="W148" s="407">
        <v>0.16093221306800842</v>
      </c>
      <c r="X148" s="407">
        <v>0.17017465829849243</v>
      </c>
      <c r="Y148" s="407">
        <v>0.22736582159996033</v>
      </c>
      <c r="Z148" s="407">
        <v>0.19608268141746521</v>
      </c>
      <c r="AA148" s="407">
        <v>0.20229288935661316</v>
      </c>
      <c r="AB148" s="407">
        <v>0.10410219430923462</v>
      </c>
      <c r="AC148" s="407">
        <v>0.10410219430923462</v>
      </c>
      <c r="AD148" s="407">
        <v>0.11032247543334961</v>
      </c>
      <c r="AE148" s="38">
        <f>'User Add-in Location'!B154</f>
        <v>0</v>
      </c>
      <c r="AF148" s="38">
        <f>'User Add-in Location'!C154</f>
        <v>0</v>
      </c>
      <c r="AG148" s="407">
        <v>0.13583627343177795</v>
      </c>
      <c r="AH148" s="407">
        <v>0.13943041861057281</v>
      </c>
      <c r="AI148" s="407">
        <v>0.17498430609703064</v>
      </c>
      <c r="AJ148" s="407">
        <v>0.1799931675195694</v>
      </c>
      <c r="AK148" s="407">
        <v>0.11758763343095779</v>
      </c>
      <c r="AL148" s="407">
        <v>0.20647171139717102</v>
      </c>
      <c r="AM148" s="407">
        <v>0.16007685661315918</v>
      </c>
      <c r="AN148" s="409">
        <v>9.6225038170814514E-2</v>
      </c>
      <c r="AO148" s="409">
        <v>0.1784203052520752</v>
      </c>
      <c r="AP148" s="409">
        <v>0.11583856493234634</v>
      </c>
      <c r="AQ148" s="409">
        <v>0.1684272438287735</v>
      </c>
      <c r="AR148" s="409">
        <v>0.20969220995903015</v>
      </c>
      <c r="AS148" s="409">
        <v>0.28218775987625122</v>
      </c>
      <c r="AT148" s="409">
        <v>0.24901913106441498</v>
      </c>
      <c r="AU148" s="409">
        <v>0.23641616106033325</v>
      </c>
      <c r="AV148" s="409">
        <v>0.23691728711128235</v>
      </c>
      <c r="AW148" s="409">
        <v>0.26393008232116699</v>
      </c>
      <c r="AX148" s="409">
        <v>0.20985181629657745</v>
      </c>
      <c r="AY148" s="409">
        <v>0.22475862503051758</v>
      </c>
      <c r="AZ148" s="409">
        <v>0.25314462184906006</v>
      </c>
      <c r="BA148" s="409">
        <v>0.19217561185359955</v>
      </c>
      <c r="BB148" s="409">
        <v>0.14095382392406464</v>
      </c>
      <c r="BC148" s="409">
        <v>0.11264911293983459</v>
      </c>
      <c r="BD148" s="409">
        <v>0.16898693144321442</v>
      </c>
      <c r="BE148" s="409">
        <v>0.17468658089637756</v>
      </c>
      <c r="BF148" s="407">
        <v>0.17311716079711914</v>
      </c>
      <c r="BG148" s="407">
        <v>0.13610453903675079</v>
      </c>
      <c r="BH148" s="407">
        <v>0.17576746642589569</v>
      </c>
      <c r="BI148" s="407">
        <v>0.18494580686092377</v>
      </c>
      <c r="BJ148" s="407">
        <v>9.5668494701385498E-2</v>
      </c>
      <c r="BK148" s="407">
        <v>9.5668494701385498E-2</v>
      </c>
      <c r="BL148" s="407">
        <v>6.6008247435092926E-2</v>
      </c>
    </row>
    <row r="149" spans="3:64" x14ac:dyDescent="0.2">
      <c r="C149" s="404" t="s">
        <v>400</v>
      </c>
      <c r="D149" s="407">
        <v>8.3410561084747314E-2</v>
      </c>
      <c r="E149" s="407">
        <v>7.4392534792423248E-2</v>
      </c>
      <c r="F149" s="407">
        <v>0.1344129741191864</v>
      </c>
      <c r="G149" s="407">
        <v>7.8634269535541534E-2</v>
      </c>
      <c r="H149" s="407">
        <v>0.14586383104324341</v>
      </c>
      <c r="I149" s="407">
        <v>0.13034176826477051</v>
      </c>
      <c r="J149" s="407">
        <v>0.12524716556072235</v>
      </c>
      <c r="K149" s="407">
        <v>0.10395470261573792</v>
      </c>
      <c r="L149" s="407">
        <v>5.3076807409524918E-2</v>
      </c>
      <c r="M149" s="407">
        <v>0.14656434953212738</v>
      </c>
      <c r="N149" s="407">
        <v>0.12519416213035583</v>
      </c>
      <c r="O149" s="407">
        <v>0.10883305966854095</v>
      </c>
      <c r="P149" s="407">
        <v>7.8010015189647675E-2</v>
      </c>
      <c r="Q149" s="407">
        <v>0.15140910446643829</v>
      </c>
      <c r="R149" s="407">
        <v>9.1815613210201263E-2</v>
      </c>
      <c r="S149" s="407">
        <v>7.7038787305355072E-2</v>
      </c>
      <c r="T149" s="407">
        <v>8.1250764429569244E-2</v>
      </c>
      <c r="U149" s="407">
        <v>8.2752786576747894E-2</v>
      </c>
      <c r="V149" s="407">
        <v>7.6767675578594208E-2</v>
      </c>
      <c r="W149" s="407">
        <v>0.11305554956197739</v>
      </c>
      <c r="X149" s="407">
        <v>0.11504723131656647</v>
      </c>
      <c r="Y149" s="407">
        <v>0.16045011579990387</v>
      </c>
      <c r="Z149" s="407">
        <v>0.13038747012615204</v>
      </c>
      <c r="AA149" s="407">
        <v>0.1415850818157196</v>
      </c>
      <c r="AB149" s="407">
        <v>6.8107634782791138E-2</v>
      </c>
      <c r="AC149" s="407">
        <v>6.8107634782791138E-2</v>
      </c>
      <c r="AD149" s="407">
        <v>7.3685392737388611E-2</v>
      </c>
      <c r="AE149" s="38">
        <f>'User Add-in Location'!B155</f>
        <v>0</v>
      </c>
      <c r="AF149" s="38">
        <f>'User Add-in Location'!C155</f>
        <v>0</v>
      </c>
      <c r="AG149" s="407">
        <v>9.0192295610904694E-2</v>
      </c>
      <c r="AH149" s="407">
        <v>9.1903634369373322E-2</v>
      </c>
      <c r="AI149" s="407">
        <v>0.12294664978981018</v>
      </c>
      <c r="AJ149" s="407">
        <v>0.11771909147500992</v>
      </c>
      <c r="AK149" s="407">
        <v>7.631201297044754E-2</v>
      </c>
      <c r="AL149" s="407">
        <v>0.14655882120132446</v>
      </c>
      <c r="AM149" s="407">
        <v>0.1115390881896019</v>
      </c>
      <c r="AN149" s="409">
        <v>6.3899204134941101E-2</v>
      </c>
      <c r="AO149" s="409">
        <v>0.12568539381027222</v>
      </c>
      <c r="AP149" s="409">
        <v>7.4018262326717377E-2</v>
      </c>
      <c r="AQ149" s="409">
        <v>0.11467603594064713</v>
      </c>
      <c r="AR149" s="409">
        <v>0.14529687166213989</v>
      </c>
      <c r="AS149" s="409">
        <v>0.20116570591926575</v>
      </c>
      <c r="AT149" s="409">
        <v>0.16926869750022888</v>
      </c>
      <c r="AU149" s="409">
        <v>0.16236083209514618</v>
      </c>
      <c r="AV149" s="409">
        <v>0.16283637285232544</v>
      </c>
      <c r="AW149" s="409">
        <v>0.18345367908477783</v>
      </c>
      <c r="AX149" s="409">
        <v>0.13536828756332397</v>
      </c>
      <c r="AY149" s="409">
        <v>0.15075492858886719</v>
      </c>
      <c r="AZ149" s="409">
        <v>0.171845942735672</v>
      </c>
      <c r="BA149" s="409">
        <v>0.13907438516616821</v>
      </c>
      <c r="BB149" s="409">
        <v>9.2102967202663422E-2</v>
      </c>
      <c r="BC149" s="409">
        <v>7.8699201345443726E-2</v>
      </c>
      <c r="BD149" s="409">
        <v>0.11802653968334198</v>
      </c>
      <c r="BE149" s="409">
        <v>0.11139450222253799</v>
      </c>
      <c r="BF149" s="407">
        <v>0.12019824236631393</v>
      </c>
      <c r="BG149" s="407">
        <v>0.10083569586277008</v>
      </c>
      <c r="BH149" s="407">
        <v>0.11706835776567459</v>
      </c>
      <c r="BI149" s="407">
        <v>0.12279666215181351</v>
      </c>
      <c r="BJ149" s="407">
        <v>6.2189947813749313E-2</v>
      </c>
      <c r="BK149" s="407">
        <v>6.2189947813749313E-2</v>
      </c>
      <c r="BL149" s="407">
        <v>3.9622791111469269E-2</v>
      </c>
    </row>
    <row r="150" spans="3:64" x14ac:dyDescent="0.2">
      <c r="C150" s="404" t="s">
        <v>58</v>
      </c>
      <c r="D150" s="407">
        <v>0.14783550798892975</v>
      </c>
      <c r="E150" s="407">
        <v>0.13344649970531464</v>
      </c>
      <c r="F150" s="407">
        <v>0.2237066775560379</v>
      </c>
      <c r="G150" s="407">
        <v>0.13946458697319031</v>
      </c>
      <c r="H150" s="407">
        <v>0.23620931804180145</v>
      </c>
      <c r="I150" s="407">
        <v>0.21362009644508362</v>
      </c>
      <c r="J150" s="407">
        <v>0.20222756266593933</v>
      </c>
      <c r="K150" s="407">
        <v>0.16597330570220947</v>
      </c>
      <c r="L150" s="407">
        <v>7.0539452135562897E-2</v>
      </c>
      <c r="M150" s="407">
        <v>0.25065729022026062</v>
      </c>
      <c r="N150" s="407">
        <v>0.20983129739761353</v>
      </c>
      <c r="O150" s="407">
        <v>0.17117777466773987</v>
      </c>
      <c r="P150" s="407">
        <v>0.14498676359653473</v>
      </c>
      <c r="Q150" s="407">
        <v>0.24474506080150604</v>
      </c>
      <c r="R150" s="407">
        <v>0.16933752596378326</v>
      </c>
      <c r="S150" s="407">
        <v>0.14477770030498505</v>
      </c>
      <c r="T150" s="407">
        <v>0.14793321490287781</v>
      </c>
      <c r="U150" s="407">
        <v>0.13773494958877563</v>
      </c>
      <c r="V150" s="407">
        <v>0.14616970717906952</v>
      </c>
      <c r="W150" s="407">
        <v>0.18445397913455963</v>
      </c>
      <c r="X150" s="407">
        <v>0.19357147812843323</v>
      </c>
      <c r="Y150" s="407">
        <v>0.24898809194564819</v>
      </c>
      <c r="Z150" s="407">
        <v>0.2208351194858551</v>
      </c>
      <c r="AA150" s="407">
        <v>0.23526185750961304</v>
      </c>
      <c r="AB150" s="407">
        <v>0.12943994998931885</v>
      </c>
      <c r="AC150" s="407">
        <v>0.12943994998931885</v>
      </c>
      <c r="AD150" s="407">
        <v>0.13273052871227264</v>
      </c>
      <c r="AE150" s="38">
        <f>'User Add-in Location'!B156</f>
        <v>0</v>
      </c>
      <c r="AF150" s="38">
        <f>'User Add-in Location'!C156</f>
        <v>0</v>
      </c>
      <c r="AG150" s="407">
        <v>0.15743881464004517</v>
      </c>
      <c r="AH150" s="407">
        <v>0.16869151592254639</v>
      </c>
      <c r="AI150" s="407">
        <v>0.18905878067016602</v>
      </c>
      <c r="AJ150" s="407">
        <v>0.20160828530788422</v>
      </c>
      <c r="AK150" s="407">
        <v>0.14488263428211212</v>
      </c>
      <c r="AL150" s="407">
        <v>0.23795577883720398</v>
      </c>
      <c r="AM150" s="407">
        <v>0.18632392585277557</v>
      </c>
      <c r="AN150" s="409">
        <v>0.11203292012214661</v>
      </c>
      <c r="AO150" s="409">
        <v>0.21146506071090698</v>
      </c>
      <c r="AP150" s="409">
        <v>0.14104166626930237</v>
      </c>
      <c r="AQ150" s="409">
        <v>0.19095027446746826</v>
      </c>
      <c r="AR150" s="409">
        <v>0.22758775949478149</v>
      </c>
      <c r="AS150" s="409">
        <v>0.31427064538002014</v>
      </c>
      <c r="AT150" s="409">
        <v>0.27390611171722412</v>
      </c>
      <c r="AU150" s="409">
        <v>0.25852611660957336</v>
      </c>
      <c r="AV150" s="409">
        <v>0.26513051986694336</v>
      </c>
      <c r="AW150" s="409">
        <v>0.29830241203308105</v>
      </c>
      <c r="AX150" s="409">
        <v>0.23803338408470154</v>
      </c>
      <c r="AY150" s="409">
        <v>0.25055733323097229</v>
      </c>
      <c r="AZ150" s="409">
        <v>0.27686619758605957</v>
      </c>
      <c r="BA150" s="409">
        <v>0.21747778356075287</v>
      </c>
      <c r="BB150" s="409">
        <v>0.16411246359348297</v>
      </c>
      <c r="BC150" s="409">
        <v>0.13658055663108826</v>
      </c>
      <c r="BD150" s="409">
        <v>0.16901342570781708</v>
      </c>
      <c r="BE150" s="409">
        <v>0.19974635541439056</v>
      </c>
      <c r="BF150" s="407">
        <v>0.20816226303577423</v>
      </c>
      <c r="BG150" s="407">
        <v>0.16759608685970306</v>
      </c>
      <c r="BH150" s="407">
        <v>0.18851488828659058</v>
      </c>
      <c r="BI150" s="407">
        <v>0.20174911618232727</v>
      </c>
      <c r="BJ150" s="407">
        <v>0.11985114216804504</v>
      </c>
      <c r="BK150" s="407">
        <v>0.11985114216804504</v>
      </c>
      <c r="BL150" s="407">
        <v>8.6087249219417572E-2</v>
      </c>
    </row>
    <row r="151" spans="3:64" x14ac:dyDescent="0.2">
      <c r="C151" s="404" t="s">
        <v>401</v>
      </c>
      <c r="D151" s="407">
        <v>6.0209162533283234E-2</v>
      </c>
      <c r="E151" s="407">
        <v>0</v>
      </c>
      <c r="F151" s="407">
        <v>0.10978309065103531</v>
      </c>
      <c r="G151" s="407">
        <v>4.3305635452270508E-2</v>
      </c>
      <c r="H151" s="407">
        <v>0.14511017501354218</v>
      </c>
      <c r="I151" s="407">
        <v>0.10280811786651611</v>
      </c>
      <c r="J151" s="407">
        <v>9.7272545099258423E-2</v>
      </c>
      <c r="K151" s="407">
        <v>7.2190403938293457E-2</v>
      </c>
      <c r="L151" s="407">
        <v>3.4384008496999741E-2</v>
      </c>
      <c r="M151" s="407">
        <v>0.12210862338542938</v>
      </c>
      <c r="N151" s="407">
        <v>8.6050420999526978E-2</v>
      </c>
      <c r="O151" s="407">
        <v>5.8988343924283981E-2</v>
      </c>
      <c r="P151" s="407">
        <v>5.790264904499054E-2</v>
      </c>
      <c r="Q151" s="407">
        <v>0.11857884377241135</v>
      </c>
      <c r="R151" s="407">
        <v>6.1703715473413467E-2</v>
      </c>
      <c r="S151" s="407">
        <v>4.9987267702817917E-2</v>
      </c>
      <c r="T151" s="407">
        <v>5.8825034648180008E-2</v>
      </c>
      <c r="U151" s="407">
        <v>5.1299665123224258E-2</v>
      </c>
      <c r="V151" s="407">
        <v>5.7352889329195023E-2</v>
      </c>
      <c r="W151" s="407">
        <v>8.5227057337760925E-2</v>
      </c>
      <c r="X151" s="407">
        <v>8.0821417272090912E-2</v>
      </c>
      <c r="Y151" s="407">
        <v>0.13314586877822876</v>
      </c>
      <c r="Z151" s="407">
        <v>9.1426894068717957E-2</v>
      </c>
      <c r="AA151" s="407">
        <v>0.10962369292974472</v>
      </c>
      <c r="AB151" s="407">
        <v>4.5051954686641693E-2</v>
      </c>
      <c r="AC151" s="407">
        <v>4.5051954686641693E-2</v>
      </c>
      <c r="AD151" s="407">
        <v>3.8010008633136749E-2</v>
      </c>
      <c r="AE151" s="38">
        <f>'User Add-in Location'!B157</f>
        <v>0</v>
      </c>
      <c r="AF151" s="38">
        <f>'User Add-in Location'!C157</f>
        <v>0</v>
      </c>
      <c r="AG151" s="407">
        <v>5.8825746178627014E-2</v>
      </c>
      <c r="AH151" s="407">
        <v>6.5143980085849762E-2</v>
      </c>
      <c r="AI151" s="407">
        <v>8.5462868213653564E-2</v>
      </c>
      <c r="AJ151" s="407">
        <v>9.9019274115562439E-2</v>
      </c>
      <c r="AK151" s="407">
        <v>5.6200452148914337E-2</v>
      </c>
      <c r="AL151" s="407">
        <v>0.11618176102638245</v>
      </c>
      <c r="AM151" s="407">
        <v>8.4924384951591492E-2</v>
      </c>
      <c r="AN151" s="409">
        <v>3.4692093729972839E-2</v>
      </c>
      <c r="AO151" s="409">
        <v>0.13118676841259003</v>
      </c>
      <c r="AP151" s="409">
        <v>5.1843367516994476E-2</v>
      </c>
      <c r="AQ151" s="409">
        <v>0.1029285341501236</v>
      </c>
      <c r="AR151" s="409">
        <v>0.10855004191398621</v>
      </c>
      <c r="AS151" s="409">
        <v>0.1710786372423172</v>
      </c>
      <c r="AT151" s="409">
        <v>0.13784891366958618</v>
      </c>
      <c r="AU151" s="409">
        <v>0.12671630084514618</v>
      </c>
      <c r="AV151" s="409">
        <v>0.12955871224403381</v>
      </c>
      <c r="AW151" s="409">
        <v>0.1721922904253006</v>
      </c>
      <c r="AX151" s="409">
        <v>0.11486086249351501</v>
      </c>
      <c r="AY151" s="409">
        <v>0.12784042954444885</v>
      </c>
      <c r="AZ151" s="409">
        <v>0.17041438817977905</v>
      </c>
      <c r="BA151" s="409">
        <v>9.622519463300705E-2</v>
      </c>
      <c r="BB151" s="409">
        <v>6.4297415316104889E-2</v>
      </c>
      <c r="BC151" s="409">
        <v>4.0057476609945297E-2</v>
      </c>
      <c r="BD151" s="409">
        <v>7.6813302934169769E-2</v>
      </c>
      <c r="BE151" s="409">
        <v>9.4633854925632477E-2</v>
      </c>
      <c r="BF151" s="407">
        <v>9.1688565909862518E-2</v>
      </c>
      <c r="BG151" s="407">
        <v>7.2688639163970947E-2</v>
      </c>
      <c r="BH151" s="407">
        <v>8.3487085998058319E-2</v>
      </c>
      <c r="BI151" s="407">
        <v>9.3155130743980408E-2</v>
      </c>
      <c r="BJ151" s="407">
        <v>2.9669992625713348E-2</v>
      </c>
      <c r="BK151" s="407">
        <v>2.9669992625713348E-2</v>
      </c>
      <c r="BL151" s="407">
        <v>0</v>
      </c>
    </row>
    <row r="152" spans="3:64" ht="15" x14ac:dyDescent="0.2">
      <c r="C152" s="6"/>
      <c r="D152" s="411"/>
      <c r="E152" s="411"/>
      <c r="F152" s="411"/>
      <c r="G152" s="411"/>
      <c r="H152" s="411"/>
      <c r="I152" s="411"/>
      <c r="J152" s="411"/>
      <c r="K152" s="411"/>
      <c r="L152" s="411"/>
      <c r="M152" s="411"/>
      <c r="N152" s="411"/>
      <c r="O152" s="411"/>
      <c r="P152" s="411"/>
      <c r="Q152" s="411"/>
      <c r="R152" s="411"/>
      <c r="S152" s="411"/>
      <c r="T152" s="411"/>
      <c r="U152" s="411"/>
      <c r="V152" s="411"/>
      <c r="W152" s="411"/>
      <c r="X152" s="411"/>
      <c r="Y152" s="411"/>
      <c r="Z152" s="411"/>
      <c r="AA152" s="411"/>
      <c r="AB152" s="411"/>
      <c r="AC152" s="411"/>
      <c r="AD152" s="411"/>
      <c r="AE152" s="38"/>
      <c r="AF152" s="38"/>
      <c r="AG152" s="410"/>
      <c r="AH152" s="410"/>
      <c r="AI152" s="410"/>
      <c r="AJ152" s="410"/>
      <c r="AK152" s="410"/>
      <c r="AL152" s="410"/>
      <c r="AM152" s="410"/>
      <c r="AN152" s="410"/>
      <c r="AO152" s="410"/>
      <c r="AP152" s="410"/>
      <c r="AQ152" s="410"/>
      <c r="AR152" s="410"/>
      <c r="AS152" s="412"/>
      <c r="AT152" s="412"/>
      <c r="AU152" s="412"/>
      <c r="AV152" s="412"/>
      <c r="AW152" s="412"/>
      <c r="AX152" s="412"/>
      <c r="AY152" s="412"/>
      <c r="AZ152" s="412"/>
      <c r="BA152" s="410"/>
      <c r="BB152" s="410"/>
      <c r="BC152" s="410"/>
      <c r="BD152" s="410"/>
      <c r="BE152" s="410"/>
      <c r="BF152" s="410"/>
      <c r="BG152" s="410"/>
      <c r="BH152" s="410"/>
      <c r="BI152" s="410"/>
      <c r="BJ152" s="410"/>
      <c r="BK152" s="410"/>
      <c r="BL152" s="410"/>
    </row>
    <row r="153" spans="3:64" ht="12" customHeight="1" x14ac:dyDescent="0.2">
      <c r="C153" s="113" t="s">
        <v>180</v>
      </c>
      <c r="D153" s="411"/>
      <c r="E153" s="411"/>
      <c r="F153" s="411"/>
      <c r="G153" s="411"/>
      <c r="H153" s="411"/>
      <c r="I153" s="411"/>
      <c r="J153" s="411"/>
      <c r="K153" s="411"/>
      <c r="L153" s="411"/>
      <c r="M153" s="411"/>
      <c r="N153" s="411"/>
      <c r="O153" s="411"/>
      <c r="P153" s="411"/>
      <c r="Q153" s="411"/>
      <c r="R153" s="411"/>
      <c r="S153" s="411"/>
      <c r="T153" s="411"/>
      <c r="U153" s="411"/>
      <c r="V153" s="411"/>
      <c r="W153" s="411"/>
      <c r="X153" s="411"/>
      <c r="Y153" s="411"/>
      <c r="Z153" s="411"/>
      <c r="AA153" s="411"/>
      <c r="AB153" s="411"/>
      <c r="AC153" s="411"/>
      <c r="AD153" s="411"/>
      <c r="AE153" s="38"/>
      <c r="AF153" s="38"/>
      <c r="AG153" s="410"/>
      <c r="AH153" s="410"/>
      <c r="AI153" s="410"/>
      <c r="AJ153" s="410"/>
      <c r="AK153" s="410"/>
      <c r="AL153" s="410"/>
      <c r="AM153" s="410"/>
      <c r="AN153" s="410"/>
      <c r="AO153" s="410"/>
      <c r="AP153" s="410"/>
      <c r="AQ153" s="410"/>
      <c r="AR153" s="410"/>
      <c r="AS153" s="412"/>
      <c r="AT153" s="412"/>
      <c r="AU153" s="412"/>
      <c r="AV153" s="412"/>
      <c r="AW153" s="412"/>
      <c r="AX153" s="412"/>
      <c r="AY153" s="412"/>
      <c r="AZ153" s="412"/>
      <c r="BA153" s="410"/>
      <c r="BB153" s="410"/>
      <c r="BC153" s="410"/>
      <c r="BD153" s="410"/>
      <c r="BE153" s="410"/>
      <c r="BF153" s="410"/>
      <c r="BG153" s="410"/>
      <c r="BH153" s="410"/>
      <c r="BI153" s="410"/>
      <c r="BJ153" s="410"/>
      <c r="BK153" s="410"/>
      <c r="BL153" s="410"/>
    </row>
    <row r="154" spans="3:64" ht="38.25" x14ac:dyDescent="0.2">
      <c r="C154" s="114" t="s">
        <v>187</v>
      </c>
      <c r="D154" s="411" t="s">
        <v>60</v>
      </c>
      <c r="E154" s="411" t="s">
        <v>61</v>
      </c>
      <c r="F154" s="411" t="s">
        <v>62</v>
      </c>
      <c r="G154" s="411" t="s">
        <v>63</v>
      </c>
      <c r="H154" s="411" t="s">
        <v>64</v>
      </c>
      <c r="I154" s="411" t="s">
        <v>65</v>
      </c>
      <c r="J154" s="411" t="s">
        <v>66</v>
      </c>
      <c r="K154" s="411" t="s">
        <v>67</v>
      </c>
      <c r="L154" s="411" t="s">
        <v>68</v>
      </c>
      <c r="M154" s="411" t="s">
        <v>69</v>
      </c>
      <c r="N154" s="411" t="s">
        <v>70</v>
      </c>
      <c r="O154" s="411" t="s">
        <v>71</v>
      </c>
      <c r="P154" s="411" t="s">
        <v>72</v>
      </c>
      <c r="Q154" s="411" t="s">
        <v>73</v>
      </c>
      <c r="R154" s="411" t="s">
        <v>74</v>
      </c>
      <c r="S154" s="411" t="s">
        <v>75</v>
      </c>
      <c r="T154" s="411" t="s">
        <v>76</v>
      </c>
      <c r="U154" s="411" t="s">
        <v>77</v>
      </c>
      <c r="V154" s="411" t="s">
        <v>78</v>
      </c>
      <c r="W154" s="411" t="s">
        <v>79</v>
      </c>
      <c r="X154" s="411" t="s">
        <v>80</v>
      </c>
      <c r="Y154" s="411" t="s">
        <v>81</v>
      </c>
      <c r="Z154" s="411" t="s">
        <v>82</v>
      </c>
      <c r="AA154" s="411" t="s">
        <v>83</v>
      </c>
      <c r="AB154" s="411" t="s">
        <v>84</v>
      </c>
      <c r="AC154" s="411" t="s">
        <v>85</v>
      </c>
      <c r="AD154" s="411" t="s">
        <v>86</v>
      </c>
      <c r="AE154" s="38" t="s">
        <v>208</v>
      </c>
      <c r="AF154" s="38" t="s">
        <v>207</v>
      </c>
      <c r="AG154" s="410" t="s">
        <v>87</v>
      </c>
      <c r="AH154" s="410" t="s">
        <v>88</v>
      </c>
      <c r="AI154" s="410" t="s">
        <v>89</v>
      </c>
      <c r="AJ154" s="410" t="s">
        <v>90</v>
      </c>
      <c r="AK154" s="410" t="s">
        <v>91</v>
      </c>
      <c r="AL154" s="410" t="s">
        <v>92</v>
      </c>
      <c r="AM154" s="410" t="s">
        <v>93</v>
      </c>
      <c r="AN154" s="410" t="s">
        <v>94</v>
      </c>
      <c r="AO154" s="410" t="s">
        <v>95</v>
      </c>
      <c r="AP154" s="410" t="s">
        <v>96</v>
      </c>
      <c r="AQ154" s="410" t="s">
        <v>97</v>
      </c>
      <c r="AR154" s="410" t="s">
        <v>98</v>
      </c>
      <c r="AS154" s="443" t="s">
        <v>451</v>
      </c>
      <c r="AT154" s="443" t="s">
        <v>452</v>
      </c>
      <c r="AU154" s="443" t="s">
        <v>453</v>
      </c>
      <c r="AV154" s="443" t="s">
        <v>454</v>
      </c>
      <c r="AW154" s="443" t="s">
        <v>455</v>
      </c>
      <c r="AX154" s="443" t="s">
        <v>456</v>
      </c>
      <c r="AY154" s="443" t="s">
        <v>457</v>
      </c>
      <c r="AZ154" s="443" t="s">
        <v>458</v>
      </c>
      <c r="BA154" s="410" t="s">
        <v>99</v>
      </c>
      <c r="BB154" s="410" t="s">
        <v>100</v>
      </c>
      <c r="BC154" s="410" t="s">
        <v>101</v>
      </c>
      <c r="BD154" s="410" t="s">
        <v>102</v>
      </c>
      <c r="BE154" s="410" t="s">
        <v>103</v>
      </c>
      <c r="BF154" s="410" t="s">
        <v>104</v>
      </c>
      <c r="BG154" s="410" t="s">
        <v>105</v>
      </c>
      <c r="BH154" s="410" t="s">
        <v>106</v>
      </c>
      <c r="BI154" s="410" t="s">
        <v>107</v>
      </c>
      <c r="BJ154" s="410" t="s">
        <v>108</v>
      </c>
      <c r="BK154" s="410" t="s">
        <v>109</v>
      </c>
      <c r="BL154" s="410" t="s">
        <v>59</v>
      </c>
    </row>
    <row r="155" spans="3:64" x14ac:dyDescent="0.2">
      <c r="C155" s="404" t="s">
        <v>388</v>
      </c>
      <c r="D155" s="407">
        <v>1</v>
      </c>
      <c r="E155" s="407">
        <v>1</v>
      </c>
      <c r="F155" s="407">
        <v>1</v>
      </c>
      <c r="G155" s="407">
        <v>1</v>
      </c>
      <c r="H155" s="407">
        <v>1</v>
      </c>
      <c r="I155" s="407">
        <v>1</v>
      </c>
      <c r="J155" s="407">
        <v>1</v>
      </c>
      <c r="K155" s="407">
        <v>1</v>
      </c>
      <c r="L155" s="407">
        <v>1</v>
      </c>
      <c r="M155" s="407">
        <v>1</v>
      </c>
      <c r="N155" s="407">
        <v>1</v>
      </c>
      <c r="O155" s="407">
        <v>1</v>
      </c>
      <c r="P155" s="407">
        <v>1</v>
      </c>
      <c r="Q155" s="413">
        <v>1</v>
      </c>
      <c r="R155" s="407">
        <v>1</v>
      </c>
      <c r="S155" s="407">
        <v>1</v>
      </c>
      <c r="T155" s="407">
        <v>1</v>
      </c>
      <c r="U155" s="407">
        <v>1</v>
      </c>
      <c r="V155" s="407">
        <v>1</v>
      </c>
      <c r="W155" s="407">
        <v>1</v>
      </c>
      <c r="X155" s="407">
        <v>1</v>
      </c>
      <c r="Y155" s="407">
        <v>1</v>
      </c>
      <c r="Z155" s="407">
        <v>1</v>
      </c>
      <c r="AA155" s="407">
        <v>1</v>
      </c>
      <c r="AB155" s="407">
        <v>1</v>
      </c>
      <c r="AC155" s="407">
        <v>1</v>
      </c>
      <c r="AD155" s="407">
        <v>1</v>
      </c>
      <c r="AE155" s="38">
        <f>'User Add-in Location'!B161</f>
        <v>0</v>
      </c>
      <c r="AF155" s="38">
        <f>'User Add-in Location'!C161</f>
        <v>0</v>
      </c>
      <c r="AG155" s="407">
        <v>1</v>
      </c>
      <c r="AH155" s="407">
        <v>1</v>
      </c>
      <c r="AI155" s="407">
        <v>1</v>
      </c>
      <c r="AJ155" s="407">
        <v>1</v>
      </c>
      <c r="AK155" s="407">
        <v>1</v>
      </c>
      <c r="AL155" s="407">
        <v>1</v>
      </c>
      <c r="AM155" s="409">
        <v>1</v>
      </c>
      <c r="AN155" s="409">
        <v>1</v>
      </c>
      <c r="AO155" s="409">
        <v>1</v>
      </c>
      <c r="AP155" s="409">
        <v>1</v>
      </c>
      <c r="AQ155" s="409">
        <v>1</v>
      </c>
      <c r="AR155" s="409">
        <v>1</v>
      </c>
      <c r="AS155" s="409">
        <v>1</v>
      </c>
      <c r="AT155" s="409">
        <v>1</v>
      </c>
      <c r="AU155" s="409">
        <v>1</v>
      </c>
      <c r="AV155" s="409">
        <v>1</v>
      </c>
      <c r="AW155" s="409">
        <v>1</v>
      </c>
      <c r="AX155" s="409">
        <v>1</v>
      </c>
      <c r="AY155" s="409">
        <v>1</v>
      </c>
      <c r="AZ155" s="409">
        <v>1</v>
      </c>
      <c r="BA155" s="409">
        <v>1</v>
      </c>
      <c r="BB155" s="409">
        <v>1</v>
      </c>
      <c r="BC155" s="409">
        <v>1</v>
      </c>
      <c r="BD155" s="409">
        <v>1</v>
      </c>
      <c r="BE155" s="409">
        <v>1</v>
      </c>
      <c r="BF155" s="407">
        <v>1</v>
      </c>
      <c r="BG155" s="407">
        <v>1</v>
      </c>
      <c r="BH155" s="407">
        <v>1</v>
      </c>
      <c r="BI155" s="407">
        <v>1</v>
      </c>
      <c r="BJ155" s="407">
        <v>1</v>
      </c>
      <c r="BK155" s="407">
        <v>1</v>
      </c>
      <c r="BL155" s="407">
        <v>1</v>
      </c>
    </row>
    <row r="156" spans="3:64" x14ac:dyDescent="0.2">
      <c r="C156" s="404" t="s">
        <v>124</v>
      </c>
      <c r="D156" s="407">
        <v>1</v>
      </c>
      <c r="E156" s="407">
        <v>1</v>
      </c>
      <c r="F156" s="407">
        <v>1</v>
      </c>
      <c r="G156" s="407">
        <v>1</v>
      </c>
      <c r="H156" s="407">
        <v>1</v>
      </c>
      <c r="I156" s="407">
        <v>1</v>
      </c>
      <c r="J156" s="407">
        <v>1</v>
      </c>
      <c r="K156" s="407">
        <v>1</v>
      </c>
      <c r="L156" s="407">
        <v>1</v>
      </c>
      <c r="M156" s="407">
        <v>1</v>
      </c>
      <c r="N156" s="407">
        <v>1</v>
      </c>
      <c r="O156" s="407">
        <v>1</v>
      </c>
      <c r="P156" s="407">
        <v>1</v>
      </c>
      <c r="Q156" s="413">
        <v>1</v>
      </c>
      <c r="R156" s="407">
        <v>1</v>
      </c>
      <c r="S156" s="407">
        <v>1</v>
      </c>
      <c r="T156" s="407">
        <v>1</v>
      </c>
      <c r="U156" s="407">
        <v>1</v>
      </c>
      <c r="V156" s="407">
        <v>1</v>
      </c>
      <c r="W156" s="407">
        <v>1</v>
      </c>
      <c r="X156" s="407">
        <v>1</v>
      </c>
      <c r="Y156" s="407">
        <v>1</v>
      </c>
      <c r="Z156" s="407">
        <v>1</v>
      </c>
      <c r="AA156" s="407">
        <v>1</v>
      </c>
      <c r="AB156" s="407">
        <v>1</v>
      </c>
      <c r="AC156" s="407">
        <v>1</v>
      </c>
      <c r="AD156" s="407">
        <v>1</v>
      </c>
      <c r="AE156" s="38">
        <f>'User Add-in Location'!B162</f>
        <v>0</v>
      </c>
      <c r="AF156" s="38">
        <f>'User Add-in Location'!C162</f>
        <v>0</v>
      </c>
      <c r="AG156" s="407">
        <v>1</v>
      </c>
      <c r="AH156" s="407">
        <v>1</v>
      </c>
      <c r="AI156" s="407">
        <v>1</v>
      </c>
      <c r="AJ156" s="407">
        <v>1</v>
      </c>
      <c r="AK156" s="407">
        <v>1</v>
      </c>
      <c r="AL156" s="407">
        <v>1</v>
      </c>
      <c r="AM156" s="409">
        <v>1</v>
      </c>
      <c r="AN156" s="409">
        <v>1</v>
      </c>
      <c r="AO156" s="409">
        <v>1</v>
      </c>
      <c r="AP156" s="409">
        <v>1</v>
      </c>
      <c r="AQ156" s="409">
        <v>1</v>
      </c>
      <c r="AR156" s="409">
        <v>1</v>
      </c>
      <c r="AS156" s="409">
        <v>1</v>
      </c>
      <c r="AT156" s="409">
        <v>1</v>
      </c>
      <c r="AU156" s="409">
        <v>1</v>
      </c>
      <c r="AV156" s="409">
        <v>1</v>
      </c>
      <c r="AW156" s="409">
        <v>1</v>
      </c>
      <c r="AX156" s="409">
        <v>1</v>
      </c>
      <c r="AY156" s="409">
        <v>1</v>
      </c>
      <c r="AZ156" s="409">
        <v>1</v>
      </c>
      <c r="BA156" s="409">
        <v>1</v>
      </c>
      <c r="BB156" s="409">
        <v>1</v>
      </c>
      <c r="BC156" s="409">
        <v>1</v>
      </c>
      <c r="BD156" s="409">
        <v>1</v>
      </c>
      <c r="BE156" s="409">
        <v>1</v>
      </c>
      <c r="BF156" s="407">
        <v>1</v>
      </c>
      <c r="BG156" s="407">
        <v>1</v>
      </c>
      <c r="BH156" s="407">
        <v>1</v>
      </c>
      <c r="BI156" s="407">
        <v>1</v>
      </c>
      <c r="BJ156" s="407">
        <v>1</v>
      </c>
      <c r="BK156" s="407">
        <v>1</v>
      </c>
      <c r="BL156" s="407">
        <v>1</v>
      </c>
    </row>
    <row r="157" spans="3:64" x14ac:dyDescent="0.2">
      <c r="C157" s="404" t="s">
        <v>56</v>
      </c>
      <c r="D157" s="407">
        <v>1</v>
      </c>
      <c r="E157" s="407">
        <v>1</v>
      </c>
      <c r="F157" s="407">
        <v>1</v>
      </c>
      <c r="G157" s="407">
        <v>1</v>
      </c>
      <c r="H157" s="407">
        <v>1</v>
      </c>
      <c r="I157" s="407">
        <v>1</v>
      </c>
      <c r="J157" s="407">
        <v>1</v>
      </c>
      <c r="K157" s="407">
        <v>1</v>
      </c>
      <c r="L157" s="407">
        <v>1</v>
      </c>
      <c r="M157" s="407">
        <v>1</v>
      </c>
      <c r="N157" s="407">
        <v>1</v>
      </c>
      <c r="O157" s="407">
        <v>1</v>
      </c>
      <c r="P157" s="407">
        <v>1</v>
      </c>
      <c r="Q157" s="413">
        <v>1</v>
      </c>
      <c r="R157" s="407">
        <v>1</v>
      </c>
      <c r="S157" s="407">
        <v>1</v>
      </c>
      <c r="T157" s="407">
        <v>1</v>
      </c>
      <c r="U157" s="407">
        <v>1</v>
      </c>
      <c r="V157" s="407">
        <v>1</v>
      </c>
      <c r="W157" s="407">
        <v>1</v>
      </c>
      <c r="X157" s="407">
        <v>1</v>
      </c>
      <c r="Y157" s="407">
        <v>1</v>
      </c>
      <c r="Z157" s="407">
        <v>1</v>
      </c>
      <c r="AA157" s="407">
        <v>1</v>
      </c>
      <c r="AB157" s="407">
        <v>1</v>
      </c>
      <c r="AC157" s="407">
        <v>1</v>
      </c>
      <c r="AD157" s="407">
        <v>1</v>
      </c>
      <c r="AE157" s="38">
        <f>'User Add-in Location'!B163</f>
        <v>0</v>
      </c>
      <c r="AF157" s="38">
        <f>'User Add-in Location'!C163</f>
        <v>0</v>
      </c>
      <c r="AG157" s="407">
        <v>1</v>
      </c>
      <c r="AH157" s="407">
        <v>1</v>
      </c>
      <c r="AI157" s="407">
        <v>1</v>
      </c>
      <c r="AJ157" s="407">
        <v>1</v>
      </c>
      <c r="AK157" s="407">
        <v>1</v>
      </c>
      <c r="AL157" s="407">
        <v>1</v>
      </c>
      <c r="AM157" s="409">
        <v>1</v>
      </c>
      <c r="AN157" s="409">
        <v>1</v>
      </c>
      <c r="AO157" s="409">
        <v>1</v>
      </c>
      <c r="AP157" s="409">
        <v>1</v>
      </c>
      <c r="AQ157" s="409">
        <v>1</v>
      </c>
      <c r="AR157" s="409">
        <v>1</v>
      </c>
      <c r="AS157" s="409">
        <v>1</v>
      </c>
      <c r="AT157" s="409">
        <v>1</v>
      </c>
      <c r="AU157" s="409">
        <v>1</v>
      </c>
      <c r="AV157" s="409">
        <v>1</v>
      </c>
      <c r="AW157" s="409">
        <v>1</v>
      </c>
      <c r="AX157" s="409">
        <v>1</v>
      </c>
      <c r="AY157" s="409">
        <v>1</v>
      </c>
      <c r="AZ157" s="409">
        <v>1</v>
      </c>
      <c r="BA157" s="409">
        <v>1</v>
      </c>
      <c r="BB157" s="409">
        <v>1</v>
      </c>
      <c r="BC157" s="409">
        <v>1</v>
      </c>
      <c r="BD157" s="409">
        <v>1</v>
      </c>
      <c r="BE157" s="409">
        <v>1</v>
      </c>
      <c r="BF157" s="407">
        <v>1</v>
      </c>
      <c r="BG157" s="407">
        <v>1</v>
      </c>
      <c r="BH157" s="407">
        <v>1</v>
      </c>
      <c r="BI157" s="407">
        <v>1</v>
      </c>
      <c r="BJ157" s="407">
        <v>1</v>
      </c>
      <c r="BK157" s="407">
        <v>1</v>
      </c>
      <c r="BL157" s="407">
        <v>1</v>
      </c>
    </row>
    <row r="158" spans="3:64" x14ac:dyDescent="0.2">
      <c r="C158" s="404" t="s">
        <v>389</v>
      </c>
      <c r="D158" s="407">
        <v>1</v>
      </c>
      <c r="E158" s="407">
        <v>1</v>
      </c>
      <c r="F158" s="407">
        <v>1</v>
      </c>
      <c r="G158" s="407">
        <v>1</v>
      </c>
      <c r="H158" s="407">
        <v>1</v>
      </c>
      <c r="I158" s="407">
        <v>1</v>
      </c>
      <c r="J158" s="407">
        <v>1</v>
      </c>
      <c r="K158" s="407">
        <v>1</v>
      </c>
      <c r="L158" s="407">
        <v>1</v>
      </c>
      <c r="M158" s="407">
        <v>1</v>
      </c>
      <c r="N158" s="407">
        <v>1</v>
      </c>
      <c r="O158" s="407">
        <v>1</v>
      </c>
      <c r="P158" s="407">
        <v>1</v>
      </c>
      <c r="Q158" s="413">
        <v>1</v>
      </c>
      <c r="R158" s="407">
        <v>1</v>
      </c>
      <c r="S158" s="407">
        <v>1</v>
      </c>
      <c r="T158" s="407">
        <v>1</v>
      </c>
      <c r="U158" s="407">
        <v>1</v>
      </c>
      <c r="V158" s="407">
        <v>1</v>
      </c>
      <c r="W158" s="407">
        <v>1</v>
      </c>
      <c r="X158" s="407">
        <v>1</v>
      </c>
      <c r="Y158" s="407">
        <v>1</v>
      </c>
      <c r="Z158" s="407">
        <v>1</v>
      </c>
      <c r="AA158" s="407">
        <v>1</v>
      </c>
      <c r="AB158" s="407">
        <v>1</v>
      </c>
      <c r="AC158" s="407">
        <v>1</v>
      </c>
      <c r="AD158" s="407">
        <v>1</v>
      </c>
      <c r="AE158" s="38">
        <f>'User Add-in Location'!B164</f>
        <v>0</v>
      </c>
      <c r="AF158" s="38">
        <f>'User Add-in Location'!C164</f>
        <v>0</v>
      </c>
      <c r="AG158" s="407">
        <v>1</v>
      </c>
      <c r="AH158" s="407">
        <v>1</v>
      </c>
      <c r="AI158" s="407">
        <v>1</v>
      </c>
      <c r="AJ158" s="407">
        <v>1</v>
      </c>
      <c r="AK158" s="407">
        <v>1</v>
      </c>
      <c r="AL158" s="407">
        <v>1</v>
      </c>
      <c r="AM158" s="409">
        <v>1</v>
      </c>
      <c r="AN158" s="409">
        <v>1</v>
      </c>
      <c r="AO158" s="409">
        <v>1</v>
      </c>
      <c r="AP158" s="409">
        <v>1</v>
      </c>
      <c r="AQ158" s="409">
        <v>1</v>
      </c>
      <c r="AR158" s="409">
        <v>1</v>
      </c>
      <c r="AS158" s="409">
        <v>1</v>
      </c>
      <c r="AT158" s="409">
        <v>1</v>
      </c>
      <c r="AU158" s="409">
        <v>1</v>
      </c>
      <c r="AV158" s="409">
        <v>1</v>
      </c>
      <c r="AW158" s="409">
        <v>1</v>
      </c>
      <c r="AX158" s="409">
        <v>1</v>
      </c>
      <c r="AY158" s="409">
        <v>1</v>
      </c>
      <c r="AZ158" s="409">
        <v>1</v>
      </c>
      <c r="BA158" s="409">
        <v>1</v>
      </c>
      <c r="BB158" s="409">
        <v>1</v>
      </c>
      <c r="BC158" s="409">
        <v>1</v>
      </c>
      <c r="BD158" s="409">
        <v>1</v>
      </c>
      <c r="BE158" s="409">
        <v>1</v>
      </c>
      <c r="BF158" s="407">
        <v>1</v>
      </c>
      <c r="BG158" s="407">
        <v>1</v>
      </c>
      <c r="BH158" s="407">
        <v>1</v>
      </c>
      <c r="BI158" s="407">
        <v>1</v>
      </c>
      <c r="BJ158" s="407">
        <v>1</v>
      </c>
      <c r="BK158" s="407">
        <v>1</v>
      </c>
      <c r="BL158" s="407">
        <v>1</v>
      </c>
    </row>
    <row r="159" spans="3:64" x14ac:dyDescent="0.2">
      <c r="C159" s="404" t="s">
        <v>390</v>
      </c>
      <c r="D159" s="407">
        <v>1</v>
      </c>
      <c r="E159" s="407">
        <v>1</v>
      </c>
      <c r="F159" s="407">
        <v>1</v>
      </c>
      <c r="G159" s="407">
        <v>1</v>
      </c>
      <c r="H159" s="407">
        <v>1</v>
      </c>
      <c r="I159" s="407">
        <v>1</v>
      </c>
      <c r="J159" s="407">
        <v>1</v>
      </c>
      <c r="K159" s="407">
        <v>1</v>
      </c>
      <c r="L159" s="407">
        <v>1</v>
      </c>
      <c r="M159" s="407">
        <v>1</v>
      </c>
      <c r="N159" s="407">
        <v>1</v>
      </c>
      <c r="O159" s="407">
        <v>1</v>
      </c>
      <c r="P159" s="407">
        <v>1</v>
      </c>
      <c r="Q159" s="413">
        <v>1</v>
      </c>
      <c r="R159" s="407">
        <v>1</v>
      </c>
      <c r="S159" s="407">
        <v>1</v>
      </c>
      <c r="T159" s="407">
        <v>1</v>
      </c>
      <c r="U159" s="407">
        <v>1</v>
      </c>
      <c r="V159" s="407">
        <v>1</v>
      </c>
      <c r="W159" s="407">
        <v>1</v>
      </c>
      <c r="X159" s="407">
        <v>1</v>
      </c>
      <c r="Y159" s="407">
        <v>1</v>
      </c>
      <c r="Z159" s="407">
        <v>1</v>
      </c>
      <c r="AA159" s="407">
        <v>1</v>
      </c>
      <c r="AB159" s="407">
        <v>1</v>
      </c>
      <c r="AC159" s="407">
        <v>1</v>
      </c>
      <c r="AD159" s="407">
        <v>1</v>
      </c>
      <c r="AE159" s="38">
        <f>'User Add-in Location'!B165</f>
        <v>0</v>
      </c>
      <c r="AF159" s="38">
        <f>'User Add-in Location'!C165</f>
        <v>0</v>
      </c>
      <c r="AG159" s="407">
        <v>1</v>
      </c>
      <c r="AH159" s="407">
        <v>1</v>
      </c>
      <c r="AI159" s="407">
        <v>1</v>
      </c>
      <c r="AJ159" s="407">
        <v>1</v>
      </c>
      <c r="AK159" s="407">
        <v>1</v>
      </c>
      <c r="AL159" s="407">
        <v>1</v>
      </c>
      <c r="AM159" s="409">
        <v>1</v>
      </c>
      <c r="AN159" s="409">
        <v>1</v>
      </c>
      <c r="AO159" s="409">
        <v>1</v>
      </c>
      <c r="AP159" s="409">
        <v>1</v>
      </c>
      <c r="AQ159" s="409">
        <v>1</v>
      </c>
      <c r="AR159" s="409">
        <v>1</v>
      </c>
      <c r="AS159" s="409">
        <v>1</v>
      </c>
      <c r="AT159" s="409">
        <v>1</v>
      </c>
      <c r="AU159" s="409">
        <v>1</v>
      </c>
      <c r="AV159" s="409">
        <v>1</v>
      </c>
      <c r="AW159" s="409">
        <v>1</v>
      </c>
      <c r="AX159" s="409">
        <v>1</v>
      </c>
      <c r="AY159" s="409">
        <v>1</v>
      </c>
      <c r="AZ159" s="409">
        <v>1</v>
      </c>
      <c r="BA159" s="409">
        <v>1</v>
      </c>
      <c r="BB159" s="409">
        <v>1</v>
      </c>
      <c r="BC159" s="409">
        <v>1</v>
      </c>
      <c r="BD159" s="409">
        <v>1</v>
      </c>
      <c r="BE159" s="409">
        <v>1</v>
      </c>
      <c r="BF159" s="407">
        <v>1</v>
      </c>
      <c r="BG159" s="407">
        <v>1</v>
      </c>
      <c r="BH159" s="407">
        <v>1</v>
      </c>
      <c r="BI159" s="407">
        <v>1</v>
      </c>
      <c r="BJ159" s="407">
        <v>1</v>
      </c>
      <c r="BK159" s="407">
        <v>1</v>
      </c>
      <c r="BL159" s="407">
        <v>1</v>
      </c>
    </row>
    <row r="160" spans="3:64" x14ac:dyDescent="0.2">
      <c r="C160" s="404" t="s">
        <v>125</v>
      </c>
      <c r="D160" s="407">
        <v>1</v>
      </c>
      <c r="E160" s="407">
        <v>1</v>
      </c>
      <c r="F160" s="407">
        <v>1</v>
      </c>
      <c r="G160" s="407">
        <v>1</v>
      </c>
      <c r="H160" s="407">
        <v>1</v>
      </c>
      <c r="I160" s="407">
        <v>1</v>
      </c>
      <c r="J160" s="407">
        <v>1</v>
      </c>
      <c r="K160" s="407">
        <v>1</v>
      </c>
      <c r="L160" s="407">
        <v>1</v>
      </c>
      <c r="M160" s="407">
        <v>1</v>
      </c>
      <c r="N160" s="407">
        <v>1</v>
      </c>
      <c r="O160" s="407">
        <v>1</v>
      </c>
      <c r="P160" s="407">
        <v>1</v>
      </c>
      <c r="Q160" s="413">
        <v>1</v>
      </c>
      <c r="R160" s="407">
        <v>1</v>
      </c>
      <c r="S160" s="407">
        <v>1</v>
      </c>
      <c r="T160" s="407">
        <v>1</v>
      </c>
      <c r="U160" s="407">
        <v>1</v>
      </c>
      <c r="V160" s="407">
        <v>1</v>
      </c>
      <c r="W160" s="407">
        <v>1</v>
      </c>
      <c r="X160" s="407">
        <v>1</v>
      </c>
      <c r="Y160" s="407">
        <v>1</v>
      </c>
      <c r="Z160" s="407">
        <v>1</v>
      </c>
      <c r="AA160" s="407">
        <v>1</v>
      </c>
      <c r="AB160" s="407">
        <v>1</v>
      </c>
      <c r="AC160" s="407">
        <v>1</v>
      </c>
      <c r="AD160" s="407">
        <v>1</v>
      </c>
      <c r="AE160" s="38">
        <f>'User Add-in Location'!B166</f>
        <v>0</v>
      </c>
      <c r="AF160" s="38">
        <f>'User Add-in Location'!C166</f>
        <v>0</v>
      </c>
      <c r="AG160" s="407">
        <v>1</v>
      </c>
      <c r="AH160" s="407">
        <v>1</v>
      </c>
      <c r="AI160" s="407">
        <v>1</v>
      </c>
      <c r="AJ160" s="407">
        <v>1</v>
      </c>
      <c r="AK160" s="407">
        <v>1</v>
      </c>
      <c r="AL160" s="407">
        <v>1</v>
      </c>
      <c r="AM160" s="409">
        <v>1</v>
      </c>
      <c r="AN160" s="409">
        <v>1</v>
      </c>
      <c r="AO160" s="409">
        <v>1</v>
      </c>
      <c r="AP160" s="409">
        <v>1</v>
      </c>
      <c r="AQ160" s="409">
        <v>1</v>
      </c>
      <c r="AR160" s="409">
        <v>1</v>
      </c>
      <c r="AS160" s="409">
        <v>1</v>
      </c>
      <c r="AT160" s="409">
        <v>1</v>
      </c>
      <c r="AU160" s="409">
        <v>1</v>
      </c>
      <c r="AV160" s="409">
        <v>1</v>
      </c>
      <c r="AW160" s="409">
        <v>1</v>
      </c>
      <c r="AX160" s="409">
        <v>1</v>
      </c>
      <c r="AY160" s="409">
        <v>1</v>
      </c>
      <c r="AZ160" s="409">
        <v>1</v>
      </c>
      <c r="BA160" s="409">
        <v>1</v>
      </c>
      <c r="BB160" s="409">
        <v>1</v>
      </c>
      <c r="BC160" s="409">
        <v>1</v>
      </c>
      <c r="BD160" s="409">
        <v>1</v>
      </c>
      <c r="BE160" s="409">
        <v>1</v>
      </c>
      <c r="BF160" s="407">
        <v>1</v>
      </c>
      <c r="BG160" s="407">
        <v>1</v>
      </c>
      <c r="BH160" s="407">
        <v>1</v>
      </c>
      <c r="BI160" s="407">
        <v>1</v>
      </c>
      <c r="BJ160" s="407">
        <v>1</v>
      </c>
      <c r="BK160" s="407">
        <v>1</v>
      </c>
      <c r="BL160" s="407">
        <v>1</v>
      </c>
    </row>
    <row r="161" spans="3:64" x14ac:dyDescent="0.2">
      <c r="C161" s="404" t="s">
        <v>126</v>
      </c>
      <c r="D161" s="407">
        <v>1</v>
      </c>
      <c r="E161" s="407">
        <v>1</v>
      </c>
      <c r="F161" s="407">
        <v>1</v>
      </c>
      <c r="G161" s="407">
        <v>1</v>
      </c>
      <c r="H161" s="407">
        <v>1</v>
      </c>
      <c r="I161" s="407">
        <v>1</v>
      </c>
      <c r="J161" s="407">
        <v>1</v>
      </c>
      <c r="K161" s="407">
        <v>1</v>
      </c>
      <c r="L161" s="407">
        <v>1</v>
      </c>
      <c r="M161" s="407">
        <v>1</v>
      </c>
      <c r="N161" s="407">
        <v>1</v>
      </c>
      <c r="O161" s="407">
        <v>1</v>
      </c>
      <c r="P161" s="407">
        <v>1</v>
      </c>
      <c r="Q161" s="413">
        <v>1</v>
      </c>
      <c r="R161" s="407">
        <v>1</v>
      </c>
      <c r="S161" s="407">
        <v>1</v>
      </c>
      <c r="T161" s="407">
        <v>1</v>
      </c>
      <c r="U161" s="407">
        <v>1</v>
      </c>
      <c r="V161" s="407">
        <v>1</v>
      </c>
      <c r="W161" s="407">
        <v>1</v>
      </c>
      <c r="X161" s="407">
        <v>1</v>
      </c>
      <c r="Y161" s="407">
        <v>1</v>
      </c>
      <c r="Z161" s="407">
        <v>1</v>
      </c>
      <c r="AA161" s="407">
        <v>1</v>
      </c>
      <c r="AB161" s="407">
        <v>1</v>
      </c>
      <c r="AC161" s="407">
        <v>1</v>
      </c>
      <c r="AD161" s="407">
        <v>1</v>
      </c>
      <c r="AE161" s="38">
        <f>'User Add-in Location'!B167</f>
        <v>0</v>
      </c>
      <c r="AF161" s="38">
        <f>'User Add-in Location'!C167</f>
        <v>0</v>
      </c>
      <c r="AG161" s="407">
        <v>1</v>
      </c>
      <c r="AH161" s="407">
        <v>1</v>
      </c>
      <c r="AI161" s="407">
        <v>1</v>
      </c>
      <c r="AJ161" s="407">
        <v>1</v>
      </c>
      <c r="AK161" s="407">
        <v>1</v>
      </c>
      <c r="AL161" s="407">
        <v>1</v>
      </c>
      <c r="AM161" s="409">
        <v>1</v>
      </c>
      <c r="AN161" s="409">
        <v>1</v>
      </c>
      <c r="AO161" s="409">
        <v>1</v>
      </c>
      <c r="AP161" s="409">
        <v>1</v>
      </c>
      <c r="AQ161" s="409">
        <v>1</v>
      </c>
      <c r="AR161" s="409">
        <v>1</v>
      </c>
      <c r="AS161" s="409">
        <v>1</v>
      </c>
      <c r="AT161" s="409">
        <v>1</v>
      </c>
      <c r="AU161" s="409">
        <v>1</v>
      </c>
      <c r="AV161" s="409">
        <v>1</v>
      </c>
      <c r="AW161" s="409">
        <v>1</v>
      </c>
      <c r="AX161" s="409">
        <v>1</v>
      </c>
      <c r="AY161" s="409">
        <v>1</v>
      </c>
      <c r="AZ161" s="409">
        <v>1</v>
      </c>
      <c r="BA161" s="409">
        <v>1</v>
      </c>
      <c r="BB161" s="409">
        <v>1</v>
      </c>
      <c r="BC161" s="409">
        <v>1</v>
      </c>
      <c r="BD161" s="409">
        <v>1</v>
      </c>
      <c r="BE161" s="409">
        <v>1</v>
      </c>
      <c r="BF161" s="407">
        <v>1</v>
      </c>
      <c r="BG161" s="407">
        <v>1</v>
      </c>
      <c r="BH161" s="407">
        <v>1</v>
      </c>
      <c r="BI161" s="407">
        <v>1</v>
      </c>
      <c r="BJ161" s="407">
        <v>1</v>
      </c>
      <c r="BK161" s="407">
        <v>1</v>
      </c>
      <c r="BL161" s="407">
        <v>1</v>
      </c>
    </row>
    <row r="162" spans="3:64" x14ac:dyDescent="0.2">
      <c r="C162" s="404" t="s">
        <v>127</v>
      </c>
      <c r="D162" s="407">
        <v>1</v>
      </c>
      <c r="E162" s="407">
        <v>1</v>
      </c>
      <c r="F162" s="407">
        <v>1</v>
      </c>
      <c r="G162" s="407">
        <v>1</v>
      </c>
      <c r="H162" s="407">
        <v>1</v>
      </c>
      <c r="I162" s="407">
        <v>1</v>
      </c>
      <c r="J162" s="407">
        <v>1</v>
      </c>
      <c r="K162" s="407">
        <v>1</v>
      </c>
      <c r="L162" s="407">
        <v>1</v>
      </c>
      <c r="M162" s="407">
        <v>1</v>
      </c>
      <c r="N162" s="407">
        <v>1</v>
      </c>
      <c r="O162" s="407">
        <v>1</v>
      </c>
      <c r="P162" s="407">
        <v>1</v>
      </c>
      <c r="Q162" s="413">
        <v>1</v>
      </c>
      <c r="R162" s="407">
        <v>1</v>
      </c>
      <c r="S162" s="407">
        <v>1</v>
      </c>
      <c r="T162" s="407">
        <v>1</v>
      </c>
      <c r="U162" s="407">
        <v>1</v>
      </c>
      <c r="V162" s="407">
        <v>1</v>
      </c>
      <c r="W162" s="407">
        <v>1</v>
      </c>
      <c r="X162" s="407">
        <v>1</v>
      </c>
      <c r="Y162" s="407">
        <v>1</v>
      </c>
      <c r="Z162" s="407">
        <v>1</v>
      </c>
      <c r="AA162" s="407">
        <v>1</v>
      </c>
      <c r="AB162" s="407">
        <v>1</v>
      </c>
      <c r="AC162" s="407">
        <v>1</v>
      </c>
      <c r="AD162" s="407">
        <v>1</v>
      </c>
      <c r="AE162" s="38">
        <f>'User Add-in Location'!B168</f>
        <v>0</v>
      </c>
      <c r="AF162" s="38">
        <f>'User Add-in Location'!C168</f>
        <v>0</v>
      </c>
      <c r="AG162" s="407">
        <v>1</v>
      </c>
      <c r="AH162" s="407">
        <v>1</v>
      </c>
      <c r="AI162" s="407">
        <v>1</v>
      </c>
      <c r="AJ162" s="407">
        <v>1</v>
      </c>
      <c r="AK162" s="407">
        <v>1</v>
      </c>
      <c r="AL162" s="407">
        <v>1</v>
      </c>
      <c r="AM162" s="409">
        <v>1</v>
      </c>
      <c r="AN162" s="409">
        <v>1</v>
      </c>
      <c r="AO162" s="409">
        <v>1</v>
      </c>
      <c r="AP162" s="409">
        <v>1</v>
      </c>
      <c r="AQ162" s="409">
        <v>1</v>
      </c>
      <c r="AR162" s="409">
        <v>1</v>
      </c>
      <c r="AS162" s="409">
        <v>1</v>
      </c>
      <c r="AT162" s="409">
        <v>1</v>
      </c>
      <c r="AU162" s="409">
        <v>1</v>
      </c>
      <c r="AV162" s="409">
        <v>1</v>
      </c>
      <c r="AW162" s="409">
        <v>1</v>
      </c>
      <c r="AX162" s="409">
        <v>1</v>
      </c>
      <c r="AY162" s="409">
        <v>1</v>
      </c>
      <c r="AZ162" s="409">
        <v>1</v>
      </c>
      <c r="BA162" s="409">
        <v>1</v>
      </c>
      <c r="BB162" s="409">
        <v>1</v>
      </c>
      <c r="BC162" s="409">
        <v>1</v>
      </c>
      <c r="BD162" s="409">
        <v>1</v>
      </c>
      <c r="BE162" s="409">
        <v>1</v>
      </c>
      <c r="BF162" s="407">
        <v>1</v>
      </c>
      <c r="BG162" s="407">
        <v>1</v>
      </c>
      <c r="BH162" s="407">
        <v>1</v>
      </c>
      <c r="BI162" s="407">
        <v>1</v>
      </c>
      <c r="BJ162" s="407">
        <v>1</v>
      </c>
      <c r="BK162" s="407">
        <v>1</v>
      </c>
      <c r="BL162" s="407">
        <v>1</v>
      </c>
    </row>
    <row r="163" spans="3:64" x14ac:dyDescent="0.2">
      <c r="C163" s="404" t="s">
        <v>391</v>
      </c>
      <c r="D163" s="407">
        <v>1</v>
      </c>
      <c r="E163" s="407">
        <v>1</v>
      </c>
      <c r="F163" s="407">
        <v>1</v>
      </c>
      <c r="G163" s="407">
        <v>1</v>
      </c>
      <c r="H163" s="407">
        <v>1</v>
      </c>
      <c r="I163" s="407">
        <v>1</v>
      </c>
      <c r="J163" s="407">
        <v>1</v>
      </c>
      <c r="K163" s="407">
        <v>1</v>
      </c>
      <c r="L163" s="407">
        <v>1</v>
      </c>
      <c r="M163" s="407">
        <v>1</v>
      </c>
      <c r="N163" s="407">
        <v>1</v>
      </c>
      <c r="O163" s="407">
        <v>1</v>
      </c>
      <c r="P163" s="407">
        <v>1</v>
      </c>
      <c r="Q163" s="413">
        <v>1</v>
      </c>
      <c r="R163" s="407">
        <v>1</v>
      </c>
      <c r="S163" s="407">
        <v>1</v>
      </c>
      <c r="T163" s="407">
        <v>1</v>
      </c>
      <c r="U163" s="407">
        <v>1</v>
      </c>
      <c r="V163" s="407">
        <v>1</v>
      </c>
      <c r="W163" s="407">
        <v>1</v>
      </c>
      <c r="X163" s="407">
        <v>1</v>
      </c>
      <c r="Y163" s="407">
        <v>1</v>
      </c>
      <c r="Z163" s="407">
        <v>1</v>
      </c>
      <c r="AA163" s="407">
        <v>1</v>
      </c>
      <c r="AB163" s="407">
        <v>1</v>
      </c>
      <c r="AC163" s="407">
        <v>1</v>
      </c>
      <c r="AD163" s="407">
        <v>1</v>
      </c>
      <c r="AE163" s="38">
        <f>'User Add-in Location'!B169</f>
        <v>0</v>
      </c>
      <c r="AF163" s="38">
        <f>'User Add-in Location'!C169</f>
        <v>0</v>
      </c>
      <c r="AG163" s="407">
        <v>1</v>
      </c>
      <c r="AH163" s="407">
        <v>1</v>
      </c>
      <c r="AI163" s="407">
        <v>1</v>
      </c>
      <c r="AJ163" s="407">
        <v>1</v>
      </c>
      <c r="AK163" s="407">
        <v>1</v>
      </c>
      <c r="AL163" s="407">
        <v>1</v>
      </c>
      <c r="AM163" s="409">
        <v>1</v>
      </c>
      <c r="AN163" s="409">
        <v>1</v>
      </c>
      <c r="AO163" s="409">
        <v>1</v>
      </c>
      <c r="AP163" s="409">
        <v>1</v>
      </c>
      <c r="AQ163" s="409">
        <v>1</v>
      </c>
      <c r="AR163" s="409">
        <v>1</v>
      </c>
      <c r="AS163" s="409">
        <v>1</v>
      </c>
      <c r="AT163" s="409">
        <v>1</v>
      </c>
      <c r="AU163" s="409">
        <v>1</v>
      </c>
      <c r="AV163" s="409">
        <v>1</v>
      </c>
      <c r="AW163" s="409">
        <v>1</v>
      </c>
      <c r="AX163" s="409">
        <v>1</v>
      </c>
      <c r="AY163" s="409">
        <v>1</v>
      </c>
      <c r="AZ163" s="409">
        <v>1</v>
      </c>
      <c r="BA163" s="409">
        <v>1</v>
      </c>
      <c r="BB163" s="409">
        <v>1</v>
      </c>
      <c r="BC163" s="409">
        <v>1</v>
      </c>
      <c r="BD163" s="409">
        <v>1</v>
      </c>
      <c r="BE163" s="409">
        <v>1</v>
      </c>
      <c r="BF163" s="407">
        <v>1</v>
      </c>
      <c r="BG163" s="407">
        <v>1</v>
      </c>
      <c r="BH163" s="407">
        <v>1</v>
      </c>
      <c r="BI163" s="407">
        <v>1</v>
      </c>
      <c r="BJ163" s="407">
        <v>1</v>
      </c>
      <c r="BK163" s="407">
        <v>1</v>
      </c>
      <c r="BL163" s="407">
        <v>1</v>
      </c>
    </row>
    <row r="164" spans="3:64" x14ac:dyDescent="0.2">
      <c r="C164" s="404" t="s">
        <v>392</v>
      </c>
      <c r="D164" s="407">
        <v>1</v>
      </c>
      <c r="E164" s="407">
        <v>1</v>
      </c>
      <c r="F164" s="407">
        <v>1</v>
      </c>
      <c r="G164" s="407">
        <v>1</v>
      </c>
      <c r="H164" s="407">
        <v>1</v>
      </c>
      <c r="I164" s="407">
        <v>1</v>
      </c>
      <c r="J164" s="407">
        <v>1</v>
      </c>
      <c r="K164" s="407">
        <v>1</v>
      </c>
      <c r="L164" s="407">
        <v>1</v>
      </c>
      <c r="M164" s="407">
        <v>1</v>
      </c>
      <c r="N164" s="407">
        <v>1</v>
      </c>
      <c r="O164" s="407">
        <v>1</v>
      </c>
      <c r="P164" s="407">
        <v>1</v>
      </c>
      <c r="Q164" s="413">
        <v>1</v>
      </c>
      <c r="R164" s="407">
        <v>1</v>
      </c>
      <c r="S164" s="407">
        <v>1</v>
      </c>
      <c r="T164" s="407">
        <v>1</v>
      </c>
      <c r="U164" s="407">
        <v>1</v>
      </c>
      <c r="V164" s="407">
        <v>1</v>
      </c>
      <c r="W164" s="407">
        <v>1</v>
      </c>
      <c r="X164" s="407">
        <v>1</v>
      </c>
      <c r="Y164" s="407">
        <v>1</v>
      </c>
      <c r="Z164" s="407">
        <v>1</v>
      </c>
      <c r="AA164" s="407">
        <v>1</v>
      </c>
      <c r="AB164" s="407">
        <v>1</v>
      </c>
      <c r="AC164" s="407">
        <v>1</v>
      </c>
      <c r="AD164" s="407">
        <v>1</v>
      </c>
      <c r="AE164" s="38">
        <f>'User Add-in Location'!B170</f>
        <v>0</v>
      </c>
      <c r="AF164" s="38">
        <f>'User Add-in Location'!C170</f>
        <v>0</v>
      </c>
      <c r="AG164" s="407">
        <v>1</v>
      </c>
      <c r="AH164" s="407">
        <v>1</v>
      </c>
      <c r="AI164" s="407">
        <v>1</v>
      </c>
      <c r="AJ164" s="407">
        <v>1</v>
      </c>
      <c r="AK164" s="407">
        <v>1</v>
      </c>
      <c r="AL164" s="407">
        <v>1</v>
      </c>
      <c r="AM164" s="409">
        <v>1</v>
      </c>
      <c r="AN164" s="409">
        <v>1</v>
      </c>
      <c r="AO164" s="409">
        <v>1</v>
      </c>
      <c r="AP164" s="409">
        <v>1</v>
      </c>
      <c r="AQ164" s="409">
        <v>1</v>
      </c>
      <c r="AR164" s="409">
        <v>1</v>
      </c>
      <c r="AS164" s="409">
        <v>1</v>
      </c>
      <c r="AT164" s="409">
        <v>1</v>
      </c>
      <c r="AU164" s="409">
        <v>1</v>
      </c>
      <c r="AV164" s="409">
        <v>1</v>
      </c>
      <c r="AW164" s="409">
        <v>1</v>
      </c>
      <c r="AX164" s="409">
        <v>1</v>
      </c>
      <c r="AY164" s="409">
        <v>1</v>
      </c>
      <c r="AZ164" s="409">
        <v>1</v>
      </c>
      <c r="BA164" s="409">
        <v>1</v>
      </c>
      <c r="BB164" s="409">
        <v>1</v>
      </c>
      <c r="BC164" s="409">
        <v>1</v>
      </c>
      <c r="BD164" s="409">
        <v>1</v>
      </c>
      <c r="BE164" s="409">
        <v>1</v>
      </c>
      <c r="BF164" s="407">
        <v>1</v>
      </c>
      <c r="BG164" s="407">
        <v>1</v>
      </c>
      <c r="BH164" s="407">
        <v>1</v>
      </c>
      <c r="BI164" s="407">
        <v>1</v>
      </c>
      <c r="BJ164" s="407">
        <v>1</v>
      </c>
      <c r="BK164" s="407">
        <v>1</v>
      </c>
      <c r="BL164" s="407">
        <v>1</v>
      </c>
    </row>
    <row r="165" spans="3:64" x14ac:dyDescent="0.2">
      <c r="C165" s="404" t="s">
        <v>393</v>
      </c>
      <c r="D165" s="407">
        <v>1</v>
      </c>
      <c r="E165" s="407">
        <v>1</v>
      </c>
      <c r="F165" s="407">
        <v>1</v>
      </c>
      <c r="G165" s="407">
        <v>1</v>
      </c>
      <c r="H165" s="407">
        <v>1</v>
      </c>
      <c r="I165" s="407">
        <v>1</v>
      </c>
      <c r="J165" s="407">
        <v>1</v>
      </c>
      <c r="K165" s="407">
        <v>1</v>
      </c>
      <c r="L165" s="407">
        <v>1</v>
      </c>
      <c r="M165" s="407">
        <v>1</v>
      </c>
      <c r="N165" s="407">
        <v>1</v>
      </c>
      <c r="O165" s="407">
        <v>1</v>
      </c>
      <c r="P165" s="407">
        <v>1</v>
      </c>
      <c r="Q165" s="413">
        <v>1</v>
      </c>
      <c r="R165" s="407">
        <v>1</v>
      </c>
      <c r="S165" s="407">
        <v>1</v>
      </c>
      <c r="T165" s="407">
        <v>1</v>
      </c>
      <c r="U165" s="407">
        <v>1</v>
      </c>
      <c r="V165" s="407">
        <v>1</v>
      </c>
      <c r="W165" s="407">
        <v>1</v>
      </c>
      <c r="X165" s="407">
        <v>1</v>
      </c>
      <c r="Y165" s="407">
        <v>1</v>
      </c>
      <c r="Z165" s="407">
        <v>1</v>
      </c>
      <c r="AA165" s="407">
        <v>1</v>
      </c>
      <c r="AB165" s="407">
        <v>1</v>
      </c>
      <c r="AC165" s="407">
        <v>1</v>
      </c>
      <c r="AD165" s="407">
        <v>1</v>
      </c>
      <c r="AE165" s="38">
        <f>'User Add-in Location'!B171</f>
        <v>0</v>
      </c>
      <c r="AF165" s="38">
        <f>'User Add-in Location'!C171</f>
        <v>0</v>
      </c>
      <c r="AG165" s="407">
        <v>1</v>
      </c>
      <c r="AH165" s="407">
        <v>1</v>
      </c>
      <c r="AI165" s="407">
        <v>1</v>
      </c>
      <c r="AJ165" s="407">
        <v>1</v>
      </c>
      <c r="AK165" s="407">
        <v>1</v>
      </c>
      <c r="AL165" s="407">
        <v>1</v>
      </c>
      <c r="AM165" s="409">
        <v>1</v>
      </c>
      <c r="AN165" s="409">
        <v>1</v>
      </c>
      <c r="AO165" s="409">
        <v>1</v>
      </c>
      <c r="AP165" s="409">
        <v>1</v>
      </c>
      <c r="AQ165" s="409">
        <v>1</v>
      </c>
      <c r="AR165" s="409">
        <v>1</v>
      </c>
      <c r="AS165" s="409">
        <v>1</v>
      </c>
      <c r="AT165" s="409">
        <v>1</v>
      </c>
      <c r="AU165" s="409">
        <v>1</v>
      </c>
      <c r="AV165" s="409">
        <v>1</v>
      </c>
      <c r="AW165" s="409">
        <v>1</v>
      </c>
      <c r="AX165" s="409">
        <v>1</v>
      </c>
      <c r="AY165" s="409">
        <v>1</v>
      </c>
      <c r="AZ165" s="409">
        <v>1</v>
      </c>
      <c r="BA165" s="409">
        <v>1</v>
      </c>
      <c r="BB165" s="409">
        <v>1</v>
      </c>
      <c r="BC165" s="409">
        <v>1</v>
      </c>
      <c r="BD165" s="409">
        <v>1</v>
      </c>
      <c r="BE165" s="409">
        <v>1</v>
      </c>
      <c r="BF165" s="407">
        <v>1</v>
      </c>
      <c r="BG165" s="407">
        <v>1</v>
      </c>
      <c r="BH165" s="407">
        <v>1</v>
      </c>
      <c r="BI165" s="407">
        <v>1</v>
      </c>
      <c r="BJ165" s="407">
        <v>1</v>
      </c>
      <c r="BK165" s="407">
        <v>1</v>
      </c>
      <c r="BL165" s="407">
        <v>1</v>
      </c>
    </row>
    <row r="166" spans="3:64" x14ac:dyDescent="0.2">
      <c r="C166" s="404" t="s">
        <v>57</v>
      </c>
      <c r="D166" s="407">
        <v>1</v>
      </c>
      <c r="E166" s="407">
        <v>1</v>
      </c>
      <c r="F166" s="407">
        <v>1</v>
      </c>
      <c r="G166" s="407">
        <v>1</v>
      </c>
      <c r="H166" s="407">
        <v>1</v>
      </c>
      <c r="I166" s="407">
        <v>1</v>
      </c>
      <c r="J166" s="407">
        <v>1</v>
      </c>
      <c r="K166" s="407">
        <v>1</v>
      </c>
      <c r="L166" s="407">
        <v>1</v>
      </c>
      <c r="M166" s="407">
        <v>1</v>
      </c>
      <c r="N166" s="407">
        <v>1</v>
      </c>
      <c r="O166" s="407">
        <v>1</v>
      </c>
      <c r="P166" s="407">
        <v>1</v>
      </c>
      <c r="Q166" s="413">
        <v>1</v>
      </c>
      <c r="R166" s="407">
        <v>1</v>
      </c>
      <c r="S166" s="407">
        <v>1</v>
      </c>
      <c r="T166" s="407">
        <v>1</v>
      </c>
      <c r="U166" s="407">
        <v>1</v>
      </c>
      <c r="V166" s="407">
        <v>1</v>
      </c>
      <c r="W166" s="407">
        <v>1</v>
      </c>
      <c r="X166" s="407">
        <v>1</v>
      </c>
      <c r="Y166" s="407">
        <v>1</v>
      </c>
      <c r="Z166" s="407">
        <v>1</v>
      </c>
      <c r="AA166" s="407">
        <v>1</v>
      </c>
      <c r="AB166" s="407">
        <v>1</v>
      </c>
      <c r="AC166" s="407">
        <v>1</v>
      </c>
      <c r="AD166" s="407">
        <v>1</v>
      </c>
      <c r="AE166" s="38">
        <f>'User Add-in Location'!B172</f>
        <v>0</v>
      </c>
      <c r="AF166" s="38">
        <f>'User Add-in Location'!C172</f>
        <v>0</v>
      </c>
      <c r="AG166" s="407">
        <v>1</v>
      </c>
      <c r="AH166" s="407">
        <v>1</v>
      </c>
      <c r="AI166" s="407">
        <v>1</v>
      </c>
      <c r="AJ166" s="407">
        <v>1</v>
      </c>
      <c r="AK166" s="407">
        <v>1</v>
      </c>
      <c r="AL166" s="407">
        <v>1</v>
      </c>
      <c r="AM166" s="409">
        <v>1</v>
      </c>
      <c r="AN166" s="409">
        <v>1</v>
      </c>
      <c r="AO166" s="409">
        <v>1</v>
      </c>
      <c r="AP166" s="409">
        <v>1</v>
      </c>
      <c r="AQ166" s="409">
        <v>1</v>
      </c>
      <c r="AR166" s="409">
        <v>1</v>
      </c>
      <c r="AS166" s="409">
        <v>1</v>
      </c>
      <c r="AT166" s="409">
        <v>1</v>
      </c>
      <c r="AU166" s="409">
        <v>1</v>
      </c>
      <c r="AV166" s="409">
        <v>1</v>
      </c>
      <c r="AW166" s="409">
        <v>1</v>
      </c>
      <c r="AX166" s="409">
        <v>1</v>
      </c>
      <c r="AY166" s="409">
        <v>1</v>
      </c>
      <c r="AZ166" s="409">
        <v>1</v>
      </c>
      <c r="BA166" s="409">
        <v>1</v>
      </c>
      <c r="BB166" s="409">
        <v>1</v>
      </c>
      <c r="BC166" s="409">
        <v>1</v>
      </c>
      <c r="BD166" s="409">
        <v>1</v>
      </c>
      <c r="BE166" s="409">
        <v>1</v>
      </c>
      <c r="BF166" s="407">
        <v>1</v>
      </c>
      <c r="BG166" s="407">
        <v>1</v>
      </c>
      <c r="BH166" s="407">
        <v>1</v>
      </c>
      <c r="BI166" s="407">
        <v>1</v>
      </c>
      <c r="BJ166" s="407">
        <v>1</v>
      </c>
      <c r="BK166" s="407">
        <v>1</v>
      </c>
      <c r="BL166" s="407">
        <v>1</v>
      </c>
    </row>
    <row r="167" spans="3:64" x14ac:dyDescent="0.2">
      <c r="C167" s="404" t="s">
        <v>394</v>
      </c>
      <c r="D167" s="407">
        <v>1</v>
      </c>
      <c r="E167" s="407">
        <v>1</v>
      </c>
      <c r="F167" s="407">
        <v>1</v>
      </c>
      <c r="G167" s="407">
        <v>1</v>
      </c>
      <c r="H167" s="407">
        <v>1</v>
      </c>
      <c r="I167" s="407">
        <v>1</v>
      </c>
      <c r="J167" s="407">
        <v>1</v>
      </c>
      <c r="K167" s="407">
        <v>1</v>
      </c>
      <c r="L167" s="407">
        <v>1</v>
      </c>
      <c r="M167" s="407">
        <v>1</v>
      </c>
      <c r="N167" s="407">
        <v>1</v>
      </c>
      <c r="O167" s="407">
        <v>1</v>
      </c>
      <c r="P167" s="407">
        <v>1</v>
      </c>
      <c r="Q167" s="413">
        <v>1</v>
      </c>
      <c r="R167" s="407">
        <v>1</v>
      </c>
      <c r="S167" s="407">
        <v>1</v>
      </c>
      <c r="T167" s="407">
        <v>1</v>
      </c>
      <c r="U167" s="407">
        <v>1</v>
      </c>
      <c r="V167" s="407">
        <v>1</v>
      </c>
      <c r="W167" s="407">
        <v>1</v>
      </c>
      <c r="X167" s="407">
        <v>1</v>
      </c>
      <c r="Y167" s="407">
        <v>1</v>
      </c>
      <c r="Z167" s="407">
        <v>1</v>
      </c>
      <c r="AA167" s="407">
        <v>1</v>
      </c>
      <c r="AB167" s="407">
        <v>1</v>
      </c>
      <c r="AC167" s="407">
        <v>1</v>
      </c>
      <c r="AD167" s="407">
        <v>1</v>
      </c>
      <c r="AE167" s="38">
        <f>'User Add-in Location'!B173</f>
        <v>0</v>
      </c>
      <c r="AF167" s="38">
        <f>'User Add-in Location'!C173</f>
        <v>0</v>
      </c>
      <c r="AG167" s="407">
        <v>1</v>
      </c>
      <c r="AH167" s="407">
        <v>1</v>
      </c>
      <c r="AI167" s="407">
        <v>1</v>
      </c>
      <c r="AJ167" s="407">
        <v>1</v>
      </c>
      <c r="AK167" s="407">
        <v>1</v>
      </c>
      <c r="AL167" s="407">
        <v>1</v>
      </c>
      <c r="AM167" s="409">
        <v>1</v>
      </c>
      <c r="AN167" s="409">
        <v>1</v>
      </c>
      <c r="AO167" s="409">
        <v>1</v>
      </c>
      <c r="AP167" s="409">
        <v>1</v>
      </c>
      <c r="AQ167" s="409">
        <v>1</v>
      </c>
      <c r="AR167" s="409">
        <v>1</v>
      </c>
      <c r="AS167" s="409">
        <v>1</v>
      </c>
      <c r="AT167" s="409">
        <v>1</v>
      </c>
      <c r="AU167" s="409">
        <v>1</v>
      </c>
      <c r="AV167" s="409">
        <v>1</v>
      </c>
      <c r="AW167" s="409">
        <v>1</v>
      </c>
      <c r="AX167" s="409">
        <v>1</v>
      </c>
      <c r="AY167" s="409">
        <v>1</v>
      </c>
      <c r="AZ167" s="409">
        <v>1</v>
      </c>
      <c r="BA167" s="409">
        <v>1</v>
      </c>
      <c r="BB167" s="409">
        <v>1</v>
      </c>
      <c r="BC167" s="409">
        <v>1</v>
      </c>
      <c r="BD167" s="409">
        <v>1</v>
      </c>
      <c r="BE167" s="409">
        <v>1</v>
      </c>
      <c r="BF167" s="407">
        <v>1</v>
      </c>
      <c r="BG167" s="407">
        <v>1</v>
      </c>
      <c r="BH167" s="407">
        <v>1</v>
      </c>
      <c r="BI167" s="407">
        <v>1</v>
      </c>
      <c r="BJ167" s="407">
        <v>1</v>
      </c>
      <c r="BK167" s="407">
        <v>1</v>
      </c>
      <c r="BL167" s="407">
        <v>1</v>
      </c>
    </row>
    <row r="168" spans="3:64" x14ac:dyDescent="0.2">
      <c r="C168" s="404" t="s">
        <v>128</v>
      </c>
      <c r="D168" s="407">
        <v>1</v>
      </c>
      <c r="E168" s="407">
        <v>1</v>
      </c>
      <c r="F168" s="407">
        <v>1</v>
      </c>
      <c r="G168" s="407">
        <v>1</v>
      </c>
      <c r="H168" s="407">
        <v>1</v>
      </c>
      <c r="I168" s="407">
        <v>1</v>
      </c>
      <c r="J168" s="407">
        <v>1</v>
      </c>
      <c r="K168" s="407">
        <v>1</v>
      </c>
      <c r="L168" s="407">
        <v>1</v>
      </c>
      <c r="M168" s="407">
        <v>1</v>
      </c>
      <c r="N168" s="407">
        <v>1</v>
      </c>
      <c r="O168" s="407">
        <v>1</v>
      </c>
      <c r="P168" s="407">
        <v>1</v>
      </c>
      <c r="Q168" s="413">
        <v>1</v>
      </c>
      <c r="R168" s="407">
        <v>1</v>
      </c>
      <c r="S168" s="407">
        <v>1</v>
      </c>
      <c r="T168" s="407">
        <v>1</v>
      </c>
      <c r="U168" s="407">
        <v>1</v>
      </c>
      <c r="V168" s="407">
        <v>1</v>
      </c>
      <c r="W168" s="407">
        <v>1</v>
      </c>
      <c r="X168" s="407">
        <v>1</v>
      </c>
      <c r="Y168" s="407">
        <v>1</v>
      </c>
      <c r="Z168" s="407">
        <v>1</v>
      </c>
      <c r="AA168" s="407">
        <v>1</v>
      </c>
      <c r="AB168" s="407">
        <v>1</v>
      </c>
      <c r="AC168" s="407">
        <v>1</v>
      </c>
      <c r="AD168" s="407">
        <v>1</v>
      </c>
      <c r="AE168" s="38">
        <f>'User Add-in Location'!B174</f>
        <v>0</v>
      </c>
      <c r="AF168" s="38">
        <f>'User Add-in Location'!C174</f>
        <v>0</v>
      </c>
      <c r="AG168" s="407">
        <v>1</v>
      </c>
      <c r="AH168" s="407">
        <v>1</v>
      </c>
      <c r="AI168" s="407">
        <v>1</v>
      </c>
      <c r="AJ168" s="407">
        <v>1</v>
      </c>
      <c r="AK168" s="407">
        <v>1</v>
      </c>
      <c r="AL168" s="407">
        <v>1</v>
      </c>
      <c r="AM168" s="409">
        <v>1</v>
      </c>
      <c r="AN168" s="409">
        <v>1</v>
      </c>
      <c r="AO168" s="409">
        <v>1</v>
      </c>
      <c r="AP168" s="409">
        <v>1</v>
      </c>
      <c r="AQ168" s="409">
        <v>1</v>
      </c>
      <c r="AR168" s="409">
        <v>1</v>
      </c>
      <c r="AS168" s="409">
        <v>1</v>
      </c>
      <c r="AT168" s="409">
        <v>1</v>
      </c>
      <c r="AU168" s="409">
        <v>1</v>
      </c>
      <c r="AV168" s="409">
        <v>1</v>
      </c>
      <c r="AW168" s="409">
        <v>1</v>
      </c>
      <c r="AX168" s="409">
        <v>1</v>
      </c>
      <c r="AY168" s="409">
        <v>1</v>
      </c>
      <c r="AZ168" s="409">
        <v>1</v>
      </c>
      <c r="BA168" s="409">
        <v>1</v>
      </c>
      <c r="BB168" s="409">
        <v>1</v>
      </c>
      <c r="BC168" s="409">
        <v>1</v>
      </c>
      <c r="BD168" s="409">
        <v>1</v>
      </c>
      <c r="BE168" s="409">
        <v>1</v>
      </c>
      <c r="BF168" s="407">
        <v>1</v>
      </c>
      <c r="BG168" s="407">
        <v>1</v>
      </c>
      <c r="BH168" s="407">
        <v>1</v>
      </c>
      <c r="BI168" s="407">
        <v>1</v>
      </c>
      <c r="BJ168" s="407">
        <v>1</v>
      </c>
      <c r="BK168" s="407">
        <v>1</v>
      </c>
      <c r="BL168" s="407">
        <v>1</v>
      </c>
    </row>
    <row r="169" spans="3:64" x14ac:dyDescent="0.2">
      <c r="C169" s="404" t="s">
        <v>395</v>
      </c>
      <c r="D169" s="407">
        <v>1</v>
      </c>
      <c r="E169" s="407">
        <v>1</v>
      </c>
      <c r="F169" s="407">
        <v>1</v>
      </c>
      <c r="G169" s="407">
        <v>1</v>
      </c>
      <c r="H169" s="407">
        <v>1</v>
      </c>
      <c r="I169" s="407">
        <v>1</v>
      </c>
      <c r="J169" s="407">
        <v>1</v>
      </c>
      <c r="K169" s="407">
        <v>1</v>
      </c>
      <c r="L169" s="407">
        <v>1</v>
      </c>
      <c r="M169" s="407">
        <v>1</v>
      </c>
      <c r="N169" s="407">
        <v>1</v>
      </c>
      <c r="O169" s="407">
        <v>1</v>
      </c>
      <c r="P169" s="407">
        <v>1</v>
      </c>
      <c r="Q169" s="413">
        <v>1</v>
      </c>
      <c r="R169" s="407">
        <v>1</v>
      </c>
      <c r="S169" s="407">
        <v>1</v>
      </c>
      <c r="T169" s="407">
        <v>1</v>
      </c>
      <c r="U169" s="407">
        <v>1</v>
      </c>
      <c r="V169" s="407">
        <v>1</v>
      </c>
      <c r="W169" s="407">
        <v>1</v>
      </c>
      <c r="X169" s="407">
        <v>1</v>
      </c>
      <c r="Y169" s="407">
        <v>1</v>
      </c>
      <c r="Z169" s="407">
        <v>1</v>
      </c>
      <c r="AA169" s="407">
        <v>1</v>
      </c>
      <c r="AB169" s="407">
        <v>1</v>
      </c>
      <c r="AC169" s="407">
        <v>1</v>
      </c>
      <c r="AD169" s="407">
        <v>1</v>
      </c>
      <c r="AE169" s="38">
        <f>'User Add-in Location'!B175</f>
        <v>0</v>
      </c>
      <c r="AF169" s="38">
        <f>'User Add-in Location'!C175</f>
        <v>0</v>
      </c>
      <c r="AG169" s="407">
        <v>1</v>
      </c>
      <c r="AH169" s="407">
        <v>1</v>
      </c>
      <c r="AI169" s="407">
        <v>1</v>
      </c>
      <c r="AJ169" s="407">
        <v>1</v>
      </c>
      <c r="AK169" s="407">
        <v>1</v>
      </c>
      <c r="AL169" s="407">
        <v>1</v>
      </c>
      <c r="AM169" s="409">
        <v>1</v>
      </c>
      <c r="AN169" s="409">
        <v>1</v>
      </c>
      <c r="AO169" s="409">
        <v>1</v>
      </c>
      <c r="AP169" s="409">
        <v>1</v>
      </c>
      <c r="AQ169" s="409">
        <v>1</v>
      </c>
      <c r="AR169" s="409">
        <v>1</v>
      </c>
      <c r="AS169" s="409">
        <v>1</v>
      </c>
      <c r="AT169" s="409">
        <v>1</v>
      </c>
      <c r="AU169" s="409">
        <v>1</v>
      </c>
      <c r="AV169" s="409">
        <v>1</v>
      </c>
      <c r="AW169" s="409">
        <v>1</v>
      </c>
      <c r="AX169" s="409">
        <v>1</v>
      </c>
      <c r="AY169" s="409">
        <v>1</v>
      </c>
      <c r="AZ169" s="409">
        <v>1</v>
      </c>
      <c r="BA169" s="409">
        <v>1</v>
      </c>
      <c r="BB169" s="409">
        <v>1</v>
      </c>
      <c r="BC169" s="409">
        <v>1</v>
      </c>
      <c r="BD169" s="409">
        <v>1</v>
      </c>
      <c r="BE169" s="409">
        <v>1</v>
      </c>
      <c r="BF169" s="407">
        <v>1</v>
      </c>
      <c r="BG169" s="407">
        <v>1</v>
      </c>
      <c r="BH169" s="407">
        <v>1</v>
      </c>
      <c r="BI169" s="407">
        <v>1</v>
      </c>
      <c r="BJ169" s="407">
        <v>1</v>
      </c>
      <c r="BK169" s="407">
        <v>1</v>
      </c>
      <c r="BL169" s="407">
        <v>1</v>
      </c>
    </row>
    <row r="170" spans="3:64" x14ac:dyDescent="0.2">
      <c r="C170" s="404" t="s">
        <v>396</v>
      </c>
      <c r="D170" s="407">
        <v>1</v>
      </c>
      <c r="E170" s="407">
        <v>1</v>
      </c>
      <c r="F170" s="407">
        <v>1</v>
      </c>
      <c r="G170" s="407">
        <v>1</v>
      </c>
      <c r="H170" s="407">
        <v>1</v>
      </c>
      <c r="I170" s="407">
        <v>1</v>
      </c>
      <c r="J170" s="407">
        <v>1</v>
      </c>
      <c r="K170" s="407">
        <v>1</v>
      </c>
      <c r="L170" s="407">
        <v>1</v>
      </c>
      <c r="M170" s="407">
        <v>1</v>
      </c>
      <c r="N170" s="407">
        <v>1</v>
      </c>
      <c r="O170" s="407">
        <v>1</v>
      </c>
      <c r="P170" s="407">
        <v>1</v>
      </c>
      <c r="Q170" s="413">
        <v>1</v>
      </c>
      <c r="R170" s="407">
        <v>1</v>
      </c>
      <c r="S170" s="407">
        <v>1</v>
      </c>
      <c r="T170" s="407">
        <v>1</v>
      </c>
      <c r="U170" s="407">
        <v>1</v>
      </c>
      <c r="V170" s="407">
        <v>1</v>
      </c>
      <c r="W170" s="407">
        <v>1</v>
      </c>
      <c r="X170" s="407">
        <v>1</v>
      </c>
      <c r="Y170" s="407">
        <v>1</v>
      </c>
      <c r="Z170" s="407">
        <v>1</v>
      </c>
      <c r="AA170" s="407">
        <v>1</v>
      </c>
      <c r="AB170" s="407">
        <v>1</v>
      </c>
      <c r="AC170" s="407">
        <v>1</v>
      </c>
      <c r="AD170" s="407">
        <v>1</v>
      </c>
      <c r="AE170" s="38">
        <f>'User Add-in Location'!B176</f>
        <v>0</v>
      </c>
      <c r="AF170" s="38">
        <f>'User Add-in Location'!C176</f>
        <v>0</v>
      </c>
      <c r="AG170" s="407">
        <v>1</v>
      </c>
      <c r="AH170" s="407">
        <v>1</v>
      </c>
      <c r="AI170" s="407">
        <v>1</v>
      </c>
      <c r="AJ170" s="407">
        <v>1</v>
      </c>
      <c r="AK170" s="407">
        <v>1</v>
      </c>
      <c r="AL170" s="407">
        <v>1</v>
      </c>
      <c r="AM170" s="409">
        <v>1</v>
      </c>
      <c r="AN170" s="409">
        <v>1</v>
      </c>
      <c r="AO170" s="409">
        <v>1</v>
      </c>
      <c r="AP170" s="409">
        <v>1</v>
      </c>
      <c r="AQ170" s="409">
        <v>1</v>
      </c>
      <c r="AR170" s="409">
        <v>1</v>
      </c>
      <c r="AS170" s="409">
        <v>1</v>
      </c>
      <c r="AT170" s="409">
        <v>1</v>
      </c>
      <c r="AU170" s="409">
        <v>1</v>
      </c>
      <c r="AV170" s="409">
        <v>1</v>
      </c>
      <c r="AW170" s="409">
        <v>1</v>
      </c>
      <c r="AX170" s="409">
        <v>1</v>
      </c>
      <c r="AY170" s="409">
        <v>1</v>
      </c>
      <c r="AZ170" s="409">
        <v>1</v>
      </c>
      <c r="BA170" s="409">
        <v>1</v>
      </c>
      <c r="BB170" s="409">
        <v>1</v>
      </c>
      <c r="BC170" s="409">
        <v>1</v>
      </c>
      <c r="BD170" s="409">
        <v>1</v>
      </c>
      <c r="BE170" s="409">
        <v>1</v>
      </c>
      <c r="BF170" s="407">
        <v>1</v>
      </c>
      <c r="BG170" s="407">
        <v>1</v>
      </c>
      <c r="BH170" s="407">
        <v>1</v>
      </c>
      <c r="BI170" s="407">
        <v>1</v>
      </c>
      <c r="BJ170" s="407">
        <v>1</v>
      </c>
      <c r="BK170" s="407">
        <v>1</v>
      </c>
      <c r="BL170" s="407">
        <v>1</v>
      </c>
    </row>
    <row r="171" spans="3:64" x14ac:dyDescent="0.2">
      <c r="C171" s="404" t="s">
        <v>397</v>
      </c>
      <c r="D171" s="407">
        <v>1</v>
      </c>
      <c r="E171" s="407">
        <v>1</v>
      </c>
      <c r="F171" s="407">
        <v>1</v>
      </c>
      <c r="G171" s="407">
        <v>1</v>
      </c>
      <c r="H171" s="407">
        <v>1</v>
      </c>
      <c r="I171" s="407">
        <v>1</v>
      </c>
      <c r="J171" s="407">
        <v>1</v>
      </c>
      <c r="K171" s="407">
        <v>1</v>
      </c>
      <c r="L171" s="407">
        <v>1</v>
      </c>
      <c r="M171" s="407">
        <v>1</v>
      </c>
      <c r="N171" s="407">
        <v>1</v>
      </c>
      <c r="O171" s="407">
        <v>1</v>
      </c>
      <c r="P171" s="407">
        <v>1</v>
      </c>
      <c r="Q171" s="413">
        <v>1</v>
      </c>
      <c r="R171" s="407">
        <v>1</v>
      </c>
      <c r="S171" s="407">
        <v>1</v>
      </c>
      <c r="T171" s="407">
        <v>1</v>
      </c>
      <c r="U171" s="407">
        <v>1</v>
      </c>
      <c r="V171" s="407">
        <v>1</v>
      </c>
      <c r="W171" s="407">
        <v>1</v>
      </c>
      <c r="X171" s="407">
        <v>1</v>
      </c>
      <c r="Y171" s="407">
        <v>1</v>
      </c>
      <c r="Z171" s="407">
        <v>1</v>
      </c>
      <c r="AA171" s="407">
        <v>1</v>
      </c>
      <c r="AB171" s="407">
        <v>1</v>
      </c>
      <c r="AC171" s="407">
        <v>1</v>
      </c>
      <c r="AD171" s="407">
        <v>1</v>
      </c>
      <c r="AE171" s="38">
        <f>'User Add-in Location'!B177</f>
        <v>0</v>
      </c>
      <c r="AF171" s="38">
        <f>'User Add-in Location'!C177</f>
        <v>0</v>
      </c>
      <c r="AG171" s="407">
        <v>1</v>
      </c>
      <c r="AH171" s="407">
        <v>1</v>
      </c>
      <c r="AI171" s="407">
        <v>1</v>
      </c>
      <c r="AJ171" s="407">
        <v>1</v>
      </c>
      <c r="AK171" s="407">
        <v>1</v>
      </c>
      <c r="AL171" s="407">
        <v>1</v>
      </c>
      <c r="AM171" s="409">
        <v>1</v>
      </c>
      <c r="AN171" s="409">
        <v>1</v>
      </c>
      <c r="AO171" s="409">
        <v>1</v>
      </c>
      <c r="AP171" s="409">
        <v>1</v>
      </c>
      <c r="AQ171" s="409">
        <v>1</v>
      </c>
      <c r="AR171" s="409">
        <v>1</v>
      </c>
      <c r="AS171" s="409">
        <v>1</v>
      </c>
      <c r="AT171" s="409">
        <v>1</v>
      </c>
      <c r="AU171" s="409">
        <v>1</v>
      </c>
      <c r="AV171" s="409">
        <v>1</v>
      </c>
      <c r="AW171" s="409">
        <v>1</v>
      </c>
      <c r="AX171" s="409">
        <v>1</v>
      </c>
      <c r="AY171" s="409">
        <v>1</v>
      </c>
      <c r="AZ171" s="409">
        <v>1</v>
      </c>
      <c r="BA171" s="409">
        <v>1</v>
      </c>
      <c r="BB171" s="409">
        <v>1</v>
      </c>
      <c r="BC171" s="409">
        <v>1</v>
      </c>
      <c r="BD171" s="409">
        <v>1</v>
      </c>
      <c r="BE171" s="409">
        <v>1</v>
      </c>
      <c r="BF171" s="407">
        <v>1</v>
      </c>
      <c r="BG171" s="407">
        <v>1</v>
      </c>
      <c r="BH171" s="407">
        <v>1</v>
      </c>
      <c r="BI171" s="407">
        <v>1</v>
      </c>
      <c r="BJ171" s="407">
        <v>1</v>
      </c>
      <c r="BK171" s="407">
        <v>1</v>
      </c>
      <c r="BL171" s="407">
        <v>1</v>
      </c>
    </row>
    <row r="172" spans="3:64" x14ac:dyDescent="0.2">
      <c r="C172" s="404" t="s">
        <v>398</v>
      </c>
      <c r="D172" s="407">
        <v>1</v>
      </c>
      <c r="E172" s="407">
        <v>1</v>
      </c>
      <c r="F172" s="407">
        <v>1</v>
      </c>
      <c r="G172" s="407">
        <v>1</v>
      </c>
      <c r="H172" s="407">
        <v>1</v>
      </c>
      <c r="I172" s="407">
        <v>1</v>
      </c>
      <c r="J172" s="407">
        <v>1</v>
      </c>
      <c r="K172" s="407">
        <v>1</v>
      </c>
      <c r="L172" s="407">
        <v>1</v>
      </c>
      <c r="M172" s="407">
        <v>1</v>
      </c>
      <c r="N172" s="407">
        <v>1</v>
      </c>
      <c r="O172" s="407">
        <v>1</v>
      </c>
      <c r="P172" s="407">
        <v>1</v>
      </c>
      <c r="Q172" s="413">
        <v>1</v>
      </c>
      <c r="R172" s="407">
        <v>1</v>
      </c>
      <c r="S172" s="407">
        <v>1</v>
      </c>
      <c r="T172" s="407">
        <v>1</v>
      </c>
      <c r="U172" s="407">
        <v>1</v>
      </c>
      <c r="V172" s="407">
        <v>1</v>
      </c>
      <c r="W172" s="407">
        <v>1</v>
      </c>
      <c r="X172" s="407">
        <v>1</v>
      </c>
      <c r="Y172" s="407">
        <v>1</v>
      </c>
      <c r="Z172" s="407">
        <v>1</v>
      </c>
      <c r="AA172" s="407">
        <v>1</v>
      </c>
      <c r="AB172" s="407">
        <v>1</v>
      </c>
      <c r="AC172" s="407">
        <v>1</v>
      </c>
      <c r="AD172" s="407">
        <v>1</v>
      </c>
      <c r="AE172" s="38">
        <f>'User Add-in Location'!B178</f>
        <v>0</v>
      </c>
      <c r="AF172" s="38">
        <f>'User Add-in Location'!C178</f>
        <v>0</v>
      </c>
      <c r="AG172" s="407">
        <v>1</v>
      </c>
      <c r="AH172" s="407">
        <v>1</v>
      </c>
      <c r="AI172" s="407">
        <v>1</v>
      </c>
      <c r="AJ172" s="407">
        <v>1</v>
      </c>
      <c r="AK172" s="407">
        <v>1</v>
      </c>
      <c r="AL172" s="407">
        <v>1</v>
      </c>
      <c r="AM172" s="409">
        <v>1</v>
      </c>
      <c r="AN172" s="409">
        <v>1</v>
      </c>
      <c r="AO172" s="409">
        <v>1</v>
      </c>
      <c r="AP172" s="409">
        <v>1</v>
      </c>
      <c r="AQ172" s="409">
        <v>1</v>
      </c>
      <c r="AR172" s="409">
        <v>1</v>
      </c>
      <c r="AS172" s="409">
        <v>1</v>
      </c>
      <c r="AT172" s="409">
        <v>1</v>
      </c>
      <c r="AU172" s="409">
        <v>1</v>
      </c>
      <c r="AV172" s="409">
        <v>1</v>
      </c>
      <c r="AW172" s="409">
        <v>1</v>
      </c>
      <c r="AX172" s="409">
        <v>1</v>
      </c>
      <c r="AY172" s="409">
        <v>1</v>
      </c>
      <c r="AZ172" s="409">
        <v>1</v>
      </c>
      <c r="BA172" s="409">
        <v>1</v>
      </c>
      <c r="BB172" s="409">
        <v>1</v>
      </c>
      <c r="BC172" s="409">
        <v>1</v>
      </c>
      <c r="BD172" s="409">
        <v>1</v>
      </c>
      <c r="BE172" s="409">
        <v>1</v>
      </c>
      <c r="BF172" s="407">
        <v>1</v>
      </c>
      <c r="BG172" s="407">
        <v>1</v>
      </c>
      <c r="BH172" s="407">
        <v>1</v>
      </c>
      <c r="BI172" s="407">
        <v>1</v>
      </c>
      <c r="BJ172" s="407">
        <v>1</v>
      </c>
      <c r="BK172" s="407">
        <v>1</v>
      </c>
      <c r="BL172" s="407">
        <v>1</v>
      </c>
    </row>
    <row r="173" spans="3:64" x14ac:dyDescent="0.2">
      <c r="C173" s="404" t="s">
        <v>399</v>
      </c>
      <c r="D173" s="407">
        <v>1</v>
      </c>
      <c r="E173" s="407">
        <v>1</v>
      </c>
      <c r="F173" s="407">
        <v>1</v>
      </c>
      <c r="G173" s="407">
        <v>1</v>
      </c>
      <c r="H173" s="407">
        <v>1</v>
      </c>
      <c r="I173" s="407">
        <v>1</v>
      </c>
      <c r="J173" s="407">
        <v>1</v>
      </c>
      <c r="K173" s="407">
        <v>1</v>
      </c>
      <c r="L173" s="407">
        <v>1</v>
      </c>
      <c r="M173" s="407">
        <v>1</v>
      </c>
      <c r="N173" s="407">
        <v>1</v>
      </c>
      <c r="O173" s="407">
        <v>1</v>
      </c>
      <c r="P173" s="407">
        <v>1</v>
      </c>
      <c r="Q173" s="413">
        <v>1</v>
      </c>
      <c r="R173" s="407">
        <v>1</v>
      </c>
      <c r="S173" s="407">
        <v>1</v>
      </c>
      <c r="T173" s="407">
        <v>1</v>
      </c>
      <c r="U173" s="407">
        <v>1</v>
      </c>
      <c r="V173" s="407">
        <v>1</v>
      </c>
      <c r="W173" s="407">
        <v>1</v>
      </c>
      <c r="X173" s="407">
        <v>1</v>
      </c>
      <c r="Y173" s="407">
        <v>1</v>
      </c>
      <c r="Z173" s="407">
        <v>1</v>
      </c>
      <c r="AA173" s="407">
        <v>1</v>
      </c>
      <c r="AB173" s="407">
        <v>1</v>
      </c>
      <c r="AC173" s="407">
        <v>1</v>
      </c>
      <c r="AD173" s="407">
        <v>1</v>
      </c>
      <c r="AE173" s="38">
        <f>'User Add-in Location'!B179</f>
        <v>0</v>
      </c>
      <c r="AF173" s="38">
        <f>'User Add-in Location'!C179</f>
        <v>0</v>
      </c>
      <c r="AG173" s="407">
        <v>1</v>
      </c>
      <c r="AH173" s="407">
        <v>1</v>
      </c>
      <c r="AI173" s="407">
        <v>1</v>
      </c>
      <c r="AJ173" s="407">
        <v>1</v>
      </c>
      <c r="AK173" s="407">
        <v>1</v>
      </c>
      <c r="AL173" s="407">
        <v>1</v>
      </c>
      <c r="AM173" s="409">
        <v>1</v>
      </c>
      <c r="AN173" s="409">
        <v>1</v>
      </c>
      <c r="AO173" s="409">
        <v>1</v>
      </c>
      <c r="AP173" s="409">
        <v>1</v>
      </c>
      <c r="AQ173" s="409">
        <v>1</v>
      </c>
      <c r="AR173" s="409">
        <v>1</v>
      </c>
      <c r="AS173" s="409">
        <v>1</v>
      </c>
      <c r="AT173" s="409">
        <v>1</v>
      </c>
      <c r="AU173" s="409">
        <v>1</v>
      </c>
      <c r="AV173" s="409">
        <v>1</v>
      </c>
      <c r="AW173" s="409">
        <v>1</v>
      </c>
      <c r="AX173" s="409">
        <v>1</v>
      </c>
      <c r="AY173" s="409">
        <v>1</v>
      </c>
      <c r="AZ173" s="409">
        <v>1</v>
      </c>
      <c r="BA173" s="409">
        <v>1</v>
      </c>
      <c r="BB173" s="409">
        <v>1</v>
      </c>
      <c r="BC173" s="409">
        <v>1</v>
      </c>
      <c r="BD173" s="409">
        <v>1</v>
      </c>
      <c r="BE173" s="409">
        <v>1</v>
      </c>
      <c r="BF173" s="407">
        <v>1</v>
      </c>
      <c r="BG173" s="407">
        <v>1</v>
      </c>
      <c r="BH173" s="407">
        <v>1</v>
      </c>
      <c r="BI173" s="407">
        <v>1</v>
      </c>
      <c r="BJ173" s="407">
        <v>1</v>
      </c>
      <c r="BK173" s="407">
        <v>1</v>
      </c>
      <c r="BL173" s="407">
        <v>1</v>
      </c>
    </row>
    <row r="174" spans="3:64" x14ac:dyDescent="0.2">
      <c r="C174" s="404" t="s">
        <v>400</v>
      </c>
      <c r="D174" s="407">
        <v>1</v>
      </c>
      <c r="E174" s="407">
        <v>1</v>
      </c>
      <c r="F174" s="407">
        <v>1</v>
      </c>
      <c r="G174" s="407">
        <v>1</v>
      </c>
      <c r="H174" s="407">
        <v>1</v>
      </c>
      <c r="I174" s="407">
        <v>1</v>
      </c>
      <c r="J174" s="407">
        <v>1</v>
      </c>
      <c r="K174" s="407">
        <v>1</v>
      </c>
      <c r="L174" s="407">
        <v>1</v>
      </c>
      <c r="M174" s="407">
        <v>1</v>
      </c>
      <c r="N174" s="407">
        <v>1</v>
      </c>
      <c r="O174" s="407">
        <v>1</v>
      </c>
      <c r="P174" s="407">
        <v>1</v>
      </c>
      <c r="Q174" s="413">
        <v>1</v>
      </c>
      <c r="R174" s="407">
        <v>1</v>
      </c>
      <c r="S174" s="407">
        <v>1</v>
      </c>
      <c r="T174" s="407">
        <v>1</v>
      </c>
      <c r="U174" s="407">
        <v>1</v>
      </c>
      <c r="V174" s="407">
        <v>1</v>
      </c>
      <c r="W174" s="407">
        <v>1</v>
      </c>
      <c r="X174" s="407">
        <v>1</v>
      </c>
      <c r="Y174" s="407">
        <v>1</v>
      </c>
      <c r="Z174" s="407">
        <v>1</v>
      </c>
      <c r="AA174" s="407">
        <v>1</v>
      </c>
      <c r="AB174" s="407">
        <v>1</v>
      </c>
      <c r="AC174" s="407">
        <v>1</v>
      </c>
      <c r="AD174" s="407">
        <v>1</v>
      </c>
      <c r="AE174" s="38">
        <f>'User Add-in Location'!B180</f>
        <v>0</v>
      </c>
      <c r="AF174" s="38">
        <f>'User Add-in Location'!C180</f>
        <v>0</v>
      </c>
      <c r="AG174" s="407">
        <v>1</v>
      </c>
      <c r="AH174" s="407">
        <v>1</v>
      </c>
      <c r="AI174" s="407">
        <v>1</v>
      </c>
      <c r="AJ174" s="407">
        <v>1</v>
      </c>
      <c r="AK174" s="407">
        <v>1</v>
      </c>
      <c r="AL174" s="407">
        <v>1</v>
      </c>
      <c r="AM174" s="409">
        <v>1</v>
      </c>
      <c r="AN174" s="409">
        <v>1</v>
      </c>
      <c r="AO174" s="409">
        <v>1</v>
      </c>
      <c r="AP174" s="409">
        <v>1</v>
      </c>
      <c r="AQ174" s="409">
        <v>1</v>
      </c>
      <c r="AR174" s="409">
        <v>1</v>
      </c>
      <c r="AS174" s="409">
        <v>1</v>
      </c>
      <c r="AT174" s="409">
        <v>1</v>
      </c>
      <c r="AU174" s="409">
        <v>1</v>
      </c>
      <c r="AV174" s="409">
        <v>1</v>
      </c>
      <c r="AW174" s="409">
        <v>1</v>
      </c>
      <c r="AX174" s="409">
        <v>1</v>
      </c>
      <c r="AY174" s="409">
        <v>1</v>
      </c>
      <c r="AZ174" s="409">
        <v>1</v>
      </c>
      <c r="BA174" s="409">
        <v>1</v>
      </c>
      <c r="BB174" s="409">
        <v>1</v>
      </c>
      <c r="BC174" s="409">
        <v>1</v>
      </c>
      <c r="BD174" s="409">
        <v>1</v>
      </c>
      <c r="BE174" s="409">
        <v>1</v>
      </c>
      <c r="BF174" s="407">
        <v>1</v>
      </c>
      <c r="BG174" s="407">
        <v>1</v>
      </c>
      <c r="BH174" s="407">
        <v>1</v>
      </c>
      <c r="BI174" s="407">
        <v>1</v>
      </c>
      <c r="BJ174" s="407">
        <v>1</v>
      </c>
      <c r="BK174" s="407">
        <v>1</v>
      </c>
      <c r="BL174" s="407">
        <v>1</v>
      </c>
    </row>
    <row r="175" spans="3:64" x14ac:dyDescent="0.2">
      <c r="C175" s="404" t="s">
        <v>58</v>
      </c>
      <c r="D175" s="407">
        <v>1</v>
      </c>
      <c r="E175" s="407">
        <v>1</v>
      </c>
      <c r="F175" s="407">
        <v>1</v>
      </c>
      <c r="G175" s="407">
        <v>1</v>
      </c>
      <c r="H175" s="407">
        <v>1</v>
      </c>
      <c r="I175" s="407">
        <v>1</v>
      </c>
      <c r="J175" s="407">
        <v>1</v>
      </c>
      <c r="K175" s="407">
        <v>1</v>
      </c>
      <c r="L175" s="407">
        <v>1</v>
      </c>
      <c r="M175" s="407">
        <v>1</v>
      </c>
      <c r="N175" s="407">
        <v>1</v>
      </c>
      <c r="O175" s="407">
        <v>1</v>
      </c>
      <c r="P175" s="407">
        <v>1</v>
      </c>
      <c r="Q175" s="413">
        <v>1</v>
      </c>
      <c r="R175" s="407">
        <v>1</v>
      </c>
      <c r="S175" s="407">
        <v>1</v>
      </c>
      <c r="T175" s="407">
        <v>1</v>
      </c>
      <c r="U175" s="407">
        <v>1</v>
      </c>
      <c r="V175" s="407">
        <v>1</v>
      </c>
      <c r="W175" s="407">
        <v>1</v>
      </c>
      <c r="X175" s="407">
        <v>1</v>
      </c>
      <c r="Y175" s="407">
        <v>1</v>
      </c>
      <c r="Z175" s="407">
        <v>1</v>
      </c>
      <c r="AA175" s="407">
        <v>1</v>
      </c>
      <c r="AB175" s="407">
        <v>1</v>
      </c>
      <c r="AC175" s="407">
        <v>1</v>
      </c>
      <c r="AD175" s="407">
        <v>1</v>
      </c>
      <c r="AE175" s="38">
        <f>'User Add-in Location'!B181</f>
        <v>0</v>
      </c>
      <c r="AF175" s="38">
        <f>'User Add-in Location'!C181</f>
        <v>0</v>
      </c>
      <c r="AG175" s="407">
        <v>1</v>
      </c>
      <c r="AH175" s="407">
        <v>1</v>
      </c>
      <c r="AI175" s="407">
        <v>1</v>
      </c>
      <c r="AJ175" s="407">
        <v>1</v>
      </c>
      <c r="AK175" s="407">
        <v>1</v>
      </c>
      <c r="AL175" s="407">
        <v>1</v>
      </c>
      <c r="AM175" s="409">
        <v>1</v>
      </c>
      <c r="AN175" s="409">
        <v>1</v>
      </c>
      <c r="AO175" s="409">
        <v>1</v>
      </c>
      <c r="AP175" s="409">
        <v>1</v>
      </c>
      <c r="AQ175" s="409">
        <v>1</v>
      </c>
      <c r="AR175" s="409">
        <v>1</v>
      </c>
      <c r="AS175" s="409">
        <v>1</v>
      </c>
      <c r="AT175" s="409">
        <v>1</v>
      </c>
      <c r="AU175" s="409">
        <v>1</v>
      </c>
      <c r="AV175" s="409">
        <v>1</v>
      </c>
      <c r="AW175" s="409">
        <v>1</v>
      </c>
      <c r="AX175" s="409">
        <v>1</v>
      </c>
      <c r="AY175" s="409">
        <v>1</v>
      </c>
      <c r="AZ175" s="409">
        <v>1</v>
      </c>
      <c r="BA175" s="409">
        <v>1</v>
      </c>
      <c r="BB175" s="409">
        <v>1</v>
      </c>
      <c r="BC175" s="409">
        <v>1</v>
      </c>
      <c r="BD175" s="409">
        <v>1</v>
      </c>
      <c r="BE175" s="409">
        <v>1</v>
      </c>
      <c r="BF175" s="407">
        <v>1</v>
      </c>
      <c r="BG175" s="407">
        <v>1</v>
      </c>
      <c r="BH175" s="407">
        <v>1</v>
      </c>
      <c r="BI175" s="407">
        <v>1</v>
      </c>
      <c r="BJ175" s="407">
        <v>1</v>
      </c>
      <c r="BK175" s="407">
        <v>1</v>
      </c>
      <c r="BL175" s="407">
        <v>1</v>
      </c>
    </row>
    <row r="176" spans="3:64" x14ac:dyDescent="0.2">
      <c r="C176" s="404" t="s">
        <v>401</v>
      </c>
      <c r="D176" s="407">
        <v>1</v>
      </c>
      <c r="E176" s="407">
        <v>1</v>
      </c>
      <c r="F176" s="407">
        <v>1</v>
      </c>
      <c r="G176" s="407">
        <v>1</v>
      </c>
      <c r="H176" s="407">
        <v>1</v>
      </c>
      <c r="I176" s="407">
        <v>1</v>
      </c>
      <c r="J176" s="407">
        <v>1</v>
      </c>
      <c r="K176" s="407">
        <v>1</v>
      </c>
      <c r="L176" s="407">
        <v>1</v>
      </c>
      <c r="M176" s="407">
        <v>1</v>
      </c>
      <c r="N176" s="407">
        <v>1</v>
      </c>
      <c r="O176" s="407">
        <v>1</v>
      </c>
      <c r="P176" s="407">
        <v>1</v>
      </c>
      <c r="Q176" s="413">
        <v>1</v>
      </c>
      <c r="R176" s="407">
        <v>1</v>
      </c>
      <c r="S176" s="407">
        <v>1</v>
      </c>
      <c r="T176" s="407">
        <v>1</v>
      </c>
      <c r="U176" s="407">
        <v>1</v>
      </c>
      <c r="V176" s="407">
        <v>1</v>
      </c>
      <c r="W176" s="407">
        <v>1</v>
      </c>
      <c r="X176" s="407">
        <v>1</v>
      </c>
      <c r="Y176" s="407">
        <v>1</v>
      </c>
      <c r="Z176" s="407">
        <v>1</v>
      </c>
      <c r="AA176" s="407">
        <v>1</v>
      </c>
      <c r="AB176" s="407">
        <v>1</v>
      </c>
      <c r="AC176" s="407">
        <v>1</v>
      </c>
      <c r="AD176" s="407">
        <v>1</v>
      </c>
      <c r="AE176" s="38">
        <f>'User Add-in Location'!B182</f>
        <v>0</v>
      </c>
      <c r="AF176" s="38">
        <f>'User Add-in Location'!C182</f>
        <v>0</v>
      </c>
      <c r="AG176" s="407">
        <v>1</v>
      </c>
      <c r="AH176" s="407">
        <v>1</v>
      </c>
      <c r="AI176" s="407">
        <v>1</v>
      </c>
      <c r="AJ176" s="407">
        <v>1</v>
      </c>
      <c r="AK176" s="407">
        <v>1</v>
      </c>
      <c r="AL176" s="407">
        <v>1</v>
      </c>
      <c r="AM176" s="409">
        <v>1</v>
      </c>
      <c r="AN176" s="409">
        <v>1</v>
      </c>
      <c r="AO176" s="409">
        <v>1</v>
      </c>
      <c r="AP176" s="409">
        <v>1</v>
      </c>
      <c r="AQ176" s="409">
        <v>1</v>
      </c>
      <c r="AR176" s="409">
        <v>1</v>
      </c>
      <c r="AS176" s="409">
        <v>1</v>
      </c>
      <c r="AT176" s="409">
        <v>1</v>
      </c>
      <c r="AU176" s="409">
        <v>1</v>
      </c>
      <c r="AV176" s="409">
        <v>1</v>
      </c>
      <c r="AW176" s="409">
        <v>1</v>
      </c>
      <c r="AX176" s="409">
        <v>1</v>
      </c>
      <c r="AY176" s="409">
        <v>1</v>
      </c>
      <c r="AZ176" s="409">
        <v>1</v>
      </c>
      <c r="BA176" s="409">
        <v>1</v>
      </c>
      <c r="BB176" s="409">
        <v>1</v>
      </c>
      <c r="BC176" s="409">
        <v>1</v>
      </c>
      <c r="BD176" s="409">
        <v>1</v>
      </c>
      <c r="BE176" s="409">
        <v>1</v>
      </c>
      <c r="BF176" s="407">
        <v>1</v>
      </c>
      <c r="BG176" s="407">
        <v>1</v>
      </c>
      <c r="BH176" s="407">
        <v>1</v>
      </c>
      <c r="BI176" s="407">
        <v>1</v>
      </c>
      <c r="BJ176" s="407">
        <v>1</v>
      </c>
      <c r="BK176" s="407">
        <v>1</v>
      </c>
      <c r="BL176" s="407">
        <v>1</v>
      </c>
    </row>
    <row r="177" spans="3:64" ht="15" x14ac:dyDescent="0.2">
      <c r="C177" s="6"/>
      <c r="D177" s="411"/>
      <c r="E177" s="411"/>
      <c r="F177" s="411"/>
      <c r="G177" s="411"/>
      <c r="H177" s="411"/>
      <c r="I177" s="411"/>
      <c r="J177" s="411"/>
      <c r="K177" s="411"/>
      <c r="L177" s="411"/>
      <c r="M177" s="411"/>
      <c r="N177" s="411"/>
      <c r="O177" s="411"/>
      <c r="P177" s="411"/>
      <c r="Q177" s="411"/>
      <c r="R177" s="411"/>
      <c r="S177" s="411"/>
      <c r="T177" s="411"/>
      <c r="U177" s="411"/>
      <c r="V177" s="411"/>
      <c r="W177" s="411"/>
      <c r="X177" s="411"/>
      <c r="Y177" s="411"/>
      <c r="Z177" s="411"/>
      <c r="AA177" s="411"/>
      <c r="AB177" s="411"/>
      <c r="AC177" s="411"/>
      <c r="AD177" s="411"/>
      <c r="AE177" s="38"/>
      <c r="AF177" s="38"/>
      <c r="AG177" s="410"/>
      <c r="AH177" s="410"/>
      <c r="AI177" s="410"/>
      <c r="AJ177" s="410"/>
      <c r="AK177" s="410"/>
      <c r="AL177" s="410"/>
      <c r="AM177" s="410"/>
      <c r="AN177" s="410"/>
      <c r="AO177" s="410"/>
      <c r="AP177" s="410"/>
      <c r="AQ177" s="410"/>
      <c r="AR177" s="410"/>
      <c r="AS177" s="412"/>
      <c r="AT177" s="412"/>
      <c r="AU177" s="412"/>
      <c r="AV177" s="412"/>
      <c r="AW177" s="412"/>
      <c r="AX177" s="412"/>
      <c r="AY177" s="412"/>
      <c r="AZ177" s="412"/>
      <c r="BA177" s="410"/>
      <c r="BB177" s="410"/>
      <c r="BC177" s="410"/>
      <c r="BD177" s="410"/>
      <c r="BE177" s="410"/>
      <c r="BF177" s="410"/>
      <c r="BG177" s="410"/>
      <c r="BH177" s="410"/>
      <c r="BI177" s="410"/>
      <c r="BJ177" s="410"/>
      <c r="BK177" s="410"/>
      <c r="BL177" s="410"/>
    </row>
    <row r="178" spans="3:64" ht="15.75" customHeight="1" x14ac:dyDescent="0.2">
      <c r="C178" s="113" t="s">
        <v>180</v>
      </c>
      <c r="D178" s="411"/>
      <c r="E178" s="411"/>
      <c r="F178" s="411"/>
      <c r="G178" s="411"/>
      <c r="H178" s="411"/>
      <c r="I178" s="411"/>
      <c r="J178" s="411"/>
      <c r="K178" s="411"/>
      <c r="L178" s="411"/>
      <c r="M178" s="411"/>
      <c r="N178" s="411"/>
      <c r="O178" s="411"/>
      <c r="P178" s="411"/>
      <c r="Q178" s="411"/>
      <c r="R178" s="411"/>
      <c r="S178" s="411"/>
      <c r="T178" s="411"/>
      <c r="U178" s="411"/>
      <c r="V178" s="411"/>
      <c r="W178" s="411"/>
      <c r="X178" s="411"/>
      <c r="Y178" s="411"/>
      <c r="Z178" s="411"/>
      <c r="AA178" s="411"/>
      <c r="AB178" s="411"/>
      <c r="AC178" s="411"/>
      <c r="AD178" s="411"/>
      <c r="AE178" s="38"/>
      <c r="AF178" s="38"/>
      <c r="AG178" s="410"/>
      <c r="AH178" s="410"/>
      <c r="AI178" s="410"/>
      <c r="AJ178" s="410"/>
      <c r="AK178" s="410"/>
      <c r="AL178" s="410"/>
      <c r="AM178" s="410"/>
      <c r="AN178" s="410"/>
      <c r="AO178" s="410"/>
      <c r="AP178" s="410"/>
      <c r="AQ178" s="410"/>
      <c r="AR178" s="410"/>
      <c r="AS178" s="412"/>
      <c r="AT178" s="412"/>
      <c r="AU178" s="412"/>
      <c r="AV178" s="412"/>
      <c r="AW178" s="412"/>
      <c r="AX178" s="412"/>
      <c r="AY178" s="412"/>
      <c r="AZ178" s="412"/>
      <c r="BA178" s="410"/>
      <c r="BB178" s="410"/>
      <c r="BC178" s="410"/>
      <c r="BD178" s="410"/>
      <c r="BE178" s="410"/>
      <c r="BF178" s="410"/>
      <c r="BG178" s="410"/>
      <c r="BH178" s="410"/>
      <c r="BI178" s="410"/>
      <c r="BJ178" s="410"/>
      <c r="BK178" s="410"/>
      <c r="BL178" s="410"/>
    </row>
    <row r="179" spans="3:64" ht="14.25" customHeight="1" x14ac:dyDescent="0.2">
      <c r="C179" s="114" t="s">
        <v>188</v>
      </c>
      <c r="D179" s="412" t="s">
        <v>60</v>
      </c>
      <c r="E179" s="412" t="s">
        <v>61</v>
      </c>
      <c r="F179" s="412" t="s">
        <v>62</v>
      </c>
      <c r="G179" s="412" t="s">
        <v>63</v>
      </c>
      <c r="H179" s="412" t="s">
        <v>64</v>
      </c>
      <c r="I179" s="412" t="s">
        <v>65</v>
      </c>
      <c r="J179" s="412" t="s">
        <v>66</v>
      </c>
      <c r="K179" s="412" t="s">
        <v>67</v>
      </c>
      <c r="L179" s="412" t="s">
        <v>68</v>
      </c>
      <c r="M179" s="412" t="s">
        <v>69</v>
      </c>
      <c r="N179" s="412" t="s">
        <v>70</v>
      </c>
      <c r="O179" s="412" t="s">
        <v>71</v>
      </c>
      <c r="P179" s="412" t="s">
        <v>72</v>
      </c>
      <c r="Q179" s="412" t="s">
        <v>73</v>
      </c>
      <c r="R179" s="412" t="s">
        <v>74</v>
      </c>
      <c r="S179" s="412" t="s">
        <v>75</v>
      </c>
      <c r="T179" s="412" t="s">
        <v>76</v>
      </c>
      <c r="U179" s="412" t="s">
        <v>77</v>
      </c>
      <c r="V179" s="412" t="s">
        <v>78</v>
      </c>
      <c r="W179" s="412" t="s">
        <v>79</v>
      </c>
      <c r="X179" s="412" t="s">
        <v>80</v>
      </c>
      <c r="Y179" s="412" t="s">
        <v>81</v>
      </c>
      <c r="Z179" s="412" t="s">
        <v>82</v>
      </c>
      <c r="AA179" s="412" t="s">
        <v>83</v>
      </c>
      <c r="AB179" s="412" t="s">
        <v>84</v>
      </c>
      <c r="AC179" s="412" t="s">
        <v>85</v>
      </c>
      <c r="AD179" s="412" t="s">
        <v>86</v>
      </c>
      <c r="AE179" s="38" t="s">
        <v>208</v>
      </c>
      <c r="AF179" s="38" t="s">
        <v>207</v>
      </c>
      <c r="AG179" s="410" t="s">
        <v>87</v>
      </c>
      <c r="AH179" s="410" t="s">
        <v>88</v>
      </c>
      <c r="AI179" s="410" t="s">
        <v>89</v>
      </c>
      <c r="AJ179" s="410" t="s">
        <v>90</v>
      </c>
      <c r="AK179" s="410" t="s">
        <v>91</v>
      </c>
      <c r="AL179" s="410" t="s">
        <v>92</v>
      </c>
      <c r="AM179" s="410" t="s">
        <v>93</v>
      </c>
      <c r="AN179" s="410" t="s">
        <v>94</v>
      </c>
      <c r="AO179" s="410" t="s">
        <v>95</v>
      </c>
      <c r="AP179" s="410" t="s">
        <v>96</v>
      </c>
      <c r="AQ179" s="410" t="s">
        <v>97</v>
      </c>
      <c r="AR179" s="410" t="s">
        <v>98</v>
      </c>
      <c r="AS179" s="443" t="s">
        <v>451</v>
      </c>
      <c r="AT179" s="443" t="s">
        <v>452</v>
      </c>
      <c r="AU179" s="443" t="s">
        <v>453</v>
      </c>
      <c r="AV179" s="443" t="s">
        <v>454</v>
      </c>
      <c r="AW179" s="443" t="s">
        <v>455</v>
      </c>
      <c r="AX179" s="443" t="s">
        <v>456</v>
      </c>
      <c r="AY179" s="443" t="s">
        <v>457</v>
      </c>
      <c r="AZ179" s="443" t="s">
        <v>458</v>
      </c>
      <c r="BA179" s="410" t="s">
        <v>99</v>
      </c>
      <c r="BB179" s="410" t="s">
        <v>100</v>
      </c>
      <c r="BC179" s="410" t="s">
        <v>101</v>
      </c>
      <c r="BD179" s="410" t="s">
        <v>102</v>
      </c>
      <c r="BE179" s="410" t="s">
        <v>103</v>
      </c>
      <c r="BF179" s="410" t="s">
        <v>104</v>
      </c>
      <c r="BG179" s="410" t="s">
        <v>105</v>
      </c>
      <c r="BH179" s="410" t="s">
        <v>106</v>
      </c>
      <c r="BI179" s="410" t="s">
        <v>107</v>
      </c>
      <c r="BJ179" s="410" t="s">
        <v>108</v>
      </c>
      <c r="BK179" s="410" t="s">
        <v>109</v>
      </c>
      <c r="BL179" s="410" t="s">
        <v>59</v>
      </c>
    </row>
    <row r="180" spans="3:64" x14ac:dyDescent="0.2">
      <c r="C180" s="404" t="s">
        <v>388</v>
      </c>
      <c r="D180" s="407">
        <v>0.37706625461578369</v>
      </c>
      <c r="E180" s="407">
        <v>0.32934081554412842</v>
      </c>
      <c r="F180" s="407">
        <v>0.29382216930389404</v>
      </c>
      <c r="G180" s="407">
        <v>0.42559754848480225</v>
      </c>
      <c r="H180" s="407">
        <v>0.44874274730682373</v>
      </c>
      <c r="I180" s="407">
        <v>0.44507443904876709</v>
      </c>
      <c r="J180" s="407">
        <v>0.15008795261383101</v>
      </c>
      <c r="K180" s="407">
        <v>0.38849222660064697</v>
      </c>
      <c r="L180" s="407">
        <v>0.18592214584350586</v>
      </c>
      <c r="M180" s="407">
        <v>0.27955710887908936</v>
      </c>
      <c r="N180" s="407">
        <v>0.46641683578491211</v>
      </c>
      <c r="O180" s="407">
        <v>0.3155968189239502</v>
      </c>
      <c r="P180" s="407">
        <v>0.42521286010742188</v>
      </c>
      <c r="Q180" s="407">
        <v>0.34317159652709961</v>
      </c>
      <c r="R180" s="407">
        <v>0.23414599895477295</v>
      </c>
      <c r="S180" s="407">
        <v>0.37736678123474121</v>
      </c>
      <c r="T180" s="407">
        <v>0.36726963520050049</v>
      </c>
      <c r="U180" s="407">
        <v>0.29659140110015869</v>
      </c>
      <c r="V180" s="407">
        <v>0.31534171104431152</v>
      </c>
      <c r="W180" s="407">
        <v>0.50009655952453613</v>
      </c>
      <c r="X180" s="407">
        <v>0.29006397724151611</v>
      </c>
      <c r="Y180" s="407">
        <v>0.20725727081298828</v>
      </c>
      <c r="Z180" s="407">
        <v>0.34427773952484131</v>
      </c>
      <c r="AA180" s="407">
        <v>0.41734695434570313</v>
      </c>
      <c r="AB180" s="407">
        <v>0.37536680698394775</v>
      </c>
      <c r="AC180" s="407">
        <v>0.33538377285003662</v>
      </c>
      <c r="AD180" s="407">
        <v>0.3503495454788208</v>
      </c>
      <c r="AE180" s="38">
        <f>'User Add-in Location'!B186</f>
        <v>0</v>
      </c>
      <c r="AF180" s="38">
        <f>'User Add-in Location'!C186</f>
        <v>0</v>
      </c>
      <c r="AG180" s="407">
        <v>0.53038883209228516</v>
      </c>
      <c r="AH180" s="407">
        <v>0.21841633319854736</v>
      </c>
      <c r="AI180" s="407">
        <v>0.24969255924224854</v>
      </c>
      <c r="AJ180" s="407">
        <v>0.196083664894104</v>
      </c>
      <c r="AK180" s="407">
        <v>0.29039859771728516</v>
      </c>
      <c r="AL180" s="407">
        <v>0.34762823581695557</v>
      </c>
      <c r="AM180" s="407">
        <v>0.39650082588195801</v>
      </c>
      <c r="AN180" s="409">
        <v>0.24458611011505127</v>
      </c>
      <c r="AO180" s="409">
        <v>0.29081225395202637</v>
      </c>
      <c r="AP180" s="409">
        <v>0.34125006198883057</v>
      </c>
      <c r="AQ180" s="409">
        <v>0.4964146614074707</v>
      </c>
      <c r="AR180" s="409">
        <v>0.3769758939743042</v>
      </c>
      <c r="AS180" s="409">
        <v>0.38778340816497803</v>
      </c>
      <c r="AT180" s="409">
        <v>0.41787028312683105</v>
      </c>
      <c r="AU180" s="409">
        <v>0.44418227672576904</v>
      </c>
      <c r="AV180" s="409">
        <v>0.50521183013916016</v>
      </c>
      <c r="AW180" s="409">
        <v>0.53682911396026611</v>
      </c>
      <c r="AX180" s="409">
        <v>0.5104377269744873</v>
      </c>
      <c r="AY180" s="409">
        <v>0.56385958194732666</v>
      </c>
      <c r="AZ180" s="409">
        <v>0.44735169410705566</v>
      </c>
      <c r="BA180" s="409">
        <v>0.17556846141815186</v>
      </c>
      <c r="BB180" s="409">
        <v>0.32082796096801758</v>
      </c>
      <c r="BC180" s="409">
        <v>0.3399653434753418</v>
      </c>
      <c r="BD180" s="409">
        <v>0.28461861610412598</v>
      </c>
      <c r="BE180" s="409">
        <v>0.44300282001495361</v>
      </c>
      <c r="BF180" s="407">
        <v>0.31299483776092529</v>
      </c>
      <c r="BG180" s="407">
        <v>0.54159784317016602</v>
      </c>
      <c r="BH180" s="407">
        <v>0.31502664089202881</v>
      </c>
      <c r="BI180" s="407">
        <v>0.37990713119506836</v>
      </c>
      <c r="BJ180" s="407">
        <v>0.27406418323516846</v>
      </c>
      <c r="BK180" s="407">
        <v>0.46952438354492188</v>
      </c>
      <c r="BL180" s="407">
        <v>0.21963679790496826</v>
      </c>
    </row>
    <row r="181" spans="3:64" x14ac:dyDescent="0.2">
      <c r="C181" s="404" t="s">
        <v>124</v>
      </c>
      <c r="D181" s="407">
        <v>0.24190795421600342</v>
      </c>
      <c r="E181" s="407">
        <v>0.29968619346618652</v>
      </c>
      <c r="F181" s="407">
        <v>0.31123244762420654</v>
      </c>
      <c r="G181" s="407">
        <v>0.25720536708831787</v>
      </c>
      <c r="H181" s="407">
        <v>0.38223922252655029</v>
      </c>
      <c r="I181" s="407">
        <v>0.33952069282531738</v>
      </c>
      <c r="J181" s="407">
        <v>0.29806196689605713</v>
      </c>
      <c r="K181" s="407">
        <v>0.24692237377166748</v>
      </c>
      <c r="L181" s="407">
        <v>0.32991409301757813</v>
      </c>
      <c r="M181" s="407">
        <v>0.56802284717559814</v>
      </c>
      <c r="N181" s="407">
        <v>0.36035966873168945</v>
      </c>
      <c r="O181" s="407">
        <v>0.24035108089447021</v>
      </c>
      <c r="P181" s="407">
        <v>0.28502357006072998</v>
      </c>
      <c r="Q181" s="407">
        <v>0.3190000057220459</v>
      </c>
      <c r="R181" s="407">
        <v>0.27451682090759277</v>
      </c>
      <c r="S181" s="407">
        <v>0.29716134071350098</v>
      </c>
      <c r="T181" s="407">
        <v>0.25762784481048584</v>
      </c>
      <c r="U181" s="407">
        <v>0.25228393077850342</v>
      </c>
      <c r="V181" s="407">
        <v>0.31930840015411377</v>
      </c>
      <c r="W181" s="407">
        <v>0.39622461795806885</v>
      </c>
      <c r="X181" s="407">
        <v>0.44826400279998779</v>
      </c>
      <c r="Y181" s="407">
        <v>0.31586611270904541</v>
      </c>
      <c r="Z181" s="407">
        <v>0.32660460472106934</v>
      </c>
      <c r="AA181" s="407">
        <v>0.40831983089447021</v>
      </c>
      <c r="AB181" s="407">
        <v>0.21633636951446533</v>
      </c>
      <c r="AC181" s="407">
        <v>0.37633490562438965</v>
      </c>
      <c r="AD181" s="407">
        <v>0.25812721252441406</v>
      </c>
      <c r="AE181" s="38">
        <f>'User Add-in Location'!B187</f>
        <v>0</v>
      </c>
      <c r="AF181" s="38">
        <f>'User Add-in Location'!C187</f>
        <v>0</v>
      </c>
      <c r="AG181" s="407">
        <v>0.3165205717086792</v>
      </c>
      <c r="AH181" s="407">
        <v>0.27224171161651611</v>
      </c>
      <c r="AI181" s="407">
        <v>0.39557886123657227</v>
      </c>
      <c r="AJ181" s="407">
        <v>0.38103389739990234</v>
      </c>
      <c r="AK181" s="407">
        <v>0.23407602310180664</v>
      </c>
      <c r="AL181" s="407">
        <v>0.29135596752166748</v>
      </c>
      <c r="AM181" s="407">
        <v>0.35113537311553955</v>
      </c>
      <c r="AN181" s="409">
        <v>0.24987709522247314</v>
      </c>
      <c r="AO181" s="409">
        <v>0.3031761646270752</v>
      </c>
      <c r="AP181" s="409">
        <v>0.2595055103302002</v>
      </c>
      <c r="AQ181" s="409">
        <v>0.43537259101867676</v>
      </c>
      <c r="AR181" s="409">
        <v>0.33041846752166748</v>
      </c>
      <c r="AS181" s="409">
        <v>0.34424149990081787</v>
      </c>
      <c r="AT181" s="409">
        <v>0.38625311851501465</v>
      </c>
      <c r="AU181" s="409">
        <v>0.39455306529998779</v>
      </c>
      <c r="AV181" s="409">
        <v>0.41707122325897217</v>
      </c>
      <c r="AW181" s="409">
        <v>0.39880836009979248</v>
      </c>
      <c r="AX181" s="409">
        <v>0.38461637496948242</v>
      </c>
      <c r="AY181" s="409">
        <v>0.37995123863220215</v>
      </c>
      <c r="AZ181" s="409">
        <v>0.38040375709533691</v>
      </c>
      <c r="BA181" s="409">
        <v>0.41606998443603516</v>
      </c>
      <c r="BB181" s="409">
        <v>0.37587070465087891</v>
      </c>
      <c r="BC181" s="409">
        <v>0.31076788902282715</v>
      </c>
      <c r="BD181" s="409">
        <v>0.33832168579101563</v>
      </c>
      <c r="BE181" s="409">
        <v>0.36055433750152588</v>
      </c>
      <c r="BF181" s="407">
        <v>0.33403170108795166</v>
      </c>
      <c r="BG181" s="407">
        <v>0.32042670249938965</v>
      </c>
      <c r="BH181" s="407">
        <v>0.2890617847442627</v>
      </c>
      <c r="BI181" s="407">
        <v>0.46537292003631592</v>
      </c>
      <c r="BJ181" s="407">
        <v>0.23215925693511963</v>
      </c>
      <c r="BK181" s="407">
        <v>0.31400978565216064</v>
      </c>
      <c r="BL181" s="407">
        <v>0.20132267475128174</v>
      </c>
    </row>
    <row r="182" spans="3:64" x14ac:dyDescent="0.2">
      <c r="C182" s="404" t="s">
        <v>56</v>
      </c>
      <c r="D182" s="407">
        <v>0.36403977870941162</v>
      </c>
      <c r="E182" s="407">
        <v>0.28839230537414551</v>
      </c>
      <c r="F182" s="407">
        <v>0.39680814743041992</v>
      </c>
      <c r="G182" s="407">
        <v>0.33094465732574463</v>
      </c>
      <c r="H182" s="407">
        <v>0.54317069053649902</v>
      </c>
      <c r="I182" s="407">
        <v>0.41428029537200928</v>
      </c>
      <c r="J182" s="407">
        <v>0.36757683753967285</v>
      </c>
      <c r="K182" s="407">
        <v>0.33687138557434082</v>
      </c>
      <c r="L182" s="407">
        <v>0.23377382755279541</v>
      </c>
      <c r="M182" s="407">
        <v>0.47371757030487061</v>
      </c>
      <c r="N182" s="407">
        <v>0.42892062664031982</v>
      </c>
      <c r="O182" s="407">
        <v>0.30591082572937012</v>
      </c>
      <c r="P182" s="407">
        <v>0.36768269538879395</v>
      </c>
      <c r="Q182" s="407">
        <v>0.43336832523345947</v>
      </c>
      <c r="R182" s="407">
        <v>0.33857965469360352</v>
      </c>
      <c r="S182" s="407">
        <v>0.29419422149658203</v>
      </c>
      <c r="T182" s="407">
        <v>0.31489074230194092</v>
      </c>
      <c r="U182" s="407">
        <v>0.32855892181396484</v>
      </c>
      <c r="V182" s="407">
        <v>0.40417337417602539</v>
      </c>
      <c r="W182" s="407">
        <v>0.39958107471466064</v>
      </c>
      <c r="X182" s="407">
        <v>0.33951365947723389</v>
      </c>
      <c r="Y182" s="407">
        <v>0.40787351131439209</v>
      </c>
      <c r="Z182" s="407">
        <v>0.46766841411590576</v>
      </c>
      <c r="AA182" s="407">
        <v>0.43353009223937988</v>
      </c>
      <c r="AB182" s="407">
        <v>0.30965566635131836</v>
      </c>
      <c r="AC182" s="407">
        <v>0.38623631000518799</v>
      </c>
      <c r="AD182" s="407">
        <v>0.33367931842803955</v>
      </c>
      <c r="AE182" s="38">
        <f>'User Add-in Location'!B188</f>
        <v>0</v>
      </c>
      <c r="AF182" s="38">
        <f>'User Add-in Location'!C188</f>
        <v>0</v>
      </c>
      <c r="AG182" s="407">
        <v>0.33395886421203613</v>
      </c>
      <c r="AH182" s="407">
        <v>0.28339505195617676</v>
      </c>
      <c r="AI182" s="407">
        <v>0.3544163703918457</v>
      </c>
      <c r="AJ182" s="407">
        <v>0.41918361186981201</v>
      </c>
      <c r="AK182" s="407">
        <v>0.28088796138763428</v>
      </c>
      <c r="AL182" s="407">
        <v>0.38647651672363281</v>
      </c>
      <c r="AM182" s="407">
        <v>0.40282714366912842</v>
      </c>
      <c r="AN182" s="409">
        <v>0.25681495666503906</v>
      </c>
      <c r="AO182" s="409">
        <v>0.43714785575866699</v>
      </c>
      <c r="AP182" s="409">
        <v>0.3517448902130127</v>
      </c>
      <c r="AQ182" s="409">
        <v>0.46080434322357178</v>
      </c>
      <c r="AR182" s="409">
        <v>0.43448531627655029</v>
      </c>
      <c r="AS182" s="409">
        <v>0.47885644435882568</v>
      </c>
      <c r="AT182" s="409">
        <v>0.48592054843902588</v>
      </c>
      <c r="AU182" s="409">
        <v>0.4658968448638916</v>
      </c>
      <c r="AV182" s="409">
        <v>0.53496348857879639</v>
      </c>
      <c r="AW182" s="409">
        <v>0.59510505199432373</v>
      </c>
      <c r="AX182" s="409">
        <v>0.54278814792633057</v>
      </c>
      <c r="AY182" s="409">
        <v>0.48838114738464355</v>
      </c>
      <c r="AZ182" s="409">
        <v>0.54015839099884033</v>
      </c>
      <c r="BA182" s="409">
        <v>0.35071885585784912</v>
      </c>
      <c r="BB182" s="409">
        <v>0.36233830451965332</v>
      </c>
      <c r="BC182" s="409">
        <v>0.30219769477844238</v>
      </c>
      <c r="BD182" s="409">
        <v>0.41479504108428955</v>
      </c>
      <c r="BE182" s="409">
        <v>0.509490966796875</v>
      </c>
      <c r="BF182" s="407">
        <v>0.45540511608123779</v>
      </c>
      <c r="BG182" s="407">
        <v>0.33610570430755615</v>
      </c>
      <c r="BH182" s="407">
        <v>0.36339223384857178</v>
      </c>
      <c r="BI182" s="407">
        <v>0.45672070980072021</v>
      </c>
      <c r="BJ182" s="407">
        <v>0.25655937194824219</v>
      </c>
      <c r="BK182" s="407">
        <v>0.40829825401306152</v>
      </c>
      <c r="BL182" s="407">
        <v>0.19999682903289795</v>
      </c>
    </row>
    <row r="183" spans="3:64" x14ac:dyDescent="0.2">
      <c r="C183" s="404" t="s">
        <v>389</v>
      </c>
      <c r="D183" s="407">
        <v>0.27651548385620117</v>
      </c>
      <c r="E183" s="407">
        <v>0.21056044101715088</v>
      </c>
      <c r="F183" s="407">
        <v>0.28826773166656494</v>
      </c>
      <c r="G183" s="407">
        <v>0.25995099544525146</v>
      </c>
      <c r="H183" s="407">
        <v>0.3817673921585083</v>
      </c>
      <c r="I183" s="407">
        <v>0.31161594390869141</v>
      </c>
      <c r="J183" s="407">
        <v>0.28098773956298828</v>
      </c>
      <c r="K183" s="407">
        <v>0.2453610897064209</v>
      </c>
      <c r="L183" s="407">
        <v>0.15863430500030518</v>
      </c>
      <c r="M183" s="407">
        <v>0.34777736663818359</v>
      </c>
      <c r="N183" s="407">
        <v>0.3270261287689209</v>
      </c>
      <c r="O183" s="407">
        <v>0.21014225482940674</v>
      </c>
      <c r="P183" s="407">
        <v>0.28966748714447021</v>
      </c>
      <c r="Q183" s="407">
        <v>0.30027461051940918</v>
      </c>
      <c r="R183" s="407">
        <v>0.24767696857452393</v>
      </c>
      <c r="S183" s="407">
        <v>0.22112751007080078</v>
      </c>
      <c r="T183" s="407">
        <v>0.23293638229370117</v>
      </c>
      <c r="U183" s="407">
        <v>0.25146102905273438</v>
      </c>
      <c r="V183" s="407">
        <v>0.29473352432250977</v>
      </c>
      <c r="W183" s="407">
        <v>0.32407152652740479</v>
      </c>
      <c r="X183" s="407">
        <v>0.24574875831604004</v>
      </c>
      <c r="Y183" s="407">
        <v>0.29589295387268066</v>
      </c>
      <c r="Z183" s="407">
        <v>0.34579586982727051</v>
      </c>
      <c r="AA183" s="407">
        <v>0.31384956836700439</v>
      </c>
      <c r="AB183" s="407">
        <v>0.24256205558776855</v>
      </c>
      <c r="AC183" s="407">
        <v>0.28350961208343506</v>
      </c>
      <c r="AD183" s="407">
        <v>0.26044702529907227</v>
      </c>
      <c r="AE183" s="38">
        <f>'User Add-in Location'!B189</f>
        <v>0</v>
      </c>
      <c r="AF183" s="38">
        <f>'User Add-in Location'!C189</f>
        <v>0</v>
      </c>
      <c r="AG183" s="407">
        <v>0.23351490497589111</v>
      </c>
      <c r="AH183" s="407">
        <v>0.19648587703704834</v>
      </c>
      <c r="AI183" s="407">
        <v>0.2893073558807373</v>
      </c>
      <c r="AJ183" s="407">
        <v>0.30085122585296631</v>
      </c>
      <c r="AK183" s="407">
        <v>0.21372997760772705</v>
      </c>
      <c r="AL183" s="407">
        <v>0.27151179313659668</v>
      </c>
      <c r="AM183" s="407">
        <v>0.30708110332489014</v>
      </c>
      <c r="AN183" s="409">
        <v>0.19280803203582764</v>
      </c>
      <c r="AO183" s="409">
        <v>0.32441353797912598</v>
      </c>
      <c r="AP183" s="409">
        <v>0.27767908573150635</v>
      </c>
      <c r="AQ183" s="409">
        <v>0.33049881458282471</v>
      </c>
      <c r="AR183" s="409">
        <v>0.31528115272521973</v>
      </c>
      <c r="AS183" s="409">
        <v>0.34201991558074951</v>
      </c>
      <c r="AT183" s="409">
        <v>0.34779548645019531</v>
      </c>
      <c r="AU183" s="409">
        <v>0.34077298641204834</v>
      </c>
      <c r="AV183" s="409">
        <v>0.39390003681182861</v>
      </c>
      <c r="AW183" s="409">
        <v>0.41718387603759766</v>
      </c>
      <c r="AX183" s="409">
        <v>0.39357352256774902</v>
      </c>
      <c r="AY183" s="409">
        <v>0.34810042381286621</v>
      </c>
      <c r="AZ183" s="409">
        <v>0.37884354591369629</v>
      </c>
      <c r="BA183" s="409">
        <v>0.26244699954986572</v>
      </c>
      <c r="BB183" s="409">
        <v>0.27417135238647461</v>
      </c>
      <c r="BC183" s="409">
        <v>0.2374422550201416</v>
      </c>
      <c r="BD183" s="409">
        <v>0.32111752033233643</v>
      </c>
      <c r="BE183" s="409">
        <v>0.36824548244476318</v>
      </c>
      <c r="BF183" s="407">
        <v>0.33170795440673828</v>
      </c>
      <c r="BG183" s="407">
        <v>0.27618694305419922</v>
      </c>
      <c r="BH183" s="407">
        <v>0.27025902271270752</v>
      </c>
      <c r="BI183" s="407">
        <v>0.31483221054077148</v>
      </c>
      <c r="BJ183" s="407">
        <v>0.19233012199401855</v>
      </c>
      <c r="BK183" s="407">
        <v>0.29288041591644287</v>
      </c>
      <c r="BL183" s="407">
        <v>0.14824700355529785</v>
      </c>
    </row>
    <row r="184" spans="3:64" x14ac:dyDescent="0.2">
      <c r="C184" s="404" t="s">
        <v>390</v>
      </c>
      <c r="D184" s="407">
        <v>0.18713247776031494</v>
      </c>
      <c r="E184" s="407">
        <v>0.18694424629211426</v>
      </c>
      <c r="F184" s="407">
        <v>0.21925461292266846</v>
      </c>
      <c r="G184" s="407">
        <v>0.17380249500274658</v>
      </c>
      <c r="H184" s="407">
        <v>0.32838213443756104</v>
      </c>
      <c r="I184" s="407">
        <v>0.22681856155395508</v>
      </c>
      <c r="J184" s="407">
        <v>0.21120977401733398</v>
      </c>
      <c r="K184" s="407">
        <v>0.19088125228881836</v>
      </c>
      <c r="L184" s="407">
        <v>0.11903238296508789</v>
      </c>
      <c r="M184" s="407">
        <v>0.24930930137634277</v>
      </c>
      <c r="N184" s="407">
        <v>0.22643768787384033</v>
      </c>
      <c r="O184" s="407">
        <v>0.19671928882598877</v>
      </c>
      <c r="P184" s="407">
        <v>0.18596327304840088</v>
      </c>
      <c r="Q184" s="407">
        <v>0.25448071956634521</v>
      </c>
      <c r="R184" s="407">
        <v>0.1921306848526001</v>
      </c>
      <c r="S184" s="407">
        <v>0.17070019245147705</v>
      </c>
      <c r="T184" s="407">
        <v>0.17420196533203125</v>
      </c>
      <c r="U184" s="407">
        <v>0.18264412879943848</v>
      </c>
      <c r="V184" s="407">
        <v>0.22008752822875977</v>
      </c>
      <c r="W184" s="407">
        <v>0.20239865779876709</v>
      </c>
      <c r="X184" s="407">
        <v>0.19120514392852783</v>
      </c>
      <c r="Y184" s="407">
        <v>0.23086678981781006</v>
      </c>
      <c r="Z184" s="407">
        <v>0.25232350826263428</v>
      </c>
      <c r="AA184" s="407">
        <v>0.24391365051269531</v>
      </c>
      <c r="AB184" s="407">
        <v>0.16580438613891602</v>
      </c>
      <c r="AC184" s="407">
        <v>0.21462273597717285</v>
      </c>
      <c r="AD184" s="407">
        <v>0.17412972450256348</v>
      </c>
      <c r="AE184" s="38">
        <f>'User Add-in Location'!B190</f>
        <v>0</v>
      </c>
      <c r="AF184" s="38">
        <f>'User Add-in Location'!C190</f>
        <v>0</v>
      </c>
      <c r="AG184" s="407">
        <v>0.18779420852661133</v>
      </c>
      <c r="AH184" s="407">
        <v>0.17580580711364746</v>
      </c>
      <c r="AI184" s="407">
        <v>0.19444525241851807</v>
      </c>
      <c r="AJ184" s="407">
        <v>0.24895215034484863</v>
      </c>
      <c r="AK184" s="407">
        <v>0.1527940034866333</v>
      </c>
      <c r="AL184" s="407">
        <v>0.21920335292816162</v>
      </c>
      <c r="AM184" s="407">
        <v>0.21186184883117676</v>
      </c>
      <c r="AN184" s="409">
        <v>0.1528778076171875</v>
      </c>
      <c r="AO184" s="409">
        <v>0.23522984981536865</v>
      </c>
      <c r="AP184" s="409">
        <v>0.18343722820281982</v>
      </c>
      <c r="AQ184" s="409">
        <v>0.24877917766571045</v>
      </c>
      <c r="AR184" s="409">
        <v>0.24348735809326172</v>
      </c>
      <c r="AS184" s="409">
        <v>0.26802146434783936</v>
      </c>
      <c r="AT184" s="409">
        <v>0.27700364589691162</v>
      </c>
      <c r="AU184" s="409">
        <v>0.24577009677886963</v>
      </c>
      <c r="AV184" s="409">
        <v>0.27975010871887207</v>
      </c>
      <c r="AW184" s="409">
        <v>0.32911086082458496</v>
      </c>
      <c r="AX184" s="409">
        <v>0.29321229457855225</v>
      </c>
      <c r="AY184" s="409">
        <v>0.27041256427764893</v>
      </c>
      <c r="AZ184" s="409">
        <v>0.32657325267791748</v>
      </c>
      <c r="BA184" s="409">
        <v>0.19245445728302002</v>
      </c>
      <c r="BB184" s="409">
        <v>0.19073367118835449</v>
      </c>
      <c r="BC184" s="409">
        <v>0.16460204124450684</v>
      </c>
      <c r="BD184" s="409">
        <v>0.21878492832183838</v>
      </c>
      <c r="BE184" s="409">
        <v>0.28024041652679443</v>
      </c>
      <c r="BF184" s="407">
        <v>0.23452723026275635</v>
      </c>
      <c r="BG184" s="407">
        <v>0.17681145668029785</v>
      </c>
      <c r="BH184" s="407">
        <v>0.19343984127044678</v>
      </c>
      <c r="BI184" s="407">
        <v>0.26381516456604004</v>
      </c>
      <c r="BJ184" s="407">
        <v>0.14809954166412354</v>
      </c>
      <c r="BK184" s="407">
        <v>0.22986960411071777</v>
      </c>
      <c r="BL184" s="407">
        <v>0.12065768241882324</v>
      </c>
    </row>
    <row r="185" spans="3:64" x14ac:dyDescent="0.2">
      <c r="C185" s="404" t="s">
        <v>125</v>
      </c>
      <c r="D185" s="407">
        <v>0.32566332817077637</v>
      </c>
      <c r="E185" s="407">
        <v>0.43479979038238525</v>
      </c>
      <c r="F185" s="407">
        <v>0.35514521598815918</v>
      </c>
      <c r="G185" s="407">
        <v>0.34444236755371094</v>
      </c>
      <c r="H185" s="407">
        <v>0.64084720611572266</v>
      </c>
      <c r="I185" s="407">
        <v>0.42145645618438721</v>
      </c>
      <c r="J185" s="407">
        <v>0.30965542793273926</v>
      </c>
      <c r="K185" s="407">
        <v>0.33644604682922363</v>
      </c>
      <c r="L185" s="407">
        <v>0.18624210357666016</v>
      </c>
      <c r="M185" s="407">
        <v>0.43766868114471436</v>
      </c>
      <c r="N185" s="407">
        <v>0.37422525882720947</v>
      </c>
      <c r="O185" s="407">
        <v>0.3659512996673584</v>
      </c>
      <c r="P185" s="407">
        <v>0.34297919273376465</v>
      </c>
      <c r="Q185" s="407">
        <v>0.46287453174591064</v>
      </c>
      <c r="R185" s="407">
        <v>0.29855024814605713</v>
      </c>
      <c r="S185" s="407">
        <v>0.30093443393707275</v>
      </c>
      <c r="T185" s="407">
        <v>0.31433701515197754</v>
      </c>
      <c r="U185" s="407">
        <v>0.32315289974212646</v>
      </c>
      <c r="V185" s="407">
        <v>0.5036780834197998</v>
      </c>
      <c r="W185" s="407">
        <v>0.35314953327178955</v>
      </c>
      <c r="X185" s="407">
        <v>0.30848181247711182</v>
      </c>
      <c r="Y185" s="407">
        <v>0.38089001178741455</v>
      </c>
      <c r="Z185" s="407">
        <v>0.43278586864471436</v>
      </c>
      <c r="AA185" s="407">
        <v>0.43404388427734375</v>
      </c>
      <c r="AB185" s="407">
        <v>0.3121483325958252</v>
      </c>
      <c r="AC185" s="407">
        <v>0.36433994770050049</v>
      </c>
      <c r="AD185" s="407">
        <v>0.33062648773193359</v>
      </c>
      <c r="AE185" s="38">
        <f>'User Add-in Location'!B191</f>
        <v>0</v>
      </c>
      <c r="AF185" s="38">
        <f>'User Add-in Location'!C191</f>
        <v>0</v>
      </c>
      <c r="AG185" s="407">
        <v>0.36784720420837402</v>
      </c>
      <c r="AH185" s="407">
        <v>0.27270960807800293</v>
      </c>
      <c r="AI185" s="407">
        <v>0.28089189529418945</v>
      </c>
      <c r="AJ185" s="407">
        <v>0.39962959289550781</v>
      </c>
      <c r="AK185" s="407">
        <v>0.28160297870635986</v>
      </c>
      <c r="AL185" s="407">
        <v>0.37314164638519287</v>
      </c>
      <c r="AM185" s="407">
        <v>0.34897124767303467</v>
      </c>
      <c r="AN185" s="409">
        <v>0.30281960964202881</v>
      </c>
      <c r="AO185" s="409">
        <v>0.39364814758300781</v>
      </c>
      <c r="AP185" s="409">
        <v>0.34965550899505615</v>
      </c>
      <c r="AQ185" s="409">
        <v>0.47279012203216553</v>
      </c>
      <c r="AR185" s="409">
        <v>0.42346608638763428</v>
      </c>
      <c r="AS185" s="409">
        <v>0.45868563652038574</v>
      </c>
      <c r="AT185" s="409">
        <v>0.49314582347869873</v>
      </c>
      <c r="AU185" s="409">
        <v>0.42734909057617188</v>
      </c>
      <c r="AV185" s="409">
        <v>0.52081334590911865</v>
      </c>
      <c r="AW185" s="409">
        <v>0.61971759796142578</v>
      </c>
      <c r="AX185" s="409">
        <v>0.65607774257659912</v>
      </c>
      <c r="AY185" s="409">
        <v>0.5560147762298584</v>
      </c>
      <c r="AZ185" s="409">
        <v>0.63688755035400391</v>
      </c>
      <c r="BA185" s="409">
        <v>0.29431056976318359</v>
      </c>
      <c r="BB185" s="409">
        <v>0.29907035827636719</v>
      </c>
      <c r="BC185" s="409">
        <v>0.27157008647918701</v>
      </c>
      <c r="BD185" s="409">
        <v>0.35161936283111572</v>
      </c>
      <c r="BE185" s="409">
        <v>0.60872113704681396</v>
      </c>
      <c r="BF185" s="407">
        <v>0.40656757354736328</v>
      </c>
      <c r="BG185" s="407">
        <v>0.30905187129974365</v>
      </c>
      <c r="BH185" s="407">
        <v>0.31542515754699707</v>
      </c>
      <c r="BI185" s="407">
        <v>0.47674262523651123</v>
      </c>
      <c r="BJ185" s="407">
        <v>0.27661359310150146</v>
      </c>
      <c r="BK185" s="407">
        <v>0.40040731430053711</v>
      </c>
      <c r="BL185" s="407">
        <v>0.24616527557373047</v>
      </c>
    </row>
    <row r="186" spans="3:64" x14ac:dyDescent="0.2">
      <c r="C186" s="404" t="s">
        <v>126</v>
      </c>
      <c r="D186" s="407">
        <v>0.33235037326812744</v>
      </c>
      <c r="E186" s="407">
        <v>0.34347105026245117</v>
      </c>
      <c r="F186" s="407">
        <v>0.4010775089263916</v>
      </c>
      <c r="G186" s="407">
        <v>0.30515027046203613</v>
      </c>
      <c r="H186" s="407">
        <v>0.63480734825134277</v>
      </c>
      <c r="I186" s="407">
        <v>0.41186022758483887</v>
      </c>
      <c r="J186" s="407">
        <v>0.3754570484161377</v>
      </c>
      <c r="K186" s="407">
        <v>0.32717084884643555</v>
      </c>
      <c r="L186" s="407">
        <v>0.24690926074981689</v>
      </c>
      <c r="M186" s="407">
        <v>0.47825288772583008</v>
      </c>
      <c r="N186" s="407">
        <v>0.42130792140960693</v>
      </c>
      <c r="O186" s="407">
        <v>0.37085306644439697</v>
      </c>
      <c r="P186" s="407">
        <v>0.32846987247467041</v>
      </c>
      <c r="Q186" s="407">
        <v>0.48389387130737305</v>
      </c>
      <c r="R186" s="407">
        <v>0.32300293445587158</v>
      </c>
      <c r="S186" s="407">
        <v>0.28659439086914063</v>
      </c>
      <c r="T186" s="407">
        <v>0.30684471130371094</v>
      </c>
      <c r="U186" s="407">
        <v>0.32763934135437012</v>
      </c>
      <c r="V186" s="407">
        <v>0.38705027103424072</v>
      </c>
      <c r="W186" s="407">
        <v>0.36489415168762207</v>
      </c>
      <c r="X186" s="407">
        <v>0.35130417346954346</v>
      </c>
      <c r="Y186" s="407">
        <v>0.42300009727478027</v>
      </c>
      <c r="Z186" s="407">
        <v>0.4712822437286377</v>
      </c>
      <c r="AA186" s="407">
        <v>0.44019448757171631</v>
      </c>
      <c r="AB186" s="407">
        <v>0.28022110462188721</v>
      </c>
      <c r="AC186" s="407">
        <v>0.39266276359558105</v>
      </c>
      <c r="AD186" s="407">
        <v>0.29100310802459717</v>
      </c>
      <c r="AE186" s="38">
        <f>'User Add-in Location'!B192</f>
        <v>0</v>
      </c>
      <c r="AF186" s="38">
        <f>'User Add-in Location'!C192</f>
        <v>0</v>
      </c>
      <c r="AG186" s="407">
        <v>0.32304620742797852</v>
      </c>
      <c r="AH186" s="407">
        <v>0.29998874664306641</v>
      </c>
      <c r="AI186" s="407">
        <v>0.31948912143707275</v>
      </c>
      <c r="AJ186" s="407">
        <v>0.44087159633636475</v>
      </c>
      <c r="AK186" s="407">
        <v>0.27067196369171143</v>
      </c>
      <c r="AL186" s="407">
        <v>0.40785551071166992</v>
      </c>
      <c r="AM186" s="407">
        <v>0.38665926456451416</v>
      </c>
      <c r="AN186" s="409">
        <v>0.24505078792572021</v>
      </c>
      <c r="AO186" s="409">
        <v>0.41980338096618652</v>
      </c>
      <c r="AP186" s="409">
        <v>0.31698906421661377</v>
      </c>
      <c r="AQ186" s="409">
        <v>0.47200930118560791</v>
      </c>
      <c r="AR186" s="409">
        <v>0.44440567493438721</v>
      </c>
      <c r="AS186" s="409">
        <v>0.50587105751037598</v>
      </c>
      <c r="AT186" s="409">
        <v>0.51869750022888184</v>
      </c>
      <c r="AU186" s="409">
        <v>0.45460796356201172</v>
      </c>
      <c r="AV186" s="409">
        <v>0.53384661674499512</v>
      </c>
      <c r="AW186" s="409">
        <v>0.63156986236572266</v>
      </c>
      <c r="AX186" s="409">
        <v>0.53871774673461914</v>
      </c>
      <c r="AY186" s="409">
        <v>0.51256227493286133</v>
      </c>
      <c r="AZ186" s="409">
        <v>0.63125061988830566</v>
      </c>
      <c r="BA186" s="409">
        <v>0.34648764133453369</v>
      </c>
      <c r="BB186" s="409">
        <v>0.31619393825531006</v>
      </c>
      <c r="BC186" s="409">
        <v>0.26575839519500732</v>
      </c>
      <c r="BD186" s="409">
        <v>0.37287962436676025</v>
      </c>
      <c r="BE186" s="409">
        <v>0.50182640552520752</v>
      </c>
      <c r="BF186" s="407">
        <v>0.44139838218688965</v>
      </c>
      <c r="BG186" s="407">
        <v>0.29574477672576904</v>
      </c>
      <c r="BH186" s="407">
        <v>0.33007168769836426</v>
      </c>
      <c r="BI186" s="407">
        <v>0.48696565628051758</v>
      </c>
      <c r="BJ186" s="407">
        <v>0.25216424465179443</v>
      </c>
      <c r="BK186" s="407">
        <v>0.41249704360961914</v>
      </c>
      <c r="BL186" s="407">
        <v>0.18710780143737793</v>
      </c>
    </row>
    <row r="187" spans="3:64" x14ac:dyDescent="0.2">
      <c r="C187" s="404" t="s">
        <v>127</v>
      </c>
      <c r="D187" s="407">
        <v>0.32210469245910645</v>
      </c>
      <c r="E187" s="407">
        <v>0.29556369781494141</v>
      </c>
      <c r="F187" s="407">
        <v>0.40862035751342773</v>
      </c>
      <c r="G187" s="407">
        <v>0.31516373157501221</v>
      </c>
      <c r="H187" s="407">
        <v>0.60061931610107422</v>
      </c>
      <c r="I187" s="407">
        <v>0.40613973140716553</v>
      </c>
      <c r="J187" s="407">
        <v>0.37019407749176025</v>
      </c>
      <c r="K187" s="407">
        <v>0.30208194255828857</v>
      </c>
      <c r="L187" s="407">
        <v>0.2474905252456665</v>
      </c>
      <c r="M187" s="407">
        <v>0.4659879207611084</v>
      </c>
      <c r="N187" s="407">
        <v>0.40114414691925049</v>
      </c>
      <c r="O187" s="407">
        <v>0</v>
      </c>
      <c r="P187" s="407">
        <v>0.32161164283752441</v>
      </c>
      <c r="Q187" s="407">
        <v>0.45975124835968018</v>
      </c>
      <c r="R187" s="407">
        <v>0.320473313331604</v>
      </c>
      <c r="S187" s="407">
        <v>0.28934371471405029</v>
      </c>
      <c r="T187" s="407">
        <v>0.299385666847229</v>
      </c>
      <c r="U187" s="407">
        <v>0.32054793834686279</v>
      </c>
      <c r="V187" s="407">
        <v>0.37305498123168945</v>
      </c>
      <c r="W187" s="407">
        <v>0.35043931007385254</v>
      </c>
      <c r="X187" s="407">
        <v>0.34423828125</v>
      </c>
      <c r="Y187" s="407">
        <v>0.41326546669006348</v>
      </c>
      <c r="Z187" s="407">
        <v>0.44457721710205078</v>
      </c>
      <c r="AA187" s="407">
        <v>0.43227076530456543</v>
      </c>
      <c r="AB187" s="407">
        <v>0.26392781734466553</v>
      </c>
      <c r="AC187" s="407">
        <v>0.38836991786956787</v>
      </c>
      <c r="AD187" s="407">
        <v>0.29339003562927246</v>
      </c>
      <c r="AE187" s="38">
        <f>'User Add-in Location'!B193</f>
        <v>0</v>
      </c>
      <c r="AF187" s="38">
        <f>'User Add-in Location'!C193</f>
        <v>0</v>
      </c>
      <c r="AG187" s="407">
        <v>0.33637964725494385</v>
      </c>
      <c r="AH187" s="407">
        <v>0.32489097118377686</v>
      </c>
      <c r="AI187" s="407">
        <v>0.30952775478363037</v>
      </c>
      <c r="AJ187" s="407">
        <v>0.43503308296203613</v>
      </c>
      <c r="AK187" s="407">
        <v>0.25232565402984619</v>
      </c>
      <c r="AL187" s="407">
        <v>0.41056537628173828</v>
      </c>
      <c r="AM187" s="407">
        <v>0.37988853454589844</v>
      </c>
      <c r="AN187" s="409">
        <v>0.27657079696655273</v>
      </c>
      <c r="AO187" s="409">
        <v>0.4148402214050293</v>
      </c>
      <c r="AP187" s="409">
        <v>0.30145168304443359</v>
      </c>
      <c r="AQ187" s="409">
        <v>0.46630120277404785</v>
      </c>
      <c r="AR187" s="409">
        <v>0.44483363628387451</v>
      </c>
      <c r="AS187" s="409">
        <v>0.49986374378204346</v>
      </c>
      <c r="AT187" s="409">
        <v>0.51130473613739014</v>
      </c>
      <c r="AU187" s="409">
        <v>0.45235252380371094</v>
      </c>
      <c r="AV187" s="409">
        <v>0.52080929279327393</v>
      </c>
      <c r="AW187" s="409">
        <v>0.61716604232788086</v>
      </c>
      <c r="AX187" s="409">
        <v>0.52102720737457275</v>
      </c>
      <c r="AY187" s="409">
        <v>0.51105129718780518</v>
      </c>
      <c r="AZ187" s="409">
        <v>0.59646451473236084</v>
      </c>
      <c r="BA187" s="409">
        <v>0.3496100902557373</v>
      </c>
      <c r="BB187" s="409">
        <v>0.3027416467666626</v>
      </c>
      <c r="BC187" s="409">
        <v>0.29164361953735352</v>
      </c>
      <c r="BD187" s="409">
        <v>0.38348674774169922</v>
      </c>
      <c r="BE187" s="409">
        <v>0.48339450359344482</v>
      </c>
      <c r="BF187" s="407">
        <v>0.4362565279006958</v>
      </c>
      <c r="BG187" s="407">
        <v>0.28698444366455078</v>
      </c>
      <c r="BH187" s="407">
        <v>0.34797263145446777</v>
      </c>
      <c r="BI187" s="407">
        <v>0.47344005107879639</v>
      </c>
      <c r="BJ187" s="407">
        <v>0.26919949054718018</v>
      </c>
      <c r="BK187" s="407">
        <v>0.39908123016357422</v>
      </c>
      <c r="BL187" s="407">
        <v>0.18330919742584229</v>
      </c>
    </row>
    <row r="188" spans="3:64" x14ac:dyDescent="0.2">
      <c r="C188" s="404" t="s">
        <v>391</v>
      </c>
      <c r="D188" s="407">
        <v>0.26397490501403809</v>
      </c>
      <c r="E188" s="407">
        <v>0.23688614368438721</v>
      </c>
      <c r="F188" s="407">
        <v>0.3519892692565918</v>
      </c>
      <c r="G188" s="407">
        <v>0.27632248401641846</v>
      </c>
      <c r="H188" s="407">
        <v>0.55254650115966797</v>
      </c>
      <c r="I188" s="407">
        <v>0.36146438121795654</v>
      </c>
      <c r="J188" s="407">
        <v>0.27503633499145508</v>
      </c>
      <c r="K188" s="407">
        <v>0.22418820858001709</v>
      </c>
      <c r="L188" s="407">
        <v>0</v>
      </c>
      <c r="M188" s="407">
        <v>0.41110777854919434</v>
      </c>
      <c r="N188" s="407">
        <v>0.30535590648651123</v>
      </c>
      <c r="O188" s="407">
        <v>0</v>
      </c>
      <c r="P188" s="407">
        <v>0.273628830909729</v>
      </c>
      <c r="Q188" s="407">
        <v>0.40480828285217285</v>
      </c>
      <c r="R188" s="407">
        <v>0.27941679954528809</v>
      </c>
      <c r="S188" s="407">
        <v>0.22157347202301025</v>
      </c>
      <c r="T188" s="407">
        <v>0.2512671947479248</v>
      </c>
      <c r="U188" s="407">
        <v>0.25470113754272461</v>
      </c>
      <c r="V188" s="407">
        <v>0.30212748050689697</v>
      </c>
      <c r="W188" s="407">
        <v>0.27054464817047119</v>
      </c>
      <c r="X188" s="407">
        <v>0.28975248336791992</v>
      </c>
      <c r="Y188" s="407">
        <v>0.3616870641708374</v>
      </c>
      <c r="Z188" s="407">
        <v>0.37270379066467285</v>
      </c>
      <c r="AA188" s="407">
        <v>0.38945603370666504</v>
      </c>
      <c r="AB188" s="407">
        <v>0.24506103992462158</v>
      </c>
      <c r="AC188" s="407">
        <v>0.33846735954284668</v>
      </c>
      <c r="AD188" s="407">
        <v>0.22632670402526855</v>
      </c>
      <c r="AE188" s="38">
        <f>'User Add-in Location'!B194</f>
        <v>0</v>
      </c>
      <c r="AF188" s="38">
        <f>'User Add-in Location'!C194</f>
        <v>0</v>
      </c>
      <c r="AG188" s="407">
        <v>0.28033173084259033</v>
      </c>
      <c r="AH188" s="407">
        <v>0.24659836292266846</v>
      </c>
      <c r="AI188" s="407">
        <v>0.29044258594512939</v>
      </c>
      <c r="AJ188" s="407">
        <v>0.38244497776031494</v>
      </c>
      <c r="AK188" s="407">
        <v>0.23310971260070801</v>
      </c>
      <c r="AL188" s="407">
        <v>0.3389739990234375</v>
      </c>
      <c r="AM188" s="407">
        <v>0.32891464233398438</v>
      </c>
      <c r="AN188" s="409">
        <v>0.26747286319732666</v>
      </c>
      <c r="AO188" s="409">
        <v>0.35171687602996826</v>
      </c>
      <c r="AP188" s="409">
        <v>0.27903854846954346</v>
      </c>
      <c r="AQ188" s="409">
        <v>0.40866076946258545</v>
      </c>
      <c r="AR188" s="409">
        <v>0.36188721656799316</v>
      </c>
      <c r="AS188" s="409">
        <v>0.41071999073028564</v>
      </c>
      <c r="AT188" s="409">
        <v>0.42482340335845947</v>
      </c>
      <c r="AU188" s="409">
        <v>0.39596152305603027</v>
      </c>
      <c r="AV188" s="409">
        <v>0.4418100118637085</v>
      </c>
      <c r="AW188" s="409">
        <v>0.53481376171112061</v>
      </c>
      <c r="AX188" s="409">
        <v>0.45769274234771729</v>
      </c>
      <c r="AY188" s="409">
        <v>0.43039059638977051</v>
      </c>
      <c r="AZ188" s="409">
        <v>0.54830372333526611</v>
      </c>
      <c r="BA188" s="409">
        <v>0.27995407581329346</v>
      </c>
      <c r="BB188" s="409">
        <v>0.27566802501678467</v>
      </c>
      <c r="BC188" s="409">
        <v>0.24682796001434326</v>
      </c>
      <c r="BD188" s="409">
        <v>0.31179702281951904</v>
      </c>
      <c r="BE188" s="409">
        <v>0.41944241523742676</v>
      </c>
      <c r="BF188" s="407">
        <v>0.34676134586334229</v>
      </c>
      <c r="BG188" s="407">
        <v>0.22915983200073242</v>
      </c>
      <c r="BH188" s="407">
        <v>0.29397964477539063</v>
      </c>
      <c r="BI188" s="407">
        <v>0.39830696582794189</v>
      </c>
      <c r="BJ188" s="407">
        <v>0.20064270496368408</v>
      </c>
      <c r="BK188" s="407">
        <v>0.34957993030548096</v>
      </c>
      <c r="BL188" s="407">
        <v>0.1300969123840332</v>
      </c>
    </row>
    <row r="189" spans="3:64" x14ac:dyDescent="0.2">
      <c r="C189" s="404" t="s">
        <v>392</v>
      </c>
      <c r="D189" s="407">
        <v>0</v>
      </c>
      <c r="E189" s="407">
        <v>0</v>
      </c>
      <c r="F189" s="407">
        <v>0.43285000324249268</v>
      </c>
      <c r="G189" s="407">
        <v>0.33002877235412598</v>
      </c>
      <c r="H189" s="407">
        <v>0.67022931575775146</v>
      </c>
      <c r="I189" s="407">
        <v>0.45640468597412109</v>
      </c>
      <c r="J189" s="407">
        <v>0.39735281467437744</v>
      </c>
      <c r="K189" s="407">
        <v>0.30774545669555664</v>
      </c>
      <c r="L189" s="407">
        <v>0</v>
      </c>
      <c r="M189" s="407">
        <v>0.45326721668243408</v>
      </c>
      <c r="N189" s="407">
        <v>0.38266897201538086</v>
      </c>
      <c r="O189" s="407">
        <v>0</v>
      </c>
      <c r="P189" s="407">
        <v>0</v>
      </c>
      <c r="Q189" s="407">
        <v>0.47534024715423584</v>
      </c>
      <c r="R189" s="407">
        <v>0.36079990863800049</v>
      </c>
      <c r="S189" s="407">
        <v>0.32426297664642334</v>
      </c>
      <c r="T189" s="407">
        <v>0.33626580238342285</v>
      </c>
      <c r="U189" s="407">
        <v>0.36117315292358398</v>
      </c>
      <c r="V189" s="407">
        <v>0</v>
      </c>
      <c r="W189" s="407">
        <v>0</v>
      </c>
      <c r="X189" s="407">
        <v>0.25656974315643311</v>
      </c>
      <c r="Y189" s="407">
        <v>0</v>
      </c>
      <c r="Z189" s="407">
        <v>0.43481230735778809</v>
      </c>
      <c r="AA189" s="407">
        <v>0.45319640636444092</v>
      </c>
      <c r="AB189" s="407">
        <v>0.30872416496276855</v>
      </c>
      <c r="AC189" s="407">
        <v>0.43691861629486084</v>
      </c>
      <c r="AD189" s="407">
        <v>0</v>
      </c>
      <c r="AE189" s="38">
        <f>'User Add-in Location'!B195</f>
        <v>0</v>
      </c>
      <c r="AF189" s="38">
        <f>'User Add-in Location'!C195</f>
        <v>0</v>
      </c>
      <c r="AG189" s="407">
        <v>0</v>
      </c>
      <c r="AH189" s="407">
        <v>0</v>
      </c>
      <c r="AI189" s="407">
        <v>0</v>
      </c>
      <c r="AJ189" s="407">
        <v>0.46919572353363037</v>
      </c>
      <c r="AK189" s="407">
        <v>0</v>
      </c>
      <c r="AL189" s="407">
        <v>0.45294368267059326</v>
      </c>
      <c r="AM189" s="407">
        <v>0.41406345367431641</v>
      </c>
      <c r="AN189" s="409">
        <v>0</v>
      </c>
      <c r="AO189" s="409">
        <v>0.45088779926300049</v>
      </c>
      <c r="AP189" s="409">
        <v>0.3774268627166748</v>
      </c>
      <c r="AQ189" s="409">
        <v>0.49696862697601318</v>
      </c>
      <c r="AR189" s="409">
        <v>0.48340129852294922</v>
      </c>
      <c r="AS189" s="409">
        <v>0.53722465038299561</v>
      </c>
      <c r="AT189" s="409">
        <v>0.52487015724182129</v>
      </c>
      <c r="AU189" s="409">
        <v>0.48677611351013184</v>
      </c>
      <c r="AV189" s="409">
        <v>0.51138877868652344</v>
      </c>
      <c r="AW189" s="409">
        <v>0.65013241767883301</v>
      </c>
      <c r="AX189" s="409">
        <v>0.59266877174377441</v>
      </c>
      <c r="AY189" s="409">
        <v>0.55456447601318359</v>
      </c>
      <c r="AZ189" s="409">
        <v>0.66593921184539795</v>
      </c>
      <c r="BA189" s="409">
        <v>0.3630523681640625</v>
      </c>
      <c r="BB189" s="409">
        <v>0.34397387504577637</v>
      </c>
      <c r="BC189" s="409">
        <v>0</v>
      </c>
      <c r="BD189" s="409">
        <v>0.42633366584777832</v>
      </c>
      <c r="BE189" s="409">
        <v>0.51749205589294434</v>
      </c>
      <c r="BF189" s="407">
        <v>0.48392939567565918</v>
      </c>
      <c r="BG189" s="407">
        <v>0</v>
      </c>
      <c r="BH189" s="407">
        <v>0</v>
      </c>
      <c r="BI189" s="407">
        <v>0.53957557678222656</v>
      </c>
      <c r="BJ189" s="407">
        <v>0.26070594787597656</v>
      </c>
      <c r="BK189" s="407">
        <v>0.409149169921875</v>
      </c>
      <c r="BL189" s="407">
        <v>0</v>
      </c>
    </row>
    <row r="190" spans="3:64" x14ac:dyDescent="0.2">
      <c r="C190" s="404" t="s">
        <v>393</v>
      </c>
      <c r="D190" s="407">
        <v>0.27241063117980957</v>
      </c>
      <c r="E190" s="407">
        <v>0</v>
      </c>
      <c r="F190" s="407">
        <v>0.27966952323913574</v>
      </c>
      <c r="G190" s="407">
        <v>0.24813306331634521</v>
      </c>
      <c r="H190" s="407">
        <v>0.58441567420959473</v>
      </c>
      <c r="I190" s="407">
        <v>0.3325577974319458</v>
      </c>
      <c r="J190" s="407">
        <v>0.3122638463973999</v>
      </c>
      <c r="K190" s="407">
        <v>0.22550630569458008</v>
      </c>
      <c r="L190" s="407">
        <v>0.14058339595794678</v>
      </c>
      <c r="M190" s="407">
        <v>0.40072107315063477</v>
      </c>
      <c r="N190" s="407">
        <v>0.3378986120223999</v>
      </c>
      <c r="O190" s="407">
        <v>0</v>
      </c>
      <c r="P190" s="407">
        <v>0.24159014225006104</v>
      </c>
      <c r="Q190" s="407">
        <v>0.40944075584411621</v>
      </c>
      <c r="R190" s="407">
        <v>0.27318906784057617</v>
      </c>
      <c r="S190" s="407">
        <v>0.23647522926330566</v>
      </c>
      <c r="T190" s="407">
        <v>0</v>
      </c>
      <c r="U190" s="407">
        <v>0.28270328044891357</v>
      </c>
      <c r="V190" s="407">
        <v>0</v>
      </c>
      <c r="W190" s="407">
        <v>0.2888946533203125</v>
      </c>
      <c r="X190" s="407">
        <v>0.2395704984664917</v>
      </c>
      <c r="Y190" s="407">
        <v>0.35642099380493164</v>
      </c>
      <c r="Z190" s="407">
        <v>0.37690258026123047</v>
      </c>
      <c r="AA190" s="407">
        <v>0.39599215984344482</v>
      </c>
      <c r="AB190" s="407">
        <v>0.22397732734680176</v>
      </c>
      <c r="AC190" s="407">
        <v>0.34494960308074951</v>
      </c>
      <c r="AD190" s="407">
        <v>0.20322859287261963</v>
      </c>
      <c r="AE190" s="38">
        <f>'User Add-in Location'!B196</f>
        <v>0</v>
      </c>
      <c r="AF190" s="38">
        <f>'User Add-in Location'!C196</f>
        <v>0</v>
      </c>
      <c r="AG190" s="407">
        <v>0.25677835941314697</v>
      </c>
      <c r="AH190" s="407">
        <v>0.22416865825653076</v>
      </c>
      <c r="AI190" s="407">
        <v>0.26414632797241211</v>
      </c>
      <c r="AJ190" s="407">
        <v>0.38781082630157471</v>
      </c>
      <c r="AK190" s="407">
        <v>0.18920278549194336</v>
      </c>
      <c r="AL190" s="407">
        <v>0.34162020683288574</v>
      </c>
      <c r="AM190" s="407">
        <v>0.33613812923431396</v>
      </c>
      <c r="AN190" s="409">
        <v>0.22189104557037354</v>
      </c>
      <c r="AO190" s="409">
        <v>0.37870335578918457</v>
      </c>
      <c r="AP190" s="409">
        <v>0.26861453056335449</v>
      </c>
      <c r="AQ190" s="409">
        <v>0.39942312240600586</v>
      </c>
      <c r="AR190" s="409">
        <v>0.37424600124359131</v>
      </c>
      <c r="AS190" s="409">
        <v>0.4600902795791626</v>
      </c>
      <c r="AT190" s="409">
        <v>0.45647180080413818</v>
      </c>
      <c r="AU190" s="409">
        <v>0.39883100986480713</v>
      </c>
      <c r="AV190" s="409">
        <v>0.48733389377593994</v>
      </c>
      <c r="AW190" s="409">
        <v>0.597381591796875</v>
      </c>
      <c r="AX190" s="409">
        <v>0.48835694789886475</v>
      </c>
      <c r="AY190" s="409">
        <v>0.44647908210754395</v>
      </c>
      <c r="AZ190" s="409">
        <v>0.57918381690979004</v>
      </c>
      <c r="BA190" s="409">
        <v>0.25602924823760986</v>
      </c>
      <c r="BB190" s="409">
        <v>0.24585139751434326</v>
      </c>
      <c r="BC190" s="409">
        <v>0</v>
      </c>
      <c r="BD190" s="409">
        <v>0.34124088287353516</v>
      </c>
      <c r="BE190" s="409">
        <v>0.44011139869689941</v>
      </c>
      <c r="BF190" s="407">
        <v>0.3530888557434082</v>
      </c>
      <c r="BG190" s="407">
        <v>0.22785425186157227</v>
      </c>
      <c r="BH190" s="407">
        <v>0.27102994918823242</v>
      </c>
      <c r="BI190" s="407">
        <v>0.43582844734191895</v>
      </c>
      <c r="BJ190" s="407">
        <v>0</v>
      </c>
      <c r="BK190" s="407">
        <v>0.32863700389862061</v>
      </c>
      <c r="BL190" s="407">
        <v>0.1323477029800415</v>
      </c>
    </row>
    <row r="191" spans="3:64" x14ac:dyDescent="0.2">
      <c r="C191" s="404" t="s">
        <v>57</v>
      </c>
      <c r="D191" s="407">
        <v>0.25758492946624756</v>
      </c>
      <c r="E191" s="407">
        <v>0.24019193649291992</v>
      </c>
      <c r="F191" s="407">
        <v>0.34616768360137939</v>
      </c>
      <c r="G191" s="407">
        <v>0.2552955150604248</v>
      </c>
      <c r="H191" s="407">
        <v>0.41647434234619141</v>
      </c>
      <c r="I191" s="407">
        <v>0.36905336380004883</v>
      </c>
      <c r="J191" s="407">
        <v>0.33974957466125488</v>
      </c>
      <c r="K191" s="407">
        <v>0.29339349269866943</v>
      </c>
      <c r="L191" s="407">
        <v>0.25634002685546875</v>
      </c>
      <c r="M191" s="407">
        <v>0.38371503353118896</v>
      </c>
      <c r="N191" s="407">
        <v>0.33572506904602051</v>
      </c>
      <c r="O191" s="407">
        <v>0.30926191806793213</v>
      </c>
      <c r="P191" s="407">
        <v>0.28780913352966309</v>
      </c>
      <c r="Q191" s="407">
        <v>0.36924147605895996</v>
      </c>
      <c r="R191" s="407">
        <v>0.2663273811340332</v>
      </c>
      <c r="S191" s="407">
        <v>0.24433624744415283</v>
      </c>
      <c r="T191" s="407">
        <v>0.25857794284820557</v>
      </c>
      <c r="U191" s="407">
        <v>0.25409054756164551</v>
      </c>
      <c r="V191" s="407">
        <v>0.25724339485168457</v>
      </c>
      <c r="W191" s="407">
        <v>0.31478047370910645</v>
      </c>
      <c r="X191" s="407">
        <v>0.31779062747955322</v>
      </c>
      <c r="Y191" s="407">
        <v>0.37347257137298584</v>
      </c>
      <c r="Z191" s="407">
        <v>0.34261143207550049</v>
      </c>
      <c r="AA191" s="407">
        <v>0.35153591632843018</v>
      </c>
      <c r="AB191" s="407">
        <v>0.22095179557800293</v>
      </c>
      <c r="AC191" s="407">
        <v>0.3211367130279541</v>
      </c>
      <c r="AD191" s="407">
        <v>0.27840173244476318</v>
      </c>
      <c r="AE191" s="38">
        <f>'User Add-in Location'!B197</f>
        <v>0</v>
      </c>
      <c r="AF191" s="38">
        <f>'User Add-in Location'!C197</f>
        <v>0</v>
      </c>
      <c r="AG191" s="407">
        <v>0.28678786754608154</v>
      </c>
      <c r="AH191" s="407">
        <v>0.29192769527435303</v>
      </c>
      <c r="AI191" s="407">
        <v>0.31416058540344238</v>
      </c>
      <c r="AJ191" s="407">
        <v>0.36395823955535889</v>
      </c>
      <c r="AK191" s="407">
        <v>0.25196504592895508</v>
      </c>
      <c r="AL191" s="407">
        <v>0.36375820636749268</v>
      </c>
      <c r="AM191" s="407">
        <v>0.31835687160491943</v>
      </c>
      <c r="AN191" s="409">
        <v>0.23718822002410889</v>
      </c>
      <c r="AO191" s="409">
        <v>0.33235621452331543</v>
      </c>
      <c r="AP191" s="409">
        <v>0.26979422569274902</v>
      </c>
      <c r="AQ191" s="409">
        <v>0.34958779811859131</v>
      </c>
      <c r="AR191" s="409">
        <v>0.35218751430511475</v>
      </c>
      <c r="AS191" s="409">
        <v>0.39881241321563721</v>
      </c>
      <c r="AT191" s="409">
        <v>0.38030767440795898</v>
      </c>
      <c r="AU191" s="409">
        <v>0.3612053394317627</v>
      </c>
      <c r="AV191" s="409">
        <v>0.37320053577423096</v>
      </c>
      <c r="AW191" s="409">
        <v>0.39333224296569824</v>
      </c>
      <c r="AX191" s="409">
        <v>0.34240126609802246</v>
      </c>
      <c r="AY191" s="409">
        <v>0.36590981483459473</v>
      </c>
      <c r="AZ191" s="409">
        <v>0.41519021987915039</v>
      </c>
      <c r="BA191" s="409">
        <v>0.33133137226104736</v>
      </c>
      <c r="BB191" s="409">
        <v>0.275718092918396</v>
      </c>
      <c r="BC191" s="409">
        <v>0.26211023330688477</v>
      </c>
      <c r="BD191" s="409">
        <v>0.31496536731719971</v>
      </c>
      <c r="BE191" s="409">
        <v>0.33148682117462158</v>
      </c>
      <c r="BF191" s="407">
        <v>0.3562922477722168</v>
      </c>
      <c r="BG191" s="407">
        <v>0.27411282062530518</v>
      </c>
      <c r="BH191" s="407">
        <v>0.3062593936920166</v>
      </c>
      <c r="BI191" s="407">
        <v>0.34793531894683838</v>
      </c>
      <c r="BJ191" s="407">
        <v>0.21399378776550293</v>
      </c>
      <c r="BK191" s="407">
        <v>0.31286847591400146</v>
      </c>
      <c r="BL191" s="407">
        <v>0.1794891357421875</v>
      </c>
    </row>
    <row r="192" spans="3:64" x14ac:dyDescent="0.2">
      <c r="C192" s="404" t="s">
        <v>394</v>
      </c>
      <c r="D192" s="407">
        <v>0.24795114994049072</v>
      </c>
      <c r="E192" s="407">
        <v>0.23654258251190186</v>
      </c>
      <c r="F192" s="407">
        <v>0.3173372745513916</v>
      </c>
      <c r="G192" s="407">
        <v>0.24011194705963135</v>
      </c>
      <c r="H192" s="407">
        <v>0.36550068855285645</v>
      </c>
      <c r="I192" s="407">
        <v>0.34723830223083496</v>
      </c>
      <c r="J192" s="407">
        <v>0.31051850318908691</v>
      </c>
      <c r="K192" s="407">
        <v>0.28074038028717041</v>
      </c>
      <c r="L192" s="407">
        <v>0.2629694938659668</v>
      </c>
      <c r="M192" s="407">
        <v>0.35163569450378418</v>
      </c>
      <c r="N192" s="407">
        <v>0.32185721397399902</v>
      </c>
      <c r="O192" s="407">
        <v>0.30220282077789307</v>
      </c>
      <c r="P192" s="407">
        <v>0.26069808006286621</v>
      </c>
      <c r="Q192" s="407">
        <v>0.34956967830657959</v>
      </c>
      <c r="R192" s="407">
        <v>0.25909733772277832</v>
      </c>
      <c r="S192" s="407">
        <v>0.23648452758789063</v>
      </c>
      <c r="T192" s="407">
        <v>0.25071561336517334</v>
      </c>
      <c r="U192" s="407">
        <v>0.24058723449707031</v>
      </c>
      <c r="V192" s="407">
        <v>0.23928618431091309</v>
      </c>
      <c r="W192" s="407">
        <v>0.28686785697937012</v>
      </c>
      <c r="X192" s="407">
        <v>0.29700565338134766</v>
      </c>
      <c r="Y192" s="407">
        <v>0.3481518030166626</v>
      </c>
      <c r="Z192" s="407">
        <v>0.32676923274993896</v>
      </c>
      <c r="AA192" s="407">
        <v>0.33383071422576904</v>
      </c>
      <c r="AB192" s="407">
        <v>0.21204566955566406</v>
      </c>
      <c r="AC192" s="407">
        <v>0.29596090316772461</v>
      </c>
      <c r="AD192" s="407">
        <v>0.27644550800323486</v>
      </c>
      <c r="AE192" s="38">
        <f>'User Add-in Location'!B198</f>
        <v>0</v>
      </c>
      <c r="AF192" s="38">
        <f>'User Add-in Location'!C198</f>
        <v>0</v>
      </c>
      <c r="AG192" s="407">
        <v>0.26888453960418701</v>
      </c>
      <c r="AH192" s="407">
        <v>0.25739037990570068</v>
      </c>
      <c r="AI192" s="407">
        <v>0.29178309440612793</v>
      </c>
      <c r="AJ192" s="407">
        <v>0.33367526531219482</v>
      </c>
      <c r="AK192" s="407">
        <v>0.22539496421813965</v>
      </c>
      <c r="AL192" s="407">
        <v>0.34207808971405029</v>
      </c>
      <c r="AM192" s="407">
        <v>0.29225599765777588</v>
      </c>
      <c r="AN192" s="409">
        <v>0.21956825256347656</v>
      </c>
      <c r="AO192" s="409">
        <v>0.30884552001953125</v>
      </c>
      <c r="AP192" s="409">
        <v>0.25014328956604004</v>
      </c>
      <c r="AQ192" s="409">
        <v>0.32211458683013916</v>
      </c>
      <c r="AR192" s="409">
        <v>0.32587254047393799</v>
      </c>
      <c r="AS192" s="409">
        <v>0.37060749530792236</v>
      </c>
      <c r="AT192" s="409">
        <v>0.35009562969207764</v>
      </c>
      <c r="AU192" s="409">
        <v>0.33331537246704102</v>
      </c>
      <c r="AV192" s="409">
        <v>0.34972476959228516</v>
      </c>
      <c r="AW192" s="409">
        <v>0.36634445190429688</v>
      </c>
      <c r="AX192" s="409">
        <v>0.32450282573699951</v>
      </c>
      <c r="AY192" s="409">
        <v>0.33976089954376221</v>
      </c>
      <c r="AZ192" s="409">
        <v>0.36518406867980957</v>
      </c>
      <c r="BA192" s="409">
        <v>0.30707347393035889</v>
      </c>
      <c r="BB192" s="409">
        <v>0.2675710916519165</v>
      </c>
      <c r="BC192" s="409">
        <v>0.25402724742889404</v>
      </c>
      <c r="BD192" s="409">
        <v>0.29374229907989502</v>
      </c>
      <c r="BE192" s="409">
        <v>0.32059109210968018</v>
      </c>
      <c r="BF192" s="407">
        <v>0.32618677616119385</v>
      </c>
      <c r="BG192" s="407">
        <v>0.26036965847015381</v>
      </c>
      <c r="BH192" s="407">
        <v>0.28955638408660889</v>
      </c>
      <c r="BI192" s="407">
        <v>0.32147097587585449</v>
      </c>
      <c r="BJ192" s="407">
        <v>0.19646227359771729</v>
      </c>
      <c r="BK192" s="407">
        <v>0.29108679294586182</v>
      </c>
      <c r="BL192" s="407">
        <v>0.18169867992401123</v>
      </c>
    </row>
    <row r="193" spans="3:64" x14ac:dyDescent="0.2">
      <c r="C193" s="404" t="s">
        <v>128</v>
      </c>
      <c r="D193" s="407">
        <v>0.21414089202880859</v>
      </c>
      <c r="E193" s="407">
        <v>0.42290318012237549</v>
      </c>
      <c r="F193" s="407">
        <v>0.25032222270965576</v>
      </c>
      <c r="G193" s="407">
        <v>0.22332537174224854</v>
      </c>
      <c r="H193" s="407">
        <v>0.4016726016998291</v>
      </c>
      <c r="I193" s="407">
        <v>0.34262716770172119</v>
      </c>
      <c r="J193" s="407">
        <v>0.21329665184020996</v>
      </c>
      <c r="K193" s="407">
        <v>0.19068610668182373</v>
      </c>
      <c r="L193" s="407">
        <v>0.15847563743591309</v>
      </c>
      <c r="M193" s="407">
        <v>0.33142304420471191</v>
      </c>
      <c r="N193" s="407">
        <v>0.25187528133392334</v>
      </c>
      <c r="O193" s="407">
        <v>0.29394364356994629</v>
      </c>
      <c r="P193" s="407">
        <v>0.2105257511138916</v>
      </c>
      <c r="Q193" s="407">
        <v>0.31375491619110107</v>
      </c>
      <c r="R193" s="407">
        <v>0.2026134729385376</v>
      </c>
      <c r="S193" s="407">
        <v>0.18016624450683594</v>
      </c>
      <c r="T193" s="407">
        <v>0.22004151344299316</v>
      </c>
      <c r="U193" s="407">
        <v>0.24395918846130371</v>
      </c>
      <c r="V193" s="407">
        <v>0.38585329055786133</v>
      </c>
      <c r="W193" s="407">
        <v>0.20848584175109863</v>
      </c>
      <c r="X193" s="407">
        <v>0.16778457164764404</v>
      </c>
      <c r="Y193" s="407">
        <v>0.2680363655090332</v>
      </c>
      <c r="Z193" s="407">
        <v>0.25727963447570801</v>
      </c>
      <c r="AA193" s="407">
        <v>0.2637476921081543</v>
      </c>
      <c r="AB193" s="407">
        <v>0.20356416702270508</v>
      </c>
      <c r="AC193" s="407">
        <v>0.26268947124481201</v>
      </c>
      <c r="AD193" s="407">
        <v>0.20615613460540771</v>
      </c>
      <c r="AE193" s="38">
        <f>'User Add-in Location'!B199</f>
        <v>0</v>
      </c>
      <c r="AF193" s="38">
        <f>'User Add-in Location'!C199</f>
        <v>0</v>
      </c>
      <c r="AG193" s="407">
        <v>0.21373212337493896</v>
      </c>
      <c r="AH193" s="407">
        <v>0.24834549427032471</v>
      </c>
      <c r="AI193" s="407">
        <v>0.17260992527008057</v>
      </c>
      <c r="AJ193" s="407">
        <v>0.29034090042114258</v>
      </c>
      <c r="AK193" s="407">
        <v>0.20597898960113525</v>
      </c>
      <c r="AL193" s="407">
        <v>0.24842453002929688</v>
      </c>
      <c r="AM193" s="407">
        <v>0.24128735065460205</v>
      </c>
      <c r="AN193" s="409">
        <v>0.21835768222808838</v>
      </c>
      <c r="AO193" s="409">
        <v>0.2566152811050415</v>
      </c>
      <c r="AP193" s="409">
        <v>0.295462965965271</v>
      </c>
      <c r="AQ193" s="409">
        <v>0.29543209075927734</v>
      </c>
      <c r="AR193" s="409">
        <v>0.26248884201049805</v>
      </c>
      <c r="AS193" s="409">
        <v>0.28278660774230957</v>
      </c>
      <c r="AT193" s="409">
        <v>0.31402409076690674</v>
      </c>
      <c r="AU193" s="409">
        <v>0.25105512142181396</v>
      </c>
      <c r="AV193" s="409">
        <v>0.34545159339904785</v>
      </c>
      <c r="AW193" s="409">
        <v>0.34172260761260986</v>
      </c>
      <c r="AX193" s="409">
        <v>0.42615675926208496</v>
      </c>
      <c r="AY193" s="409">
        <v>0.36975479125976563</v>
      </c>
      <c r="AZ193" s="409">
        <v>0.40215563774108887</v>
      </c>
      <c r="BA193" s="409">
        <v>0.21498417854309082</v>
      </c>
      <c r="BB193" s="409">
        <v>0.18580937385559082</v>
      </c>
      <c r="BC193" s="409">
        <v>0.18077683448791504</v>
      </c>
      <c r="BD193" s="409">
        <v>0.29748249053955078</v>
      </c>
      <c r="BE193" s="409">
        <v>0.38361430168151855</v>
      </c>
      <c r="BF193" s="407">
        <v>0.29389810562133789</v>
      </c>
      <c r="BG193" s="407">
        <v>0.16888225078582764</v>
      </c>
      <c r="BH193" s="407">
        <v>0.2224433422088623</v>
      </c>
      <c r="BI193" s="407">
        <v>0.34830200672149658</v>
      </c>
      <c r="BJ193" s="407">
        <v>0.21227431297302246</v>
      </c>
      <c r="BK193" s="407">
        <v>0.22373032569885254</v>
      </c>
      <c r="BL193" s="407">
        <v>0.19584226608276367</v>
      </c>
    </row>
    <row r="194" spans="3:64" x14ac:dyDescent="0.2">
      <c r="C194" s="404" t="s">
        <v>395</v>
      </c>
      <c r="D194" s="407">
        <v>0.31258034706115723</v>
      </c>
      <c r="E194" s="407">
        <v>0.31405496597290039</v>
      </c>
      <c r="F194" s="407">
        <v>0.36172115802764893</v>
      </c>
      <c r="G194" s="407">
        <v>0.29147219657897949</v>
      </c>
      <c r="H194" s="407">
        <v>0.38290190696716309</v>
      </c>
      <c r="I194" s="407">
        <v>0.42134606838226318</v>
      </c>
      <c r="J194" s="407">
        <v>0.44316303730010986</v>
      </c>
      <c r="K194" s="407">
        <v>0.43384659290313721</v>
      </c>
      <c r="L194" s="407">
        <v>0.26772737503051758</v>
      </c>
      <c r="M194" s="407">
        <v>0.41441679000854492</v>
      </c>
      <c r="N194" s="407">
        <v>0.37630772590637207</v>
      </c>
      <c r="O194" s="407">
        <v>0.2978205680847168</v>
      </c>
      <c r="P194" s="407">
        <v>0.35626304149627686</v>
      </c>
      <c r="Q194" s="407">
        <v>0.44423389434814453</v>
      </c>
      <c r="R194" s="407">
        <v>0.33041059970855713</v>
      </c>
      <c r="S194" s="407">
        <v>0.35100901126861572</v>
      </c>
      <c r="T194" s="407">
        <v>0.33660721778869629</v>
      </c>
      <c r="U194" s="407">
        <v>0.31053459644317627</v>
      </c>
      <c r="V194" s="407">
        <v>0.26599538326263428</v>
      </c>
      <c r="W194" s="407">
        <v>0.35947728157043457</v>
      </c>
      <c r="X194" s="407">
        <v>0.33075904846191406</v>
      </c>
      <c r="Y194" s="407">
        <v>0.41800260543823242</v>
      </c>
      <c r="Z194" s="407">
        <v>0.37112605571746826</v>
      </c>
      <c r="AA194" s="407">
        <v>0.43154096603393555</v>
      </c>
      <c r="AB194" s="407">
        <v>0.27367854118347168</v>
      </c>
      <c r="AC194" s="407">
        <v>0.39015090465545654</v>
      </c>
      <c r="AD194" s="407">
        <v>0.28522336483001709</v>
      </c>
      <c r="AE194" s="38">
        <f>'User Add-in Location'!B200</f>
        <v>0</v>
      </c>
      <c r="AF194" s="38">
        <f>'User Add-in Location'!C200</f>
        <v>0</v>
      </c>
      <c r="AG194" s="407">
        <v>0.40775537490844727</v>
      </c>
      <c r="AH194" s="407">
        <v>0.33074343204498291</v>
      </c>
      <c r="AI194" s="407">
        <v>0.36919152736663818</v>
      </c>
      <c r="AJ194" s="407">
        <v>0.41536998748779297</v>
      </c>
      <c r="AK194" s="407">
        <v>0.2697145938873291</v>
      </c>
      <c r="AL194" s="407">
        <v>0.39370501041412354</v>
      </c>
      <c r="AM194" s="407">
        <v>0.35490560531616211</v>
      </c>
      <c r="AN194" s="409">
        <v>0.33735871315002441</v>
      </c>
      <c r="AO194" s="409">
        <v>0.40797615051269531</v>
      </c>
      <c r="AP194" s="409">
        <v>0.3393862247467041</v>
      </c>
      <c r="AQ194" s="409">
        <v>0.37604522705078125</v>
      </c>
      <c r="AR194" s="409">
        <v>0.43704354763031006</v>
      </c>
      <c r="AS194" s="409">
        <v>0.4441913366317749</v>
      </c>
      <c r="AT194" s="409">
        <v>0.45256829261779785</v>
      </c>
      <c r="AU194" s="409">
        <v>0.37683558464050293</v>
      </c>
      <c r="AV194" s="409">
        <v>0.40952539443969727</v>
      </c>
      <c r="AW194" s="409">
        <v>0.45902514457702637</v>
      </c>
      <c r="AX194" s="409">
        <v>0.39814460277557373</v>
      </c>
      <c r="AY194" s="409">
        <v>0.41112267971038818</v>
      </c>
      <c r="AZ194" s="409">
        <v>0.3811798095703125</v>
      </c>
      <c r="BA194" s="409">
        <v>0.4133225679397583</v>
      </c>
      <c r="BB194" s="409">
        <v>0.33492362499237061</v>
      </c>
      <c r="BC194" s="409">
        <v>0.35387325286865234</v>
      </c>
      <c r="BD194" s="409">
        <v>0.35265743732452393</v>
      </c>
      <c r="BE194" s="409">
        <v>0.40197789669036865</v>
      </c>
      <c r="BF194" s="407">
        <v>0.49772453308105469</v>
      </c>
      <c r="BG194" s="407">
        <v>0.31274199485778809</v>
      </c>
      <c r="BH194" s="407">
        <v>0.32430362701416016</v>
      </c>
      <c r="BI194" s="407">
        <v>0.36092460155487061</v>
      </c>
      <c r="BJ194" s="407">
        <v>0.23287200927734375</v>
      </c>
      <c r="BK194" s="407">
        <v>0.4162590503692627</v>
      </c>
      <c r="BL194" s="407">
        <v>0.21029484272003174</v>
      </c>
    </row>
    <row r="195" spans="3:64" x14ac:dyDescent="0.2">
      <c r="C195" s="404" t="s">
        <v>396</v>
      </c>
      <c r="D195" s="407">
        <v>0.30909562110900879</v>
      </c>
      <c r="E195" s="407">
        <v>0.27158868312835693</v>
      </c>
      <c r="F195" s="407">
        <v>0.46678304672241211</v>
      </c>
      <c r="G195" s="407">
        <v>0.30759739875793457</v>
      </c>
      <c r="H195" s="407">
        <v>0.47955024242401123</v>
      </c>
      <c r="I195" s="407">
        <v>0.50848996639251709</v>
      </c>
      <c r="J195" s="407">
        <v>0.36707866191864014</v>
      </c>
      <c r="K195" s="407">
        <v>0.38188588619232178</v>
      </c>
      <c r="L195" s="407">
        <v>0.31649219989776611</v>
      </c>
      <c r="M195" s="407">
        <v>0.51329898834228516</v>
      </c>
      <c r="N195" s="407">
        <v>0.40937936305999756</v>
      </c>
      <c r="O195" s="407">
        <v>0.37365710735321045</v>
      </c>
      <c r="P195" s="407">
        <v>0.37720394134521484</v>
      </c>
      <c r="Q195" s="407">
        <v>0.46514105796813965</v>
      </c>
      <c r="R195" s="407">
        <v>0.32433819770812988</v>
      </c>
      <c r="S195" s="407">
        <v>0.31394433975219727</v>
      </c>
      <c r="T195" s="407">
        <v>0.35756397247314453</v>
      </c>
      <c r="U195" s="407">
        <v>0.31495857238769531</v>
      </c>
      <c r="V195" s="407">
        <v>0.30620753765106201</v>
      </c>
      <c r="W195" s="407">
        <v>0.35708534717559814</v>
      </c>
      <c r="X195" s="407">
        <v>0.40633952617645264</v>
      </c>
      <c r="Y195" s="407">
        <v>0.40649747848510742</v>
      </c>
      <c r="Z195" s="407">
        <v>0.42440807819366455</v>
      </c>
      <c r="AA195" s="407">
        <v>0.44841325283050537</v>
      </c>
      <c r="AB195" s="407">
        <v>0.28798580169677734</v>
      </c>
      <c r="AC195" s="407">
        <v>0.41504967212677002</v>
      </c>
      <c r="AD195" s="407">
        <v>0.35999453067779541</v>
      </c>
      <c r="AE195" s="38">
        <f>'User Add-in Location'!B201</f>
        <v>0</v>
      </c>
      <c r="AF195" s="38">
        <f>'User Add-in Location'!C201</f>
        <v>0</v>
      </c>
      <c r="AG195" s="407">
        <v>0.38435196876525879</v>
      </c>
      <c r="AH195" s="407">
        <v>0.45521748065948486</v>
      </c>
      <c r="AI195" s="407">
        <v>0.41067790985107422</v>
      </c>
      <c r="AJ195" s="407">
        <v>0.45504605770111084</v>
      </c>
      <c r="AK195" s="407">
        <v>0.29616856575012207</v>
      </c>
      <c r="AL195" s="407">
        <v>0.34338390827178955</v>
      </c>
      <c r="AM195" s="407">
        <v>0.37584316730499268</v>
      </c>
      <c r="AN195" s="409">
        <v>0.29336774349212646</v>
      </c>
      <c r="AO195" s="409">
        <v>0.40354788303375244</v>
      </c>
      <c r="AP195" s="409">
        <v>0.34777247905731201</v>
      </c>
      <c r="AQ195" s="409">
        <v>0.41539168357849121</v>
      </c>
      <c r="AR195" s="409">
        <v>0.41542363166809082</v>
      </c>
      <c r="AS195" s="409">
        <v>0.38815498352050781</v>
      </c>
      <c r="AT195" s="409">
        <v>0.45366847515106201</v>
      </c>
      <c r="AU195" s="409">
        <v>0.42359232902526855</v>
      </c>
      <c r="AV195" s="409">
        <v>0.4568403959274292</v>
      </c>
      <c r="AW195" s="409">
        <v>0.46175587177276611</v>
      </c>
      <c r="AX195" s="409">
        <v>0.42850196361541748</v>
      </c>
      <c r="AY195" s="409">
        <v>0.47055459022521973</v>
      </c>
      <c r="AZ195" s="409">
        <v>0.47737205028533936</v>
      </c>
      <c r="BA195" s="409">
        <v>0.41567850112915039</v>
      </c>
      <c r="BB195" s="409">
        <v>0.34631443023681641</v>
      </c>
      <c r="BC195" s="409">
        <v>0.36516523361206055</v>
      </c>
      <c r="BD195" s="409">
        <v>0.37339973449707031</v>
      </c>
      <c r="BE195" s="409">
        <v>0.43684267997741699</v>
      </c>
      <c r="BF195" s="407">
        <v>0.572609543800354</v>
      </c>
      <c r="BG195" s="407">
        <v>0.32640302181243896</v>
      </c>
      <c r="BH195" s="407">
        <v>0.36098194122314453</v>
      </c>
      <c r="BI195" s="407">
        <v>0.40512669086456299</v>
      </c>
      <c r="BJ195" s="407">
        <v>0.21328234672546387</v>
      </c>
      <c r="BK195" s="407">
        <v>0.37374866008758545</v>
      </c>
      <c r="BL195" s="407">
        <v>0.25853085517883301</v>
      </c>
    </row>
    <row r="196" spans="3:64" x14ac:dyDescent="0.2">
      <c r="C196" s="404" t="s">
        <v>397</v>
      </c>
      <c r="D196" s="407">
        <v>0.32011842727661133</v>
      </c>
      <c r="E196" s="407">
        <v>0.31967198848724365</v>
      </c>
      <c r="F196" s="407">
        <v>0.43609094619750977</v>
      </c>
      <c r="G196" s="407">
        <v>0.31217193603515625</v>
      </c>
      <c r="H196" s="407">
        <v>0.47004473209381104</v>
      </c>
      <c r="I196" s="407">
        <v>0.43410336971282959</v>
      </c>
      <c r="J196" s="407">
        <v>0.35949313640594482</v>
      </c>
      <c r="K196" s="407">
        <v>0.33940958976745605</v>
      </c>
      <c r="L196" s="407">
        <v>0.28560137748718262</v>
      </c>
      <c r="M196" s="407">
        <v>0.4589838981628418</v>
      </c>
      <c r="N196" s="407">
        <v>0.40539252758026123</v>
      </c>
      <c r="O196" s="407">
        <v>0.3820645809173584</v>
      </c>
      <c r="P196" s="407">
        <v>0.36006903648376465</v>
      </c>
      <c r="Q196" s="407">
        <v>0.40256953239440918</v>
      </c>
      <c r="R196" s="407">
        <v>0.33257055282592773</v>
      </c>
      <c r="S196" s="407">
        <v>0.3113248348236084</v>
      </c>
      <c r="T196" s="407">
        <v>0.32991552352905273</v>
      </c>
      <c r="U196" s="407">
        <v>0.30355441570281982</v>
      </c>
      <c r="V196" s="407">
        <v>0.31675350666046143</v>
      </c>
      <c r="W196" s="407">
        <v>0.40488743782043457</v>
      </c>
      <c r="X196" s="407">
        <v>0.39879989624023438</v>
      </c>
      <c r="Y196" s="407">
        <v>0.42517542839050293</v>
      </c>
      <c r="Z196" s="407">
        <v>0.38608849048614502</v>
      </c>
      <c r="AA196" s="407">
        <v>0.37939167022705078</v>
      </c>
      <c r="AB196" s="407">
        <v>0.2726820707321167</v>
      </c>
      <c r="AC196" s="407">
        <v>0.35459005832672119</v>
      </c>
      <c r="AD196" s="407">
        <v>0.37817895412445068</v>
      </c>
      <c r="AE196" s="38">
        <f>'User Add-in Location'!B202</f>
        <v>0</v>
      </c>
      <c r="AF196" s="38">
        <f>'User Add-in Location'!C202</f>
        <v>0</v>
      </c>
      <c r="AG196" s="407">
        <v>0.35269033908843994</v>
      </c>
      <c r="AH196" s="407">
        <v>0.32531511783599854</v>
      </c>
      <c r="AI196" s="407">
        <v>0.38014304637908936</v>
      </c>
      <c r="AJ196" s="407">
        <v>0.39506614208221436</v>
      </c>
      <c r="AK196" s="407">
        <v>0.33969902992248535</v>
      </c>
      <c r="AL196" s="407">
        <v>0.38821697235107422</v>
      </c>
      <c r="AM196" s="407">
        <v>0.38228893280029297</v>
      </c>
      <c r="AN196" s="409">
        <v>0.30661141872406006</v>
      </c>
      <c r="AO196" s="409">
        <v>0.38660383224487305</v>
      </c>
      <c r="AP196" s="409">
        <v>0.34198915958404541</v>
      </c>
      <c r="AQ196" s="409">
        <v>0.42279541492462158</v>
      </c>
      <c r="AR196" s="409">
        <v>0.39473557472229004</v>
      </c>
      <c r="AS196" s="409">
        <v>0.43163180351257324</v>
      </c>
      <c r="AT196" s="409">
        <v>0.41948175430297852</v>
      </c>
      <c r="AU196" s="409">
        <v>0.41853940486907959</v>
      </c>
      <c r="AV196" s="409">
        <v>0.44328713417053223</v>
      </c>
      <c r="AW196" s="409">
        <v>0.43336713314056396</v>
      </c>
      <c r="AX196" s="409">
        <v>0.3999481201171875</v>
      </c>
      <c r="AY196" s="409">
        <v>0.440909743309021</v>
      </c>
      <c r="AZ196" s="409">
        <v>0.46910524368286133</v>
      </c>
      <c r="BA196" s="409">
        <v>0.38100862503051758</v>
      </c>
      <c r="BB196" s="409">
        <v>0.35279560089111328</v>
      </c>
      <c r="BC196" s="409">
        <v>0.33195817470550537</v>
      </c>
      <c r="BD196" s="409">
        <v>0.38269174098968506</v>
      </c>
      <c r="BE196" s="409">
        <v>0.38798987865447998</v>
      </c>
      <c r="BF196" s="407">
        <v>0.46554720401763916</v>
      </c>
      <c r="BG196" s="407">
        <v>0.36001372337341309</v>
      </c>
      <c r="BH196" s="407">
        <v>0.35644042491912842</v>
      </c>
      <c r="BI196" s="407">
        <v>0.4164050817489624</v>
      </c>
      <c r="BJ196" s="407">
        <v>0.26237308979034424</v>
      </c>
      <c r="BK196" s="407">
        <v>0.3698657751083374</v>
      </c>
      <c r="BL196" s="407">
        <v>0.23266565799713135</v>
      </c>
    </row>
    <row r="197" spans="3:64" x14ac:dyDescent="0.2">
      <c r="C197" s="404" t="s">
        <v>398</v>
      </c>
      <c r="D197" s="407">
        <v>0.2896730899810791</v>
      </c>
      <c r="E197" s="407">
        <v>0.29344809055328369</v>
      </c>
      <c r="F197" s="407">
        <v>0.41576099395751953</v>
      </c>
      <c r="G197" s="407">
        <v>0.29377162456512451</v>
      </c>
      <c r="H197" s="407">
        <v>0.43296945095062256</v>
      </c>
      <c r="I197" s="407">
        <v>0.41692483425140381</v>
      </c>
      <c r="J197" s="407">
        <v>0.35468196868896484</v>
      </c>
      <c r="K197" s="407">
        <v>0.32404100894927979</v>
      </c>
      <c r="L197" s="407">
        <v>0.27372646331787109</v>
      </c>
      <c r="M197" s="407">
        <v>0.42921638488769531</v>
      </c>
      <c r="N197" s="407">
        <v>0.37367486953735352</v>
      </c>
      <c r="O197" s="407">
        <v>0.35473716259002686</v>
      </c>
      <c r="P197" s="407">
        <v>0.32879471778869629</v>
      </c>
      <c r="Q197" s="407">
        <v>0.390999436378479</v>
      </c>
      <c r="R197" s="407">
        <v>0.30125725269317627</v>
      </c>
      <c r="S197" s="407">
        <v>0.26854753494262695</v>
      </c>
      <c r="T197" s="407">
        <v>0.30643713474273682</v>
      </c>
      <c r="U197" s="407">
        <v>0.27737438678741455</v>
      </c>
      <c r="V197" s="407">
        <v>0.28733587265014648</v>
      </c>
      <c r="W197" s="407">
        <v>0.37168943881988525</v>
      </c>
      <c r="X197" s="407">
        <v>0.341278076171875</v>
      </c>
      <c r="Y197" s="407">
        <v>0.39507448673248291</v>
      </c>
      <c r="Z197" s="407">
        <v>0.37961852550506592</v>
      </c>
      <c r="AA197" s="407">
        <v>0.38732993602752686</v>
      </c>
      <c r="AB197" s="407">
        <v>0.26519298553466797</v>
      </c>
      <c r="AC197" s="407">
        <v>0.35504341125488281</v>
      </c>
      <c r="AD197" s="407">
        <v>0.34175312519073486</v>
      </c>
      <c r="AE197" s="38">
        <f>'User Add-in Location'!B203</f>
        <v>0</v>
      </c>
      <c r="AF197" s="38">
        <f>'User Add-in Location'!C203</f>
        <v>0</v>
      </c>
      <c r="AG197" s="407">
        <v>0.32535839080810547</v>
      </c>
      <c r="AH197" s="407">
        <v>0.32925212383270264</v>
      </c>
      <c r="AI197" s="407">
        <v>0.3370281457901001</v>
      </c>
      <c r="AJ197" s="407">
        <v>0.37419450283050537</v>
      </c>
      <c r="AK197" s="407">
        <v>0.30697870254516602</v>
      </c>
      <c r="AL197" s="407">
        <v>0.37666666507720947</v>
      </c>
      <c r="AM197" s="407">
        <v>0.36483025550842285</v>
      </c>
      <c r="AN197" s="409">
        <v>0.26014316082000732</v>
      </c>
      <c r="AO197" s="409">
        <v>0.36286675930023193</v>
      </c>
      <c r="AP197" s="409">
        <v>0.31541085243225098</v>
      </c>
      <c r="AQ197" s="409">
        <v>0.3997957706451416</v>
      </c>
      <c r="AR197" s="409">
        <v>0.37723195552825928</v>
      </c>
      <c r="AS197" s="409">
        <v>0.41188287734985352</v>
      </c>
      <c r="AT197" s="409">
        <v>0.39621114730834961</v>
      </c>
      <c r="AU197" s="409">
        <v>0.38935625553131104</v>
      </c>
      <c r="AV197" s="409">
        <v>0.40490734577178955</v>
      </c>
      <c r="AW197" s="409">
        <v>0.4149930477142334</v>
      </c>
      <c r="AX197" s="409">
        <v>0.37407505512237549</v>
      </c>
      <c r="AY197" s="409">
        <v>0.41460275650024414</v>
      </c>
      <c r="AZ197" s="409">
        <v>0.43210732936859131</v>
      </c>
      <c r="BA197" s="409">
        <v>0.38200533390045166</v>
      </c>
      <c r="BB197" s="409">
        <v>0.33058750629425049</v>
      </c>
      <c r="BC197" s="409">
        <v>0.31864082813262939</v>
      </c>
      <c r="BD197" s="409">
        <v>0.32701170444488525</v>
      </c>
      <c r="BE197" s="409">
        <v>0.36228060722351074</v>
      </c>
      <c r="BF197" s="407">
        <v>0.41347014904022217</v>
      </c>
      <c r="BG197" s="407">
        <v>0.3166205883026123</v>
      </c>
      <c r="BH197" s="407">
        <v>0.32759010791778564</v>
      </c>
      <c r="BI197" s="407">
        <v>0.38902795314788818</v>
      </c>
      <c r="BJ197" s="407">
        <v>0.24286103248596191</v>
      </c>
      <c r="BK197" s="407">
        <v>0.34450531005859375</v>
      </c>
      <c r="BL197" s="407">
        <v>0.21258354187011719</v>
      </c>
    </row>
    <row r="198" spans="3:64" x14ac:dyDescent="0.2">
      <c r="C198" s="404" t="s">
        <v>399</v>
      </c>
      <c r="D198" s="407">
        <v>0.33012783527374268</v>
      </c>
      <c r="E198" s="407">
        <v>0.31022834777832031</v>
      </c>
      <c r="F198" s="407">
        <v>0.45547974109649658</v>
      </c>
      <c r="G198" s="407">
        <v>0.33762955665588379</v>
      </c>
      <c r="H198" s="407">
        <v>0.49977731704711914</v>
      </c>
      <c r="I198" s="407">
        <v>0.46865701675415039</v>
      </c>
      <c r="J198" s="407">
        <v>0.42824435234069824</v>
      </c>
      <c r="K198" s="407">
        <v>0.3461068868637085</v>
      </c>
      <c r="L198" s="407">
        <v>0.30135655403137207</v>
      </c>
      <c r="M198" s="407">
        <v>0.5237877368927002</v>
      </c>
      <c r="N198" s="407">
        <v>0.43465006351470947</v>
      </c>
      <c r="O198" s="407">
        <v>0.38044190406799316</v>
      </c>
      <c r="P198" s="407">
        <v>0.37058472633361816</v>
      </c>
      <c r="Q198" s="407">
        <v>0.44963729381561279</v>
      </c>
      <c r="R198" s="407">
        <v>0.35670995712280273</v>
      </c>
      <c r="S198" s="407">
        <v>0.30278122425079346</v>
      </c>
      <c r="T198" s="407">
        <v>0.32006263732910156</v>
      </c>
      <c r="U198" s="407">
        <v>0.31819653511047363</v>
      </c>
      <c r="V198" s="407">
        <v>0.32792508602142334</v>
      </c>
      <c r="W198" s="407">
        <v>0.43621718883514404</v>
      </c>
      <c r="X198" s="407">
        <v>0.40335285663604736</v>
      </c>
      <c r="Y198" s="407">
        <v>0.45913612842559814</v>
      </c>
      <c r="Z198" s="407">
        <v>0.40012156963348389</v>
      </c>
      <c r="AA198" s="407">
        <v>0.45595467090606689</v>
      </c>
      <c r="AB198" s="407">
        <v>0.30199575424194336</v>
      </c>
      <c r="AC198" s="407">
        <v>0.39393472671508789</v>
      </c>
      <c r="AD198" s="407">
        <v>0.39860987663269043</v>
      </c>
      <c r="AE198" s="38">
        <f>'User Add-in Location'!B204</f>
        <v>0</v>
      </c>
      <c r="AF198" s="38">
        <f>'User Add-in Location'!C204</f>
        <v>0</v>
      </c>
      <c r="AG198" s="407">
        <v>0.35469138622283936</v>
      </c>
      <c r="AH198" s="407">
        <v>0.38178300857543945</v>
      </c>
      <c r="AI198" s="407">
        <v>0.41100037097930908</v>
      </c>
      <c r="AJ198" s="407">
        <v>0.44687902927398682</v>
      </c>
      <c r="AK198" s="407">
        <v>0.33240711688995361</v>
      </c>
      <c r="AL198" s="407">
        <v>0.42960476875305176</v>
      </c>
      <c r="AM198" s="407">
        <v>0.41594314575195313</v>
      </c>
      <c r="AN198" s="409">
        <v>0.2912670373916626</v>
      </c>
      <c r="AO198" s="409">
        <v>0.42721974849700928</v>
      </c>
      <c r="AP198" s="409">
        <v>0.35519123077392578</v>
      </c>
      <c r="AQ198" s="409">
        <v>0.46727263927459717</v>
      </c>
      <c r="AR198" s="409">
        <v>0.44366610050201416</v>
      </c>
      <c r="AS198" s="409">
        <v>0.48514711856842041</v>
      </c>
      <c r="AT198" s="409">
        <v>0.47233951091766357</v>
      </c>
      <c r="AU198" s="409">
        <v>0.45014715194702148</v>
      </c>
      <c r="AV198" s="409">
        <v>0.48650956153869629</v>
      </c>
      <c r="AW198" s="409">
        <v>0.4847952127456665</v>
      </c>
      <c r="AX198" s="409">
        <v>0.41936933994293213</v>
      </c>
      <c r="AY198" s="409">
        <v>0.47371876239776611</v>
      </c>
      <c r="AZ198" s="409">
        <v>0.49909412860870361</v>
      </c>
      <c r="BA198" s="409">
        <v>0.44682276248931885</v>
      </c>
      <c r="BB198" s="409">
        <v>0.36209046840667725</v>
      </c>
      <c r="BC198" s="409">
        <v>0.36197757720947266</v>
      </c>
      <c r="BD198" s="409">
        <v>0.39149880409240723</v>
      </c>
      <c r="BE198" s="409">
        <v>0.40141403675079346</v>
      </c>
      <c r="BF198" s="407">
        <v>0.49066162109375</v>
      </c>
      <c r="BG198" s="407">
        <v>0.39235329627990723</v>
      </c>
      <c r="BH198" s="407">
        <v>0.37346732616424561</v>
      </c>
      <c r="BI198" s="407">
        <v>0.45684492588043213</v>
      </c>
      <c r="BJ198" s="407">
        <v>0.28266334533691406</v>
      </c>
      <c r="BK198" s="407">
        <v>0.41824758052825928</v>
      </c>
      <c r="BL198" s="407">
        <v>0.2532113790512085</v>
      </c>
    </row>
    <row r="199" spans="3:64" x14ac:dyDescent="0.2">
      <c r="C199" s="404" t="s">
        <v>400</v>
      </c>
      <c r="D199" s="407">
        <v>0.31035137176513672</v>
      </c>
      <c r="E199" s="407">
        <v>0.29313790798187256</v>
      </c>
      <c r="F199" s="407">
        <v>0.39181363582611084</v>
      </c>
      <c r="G199" s="407">
        <v>0.30130672454833984</v>
      </c>
      <c r="H199" s="407">
        <v>0.47401618957519531</v>
      </c>
      <c r="I199" s="407">
        <v>0.43693351745605469</v>
      </c>
      <c r="J199" s="407">
        <v>0.38672125339508057</v>
      </c>
      <c r="K199" s="407">
        <v>0.3475489616394043</v>
      </c>
      <c r="L199" s="407">
        <v>0.30359876155853271</v>
      </c>
      <c r="M199" s="407">
        <v>0.44331657886505127</v>
      </c>
      <c r="N199" s="407">
        <v>0.40526127815246582</v>
      </c>
      <c r="O199" s="407">
        <v>0.3457639217376709</v>
      </c>
      <c r="P199" s="407">
        <v>0.35869002342224121</v>
      </c>
      <c r="Q199" s="407">
        <v>0.43069398403167725</v>
      </c>
      <c r="R199" s="407">
        <v>0.31657719612121582</v>
      </c>
      <c r="S199" s="407">
        <v>0.3042377233505249</v>
      </c>
      <c r="T199" s="407">
        <v>0.3207780122756958</v>
      </c>
      <c r="U199" s="407">
        <v>0.29964053630828857</v>
      </c>
      <c r="V199" s="407">
        <v>0.31009352207183838</v>
      </c>
      <c r="W199" s="407">
        <v>0.36893570423126221</v>
      </c>
      <c r="X199" s="407">
        <v>0.35938811302185059</v>
      </c>
      <c r="Y199" s="407">
        <v>0.41717445850372314</v>
      </c>
      <c r="Z199" s="407">
        <v>0.40718984603881836</v>
      </c>
      <c r="AA199" s="407">
        <v>0.41947293281555176</v>
      </c>
      <c r="AB199" s="407">
        <v>0.26541197299957275</v>
      </c>
      <c r="AC199" s="407">
        <v>0.38125932216644287</v>
      </c>
      <c r="AD199" s="407">
        <v>0.35975229740142822</v>
      </c>
      <c r="AE199" s="38">
        <f>'User Add-in Location'!B205</f>
        <v>0</v>
      </c>
      <c r="AF199" s="38">
        <f>'User Add-in Location'!C205</f>
        <v>0</v>
      </c>
      <c r="AG199" s="407">
        <v>0.35116636753082275</v>
      </c>
      <c r="AH199" s="407">
        <v>0.31601715087890625</v>
      </c>
      <c r="AI199" s="407">
        <v>0.35546696186065674</v>
      </c>
      <c r="AJ199" s="407">
        <v>0.40320122241973877</v>
      </c>
      <c r="AK199" s="407">
        <v>0.29300689697265625</v>
      </c>
      <c r="AL199" s="407">
        <v>0.41602587699890137</v>
      </c>
      <c r="AM199" s="407">
        <v>0.37945163249969482</v>
      </c>
      <c r="AN199" s="409">
        <v>0.28134500980377197</v>
      </c>
      <c r="AO199" s="409">
        <v>0.38747966289520264</v>
      </c>
      <c r="AP199" s="409">
        <v>0.32563900947570801</v>
      </c>
      <c r="AQ199" s="409">
        <v>0.41188538074493408</v>
      </c>
      <c r="AR199" s="409">
        <v>0.40269112586975098</v>
      </c>
      <c r="AS199" s="409">
        <v>0.45809376239776611</v>
      </c>
      <c r="AT199" s="409">
        <v>0.4327399730682373</v>
      </c>
      <c r="AU199" s="409">
        <v>0.4179607629776001</v>
      </c>
      <c r="AV199" s="409">
        <v>0.44228672981262207</v>
      </c>
      <c r="AW199" s="409">
        <v>0.46934604644775391</v>
      </c>
      <c r="AX199" s="409">
        <v>0.41615128517150879</v>
      </c>
      <c r="AY199" s="409">
        <v>0.4367600679397583</v>
      </c>
      <c r="AZ199" s="409">
        <v>0.47207486629486084</v>
      </c>
      <c r="BA199" s="409">
        <v>0.38786911964416504</v>
      </c>
      <c r="BB199" s="409">
        <v>0.33409261703491211</v>
      </c>
      <c r="BC199" s="409">
        <v>0.32695126533508301</v>
      </c>
      <c r="BD199" s="409">
        <v>0.36103081703186035</v>
      </c>
      <c r="BE199" s="409">
        <v>0.40278947353363037</v>
      </c>
      <c r="BF199" s="407">
        <v>0.45128226280212402</v>
      </c>
      <c r="BG199" s="407">
        <v>0.33987390995025635</v>
      </c>
      <c r="BH199" s="407">
        <v>0.35008370876312256</v>
      </c>
      <c r="BI199" s="407">
        <v>0.4059678316116333</v>
      </c>
      <c r="BJ199" s="407">
        <v>0.24821341037750244</v>
      </c>
      <c r="BK199" s="407">
        <v>0.37314856052398682</v>
      </c>
      <c r="BL199" s="407">
        <v>0.2236945629119873</v>
      </c>
    </row>
    <row r="200" spans="3:64" x14ac:dyDescent="0.2">
      <c r="C200" s="404" t="s">
        <v>58</v>
      </c>
      <c r="D200" s="407">
        <v>7.6674818992614746E-2</v>
      </c>
      <c r="E200" s="407">
        <v>5.214238166809082E-2</v>
      </c>
      <c r="F200" s="407">
        <v>6.6675901412963867E-2</v>
      </c>
      <c r="G200" s="407">
        <v>5.5845975875854492E-2</v>
      </c>
      <c r="H200" s="407">
        <v>9.3722939491271973E-2</v>
      </c>
      <c r="I200" s="407">
        <v>8.0197572708129883E-2</v>
      </c>
      <c r="J200" s="407">
        <v>6.9477319717407227E-2</v>
      </c>
      <c r="K200" s="407">
        <v>9.084010124206543E-2</v>
      </c>
      <c r="L200" s="407">
        <v>1.8504977226257324E-2</v>
      </c>
      <c r="M200" s="407">
        <v>4.5673251152038574E-2</v>
      </c>
      <c r="N200" s="407">
        <v>5.1024794578552246E-2</v>
      </c>
      <c r="O200" s="407">
        <v>5.6656002998352051E-2</v>
      </c>
      <c r="P200" s="407">
        <v>5.5877685546875E-2</v>
      </c>
      <c r="Q200" s="407">
        <v>7.4149250984191895E-2</v>
      </c>
      <c r="R200" s="407">
        <v>4.1977047920227051E-2</v>
      </c>
      <c r="S200" s="407">
        <v>5.160832405090332E-2</v>
      </c>
      <c r="T200" s="407">
        <v>5.136406421661377E-2</v>
      </c>
      <c r="U200" s="407">
        <v>6.4140439033508301E-2</v>
      </c>
      <c r="V200" s="407">
        <v>4.6400785446166992E-2</v>
      </c>
      <c r="W200" s="407">
        <v>8.5029244422912598E-2</v>
      </c>
      <c r="X200" s="407">
        <v>4.3916106224060059E-2</v>
      </c>
      <c r="Y200" s="407">
        <v>0.12062656879425049</v>
      </c>
      <c r="Z200" s="407">
        <v>6.465756893157959E-2</v>
      </c>
      <c r="AA200" s="407">
        <v>7.9261422157287598E-2</v>
      </c>
      <c r="AB200" s="407">
        <v>4.459381103515625E-2</v>
      </c>
      <c r="AC200" s="407">
        <v>7.7598452568054199E-2</v>
      </c>
      <c r="AD200" s="407">
        <v>7.6060771942138672E-2</v>
      </c>
      <c r="AE200" s="38">
        <f>'User Add-in Location'!B206</f>
        <v>0</v>
      </c>
      <c r="AF200" s="38">
        <f>'User Add-in Location'!C206</f>
        <v>0</v>
      </c>
      <c r="AG200" s="407">
        <v>5.6489467620849609E-2</v>
      </c>
      <c r="AH200" s="407">
        <v>3.3123016357421875E-2</v>
      </c>
      <c r="AI200" s="407">
        <v>0.13043296337127686</v>
      </c>
      <c r="AJ200" s="407">
        <v>8.2417011260986328E-2</v>
      </c>
      <c r="AK200" s="407">
        <v>4.0288567543029785E-2</v>
      </c>
      <c r="AL200" s="407">
        <v>0.1148456335067749</v>
      </c>
      <c r="AM200" s="407">
        <v>4.0333032608032227E-2</v>
      </c>
      <c r="AN200" s="409">
        <v>6.5157890319824219E-2</v>
      </c>
      <c r="AO200" s="409">
        <v>5.7770848274230957E-2</v>
      </c>
      <c r="AP200" s="409">
        <v>4.8676133155822754E-2</v>
      </c>
      <c r="AQ200" s="409">
        <v>0.13648891448974609</v>
      </c>
      <c r="AR200" s="409">
        <v>0.1107935905456543</v>
      </c>
      <c r="AS200" s="409">
        <v>0.12626779079437256</v>
      </c>
      <c r="AT200" s="409">
        <v>0.10505974292755127</v>
      </c>
      <c r="AU200" s="409">
        <v>4.8743247985839844E-2</v>
      </c>
      <c r="AV200" s="409">
        <v>8.8270425796508789E-2</v>
      </c>
      <c r="AW200" s="409">
        <v>8.5353374481201172E-2</v>
      </c>
      <c r="AX200" s="409">
        <v>6.9607973098754883E-2</v>
      </c>
      <c r="AY200" s="409">
        <v>9.0314984321594238E-2</v>
      </c>
      <c r="AZ200" s="409">
        <v>9.2736363410949707E-2</v>
      </c>
      <c r="BA200" s="409">
        <v>8.8617324829101563E-2</v>
      </c>
      <c r="BB200" s="409">
        <v>4.3297052383422852E-2</v>
      </c>
      <c r="BC200" s="409">
        <v>6.8100810050964355E-2</v>
      </c>
      <c r="BD200" s="409">
        <v>0.18225240707397461</v>
      </c>
      <c r="BE200" s="409">
        <v>5.8481812477111816E-2</v>
      </c>
      <c r="BF200" s="407">
        <v>4.0460705757141113E-2</v>
      </c>
      <c r="BG200" s="407">
        <v>9.1337323188781738E-2</v>
      </c>
      <c r="BH200" s="407">
        <v>4.7013282775878906E-2</v>
      </c>
      <c r="BI200" s="407">
        <v>0.10369384288787842</v>
      </c>
      <c r="BJ200" s="407">
        <v>4.1189193725585938E-2</v>
      </c>
      <c r="BK200" s="407">
        <v>9.5090270042419434E-2</v>
      </c>
      <c r="BL200" s="407">
        <v>4.7825813293457031E-2</v>
      </c>
    </row>
    <row r="201" spans="3:64" x14ac:dyDescent="0.2">
      <c r="C201" s="404" t="s">
        <v>401</v>
      </c>
      <c r="D201" s="407">
        <v>0.39860212802886963</v>
      </c>
      <c r="E201" s="407">
        <v>0</v>
      </c>
      <c r="F201" s="407">
        <v>0.57111883163452148</v>
      </c>
      <c r="G201" s="407">
        <v>0.44267868995666504</v>
      </c>
      <c r="H201" s="407">
        <v>0.82087790966033936</v>
      </c>
      <c r="I201" s="407">
        <v>0.61116063594818115</v>
      </c>
      <c r="J201" s="407">
        <v>0.56753158569335938</v>
      </c>
      <c r="K201" s="407">
        <v>0.48994016647338867</v>
      </c>
      <c r="L201" s="407">
        <v>0.33140301704406738</v>
      </c>
      <c r="M201" s="407">
        <v>0.65917360782623291</v>
      </c>
      <c r="N201" s="407">
        <v>0.57577991485595703</v>
      </c>
      <c r="O201" s="407">
        <v>0.52671527862548828</v>
      </c>
      <c r="P201" s="407">
        <v>0.47742915153503418</v>
      </c>
      <c r="Q201" s="407">
        <v>0.64623546600341797</v>
      </c>
      <c r="R201" s="407">
        <v>0.41720354557037354</v>
      </c>
      <c r="S201" s="407">
        <v>0.37369871139526367</v>
      </c>
      <c r="T201" s="407">
        <v>0.37650179862976074</v>
      </c>
      <c r="U201" s="407">
        <v>0.4162365198135376</v>
      </c>
      <c r="V201" s="407">
        <v>0.43602907657623291</v>
      </c>
      <c r="W201" s="407">
        <v>0.46730470657348633</v>
      </c>
      <c r="X201" s="407">
        <v>0.52656948566436768</v>
      </c>
      <c r="Y201" s="407">
        <v>0.66115796566009521</v>
      </c>
      <c r="Z201" s="407">
        <v>0.64221823215484619</v>
      </c>
      <c r="AA201" s="407">
        <v>0.62078022956848145</v>
      </c>
      <c r="AB201" s="407">
        <v>0.3379979133605957</v>
      </c>
      <c r="AC201" s="407">
        <v>0.51791715621948242</v>
      </c>
      <c r="AD201" s="407">
        <v>0.41971457004547119</v>
      </c>
      <c r="AE201" s="38">
        <f>'User Add-in Location'!B207</f>
        <v>0</v>
      </c>
      <c r="AF201" s="38">
        <f>'User Add-in Location'!C207</f>
        <v>0</v>
      </c>
      <c r="AG201" s="407">
        <v>0.47054600715637207</v>
      </c>
      <c r="AH201" s="407">
        <v>0.4895399808883667</v>
      </c>
      <c r="AI201" s="407">
        <v>0.51243269443511963</v>
      </c>
      <c r="AJ201" s="407">
        <v>0.65021204948425293</v>
      </c>
      <c r="AK201" s="407">
        <v>0.3635563850402832</v>
      </c>
      <c r="AL201" s="407">
        <v>0.60342276096343994</v>
      </c>
      <c r="AM201" s="407">
        <v>0.52931654453277588</v>
      </c>
      <c r="AN201" s="409">
        <v>0.39085876941680908</v>
      </c>
      <c r="AO201" s="409">
        <v>0.39759373664855957</v>
      </c>
      <c r="AP201" s="409">
        <v>0.4229966402053833</v>
      </c>
      <c r="AQ201" s="409">
        <v>0.63599443435668945</v>
      </c>
      <c r="AR201" s="409">
        <v>0.62665581703186035</v>
      </c>
      <c r="AS201" s="409">
        <v>0.7257392406463623</v>
      </c>
      <c r="AT201" s="409">
        <v>0.70796442031860352</v>
      </c>
      <c r="AU201" s="409">
        <v>0.6371539831161499</v>
      </c>
      <c r="AV201" s="409">
        <v>0.66145217418670654</v>
      </c>
      <c r="AW201" s="409">
        <v>0.66726851463317871</v>
      </c>
      <c r="AX201" s="409">
        <v>0.64893829822540283</v>
      </c>
      <c r="AY201" s="409">
        <v>0.66933548450469971</v>
      </c>
      <c r="AZ201" s="409">
        <v>0.81499314308166504</v>
      </c>
      <c r="BA201" s="409">
        <v>0.51695692539215088</v>
      </c>
      <c r="BB201" s="409">
        <v>0.42296242713928223</v>
      </c>
      <c r="BC201" s="409">
        <v>0.40167570114135742</v>
      </c>
      <c r="BD201" s="409">
        <v>0.52305102348327637</v>
      </c>
      <c r="BE201" s="409">
        <v>0.62193977832794189</v>
      </c>
      <c r="BF201" s="407">
        <v>0.57453644275665283</v>
      </c>
      <c r="BG201" s="407">
        <v>0.37179255485534668</v>
      </c>
      <c r="BH201" s="407">
        <v>0.50085878372192383</v>
      </c>
      <c r="BI201" s="407">
        <v>0.64229118824005127</v>
      </c>
      <c r="BJ201" s="407">
        <v>0.36739647388458252</v>
      </c>
      <c r="BK201" s="407">
        <v>0.52825772762298584</v>
      </c>
      <c r="BL201" s="407">
        <v>0</v>
      </c>
    </row>
    <row r="202" spans="3:64" x14ac:dyDescent="0.2">
      <c r="D202" s="411"/>
      <c r="E202" s="411"/>
      <c r="F202" s="411"/>
      <c r="G202" s="411"/>
      <c r="H202" s="411"/>
      <c r="I202" s="411"/>
      <c r="J202" s="411"/>
      <c r="K202" s="411"/>
      <c r="L202" s="411"/>
      <c r="M202" s="411"/>
      <c r="N202" s="411"/>
      <c r="O202" s="411"/>
      <c r="P202" s="411"/>
      <c r="Q202" s="411"/>
      <c r="R202" s="411"/>
      <c r="S202" s="411"/>
      <c r="T202" s="411"/>
      <c r="U202" s="411"/>
      <c r="V202" s="411"/>
      <c r="W202" s="411"/>
      <c r="X202" s="411"/>
      <c r="Y202" s="411"/>
      <c r="Z202" s="411"/>
      <c r="AA202" s="411"/>
      <c r="AB202" s="411"/>
      <c r="AC202" s="411"/>
      <c r="AD202" s="411"/>
      <c r="AE202" s="38"/>
      <c r="AF202" s="38"/>
      <c r="AG202" s="410"/>
      <c r="AH202" s="410"/>
      <c r="AI202" s="410"/>
      <c r="AJ202" s="410"/>
      <c r="AK202" s="410"/>
      <c r="AL202" s="410"/>
      <c r="AM202" s="410"/>
      <c r="AN202" s="410"/>
      <c r="AO202" s="410"/>
      <c r="AP202" s="410"/>
      <c r="AQ202" s="410"/>
      <c r="AR202" s="410"/>
      <c r="AS202" s="412"/>
      <c r="AT202" s="412"/>
      <c r="AU202" s="412"/>
      <c r="AV202" s="412"/>
      <c r="AW202" s="412"/>
      <c r="AX202" s="412"/>
      <c r="AY202" s="412"/>
      <c r="AZ202" s="412"/>
      <c r="BA202" s="410"/>
      <c r="BB202" s="410"/>
      <c r="BC202" s="410"/>
      <c r="BD202" s="410"/>
      <c r="BE202" s="410"/>
      <c r="BF202" s="410"/>
      <c r="BG202" s="410"/>
      <c r="BH202" s="410"/>
      <c r="BI202" s="410"/>
      <c r="BJ202" s="410"/>
      <c r="BK202" s="410"/>
      <c r="BL202" s="410"/>
    </row>
    <row r="203" spans="3:64" ht="12.75" customHeight="1" x14ac:dyDescent="0.2">
      <c r="C203" s="113" t="s">
        <v>180</v>
      </c>
      <c r="D203" s="411"/>
      <c r="E203" s="411"/>
      <c r="F203" s="411"/>
      <c r="G203" s="411"/>
      <c r="H203" s="411"/>
      <c r="I203" s="411"/>
      <c r="J203" s="411"/>
      <c r="K203" s="411"/>
      <c r="L203" s="411"/>
      <c r="M203" s="411"/>
      <c r="N203" s="411"/>
      <c r="O203" s="411"/>
      <c r="P203" s="411"/>
      <c r="Q203" s="411"/>
      <c r="R203" s="411"/>
      <c r="S203" s="411"/>
      <c r="T203" s="411"/>
      <c r="U203" s="411"/>
      <c r="V203" s="411"/>
      <c r="W203" s="411"/>
      <c r="X203" s="411"/>
      <c r="Y203" s="411"/>
      <c r="Z203" s="411"/>
      <c r="AA203" s="411"/>
      <c r="AB203" s="411"/>
      <c r="AC203" s="411"/>
      <c r="AD203" s="411"/>
      <c r="AE203" s="38"/>
      <c r="AF203" s="38"/>
      <c r="AG203" s="410"/>
      <c r="AH203" s="410"/>
      <c r="AI203" s="410"/>
      <c r="AJ203" s="410"/>
      <c r="AK203" s="410"/>
      <c r="AL203" s="410"/>
      <c r="AM203" s="410"/>
      <c r="AN203" s="410"/>
      <c r="AO203" s="410"/>
      <c r="AP203" s="410"/>
      <c r="AQ203" s="410"/>
      <c r="AR203" s="410"/>
      <c r="AS203" s="412"/>
      <c r="AT203" s="412"/>
      <c r="AU203" s="412"/>
      <c r="AV203" s="412"/>
      <c r="AW203" s="412"/>
      <c r="AX203" s="412"/>
      <c r="AY203" s="412"/>
      <c r="AZ203" s="412"/>
      <c r="BA203" s="410"/>
      <c r="BB203" s="410"/>
      <c r="BC203" s="410"/>
      <c r="BD203" s="410"/>
      <c r="BE203" s="410"/>
      <c r="BF203" s="410"/>
      <c r="BG203" s="410"/>
      <c r="BH203" s="410"/>
      <c r="BI203" s="410"/>
      <c r="BJ203" s="410"/>
      <c r="BK203" s="410"/>
      <c r="BL203" s="410"/>
    </row>
    <row r="204" spans="3:64" ht="38.25" x14ac:dyDescent="0.2">
      <c r="C204" s="114" t="s">
        <v>189</v>
      </c>
      <c r="D204" s="411" t="s">
        <v>60</v>
      </c>
      <c r="E204" s="411" t="s">
        <v>61</v>
      </c>
      <c r="F204" s="411" t="s">
        <v>62</v>
      </c>
      <c r="G204" s="411" t="s">
        <v>63</v>
      </c>
      <c r="H204" s="411" t="s">
        <v>64</v>
      </c>
      <c r="I204" s="411" t="s">
        <v>65</v>
      </c>
      <c r="J204" s="411" t="s">
        <v>66</v>
      </c>
      <c r="K204" s="411" t="s">
        <v>67</v>
      </c>
      <c r="L204" s="411" t="s">
        <v>68</v>
      </c>
      <c r="M204" s="411" t="s">
        <v>69</v>
      </c>
      <c r="N204" s="411" t="s">
        <v>70</v>
      </c>
      <c r="O204" s="411" t="s">
        <v>71</v>
      </c>
      <c r="P204" s="411" t="s">
        <v>72</v>
      </c>
      <c r="Q204" s="411" t="s">
        <v>73</v>
      </c>
      <c r="R204" s="411" t="s">
        <v>74</v>
      </c>
      <c r="S204" s="411" t="s">
        <v>75</v>
      </c>
      <c r="T204" s="411" t="s">
        <v>76</v>
      </c>
      <c r="U204" s="411" t="s">
        <v>77</v>
      </c>
      <c r="V204" s="411" t="s">
        <v>78</v>
      </c>
      <c r="W204" s="411" t="s">
        <v>79</v>
      </c>
      <c r="X204" s="411" t="s">
        <v>80</v>
      </c>
      <c r="Y204" s="411" t="s">
        <v>81</v>
      </c>
      <c r="Z204" s="411" t="s">
        <v>82</v>
      </c>
      <c r="AA204" s="411" t="s">
        <v>83</v>
      </c>
      <c r="AB204" s="411" t="s">
        <v>84</v>
      </c>
      <c r="AC204" s="411" t="s">
        <v>85</v>
      </c>
      <c r="AD204" s="411" t="s">
        <v>86</v>
      </c>
      <c r="AE204" s="38" t="s">
        <v>208</v>
      </c>
      <c r="AF204" s="38" t="s">
        <v>207</v>
      </c>
      <c r="AG204" s="410" t="s">
        <v>87</v>
      </c>
      <c r="AH204" s="410" t="s">
        <v>88</v>
      </c>
      <c r="AI204" s="410" t="s">
        <v>89</v>
      </c>
      <c r="AJ204" s="410" t="s">
        <v>90</v>
      </c>
      <c r="AK204" s="410" t="s">
        <v>91</v>
      </c>
      <c r="AL204" s="410" t="s">
        <v>92</v>
      </c>
      <c r="AM204" s="410" t="s">
        <v>93</v>
      </c>
      <c r="AN204" s="410" t="s">
        <v>94</v>
      </c>
      <c r="AO204" s="410" t="s">
        <v>95</v>
      </c>
      <c r="AP204" s="410" t="s">
        <v>96</v>
      </c>
      <c r="AQ204" s="410" t="s">
        <v>97</v>
      </c>
      <c r="AR204" s="410" t="s">
        <v>98</v>
      </c>
      <c r="AS204" s="443" t="s">
        <v>451</v>
      </c>
      <c r="AT204" s="443" t="s">
        <v>452</v>
      </c>
      <c r="AU204" s="443" t="s">
        <v>453</v>
      </c>
      <c r="AV204" s="443" t="s">
        <v>454</v>
      </c>
      <c r="AW204" s="443" t="s">
        <v>455</v>
      </c>
      <c r="AX204" s="443" t="s">
        <v>456</v>
      </c>
      <c r="AY204" s="443" t="s">
        <v>457</v>
      </c>
      <c r="AZ204" s="443" t="s">
        <v>458</v>
      </c>
      <c r="BA204" s="410" t="s">
        <v>99</v>
      </c>
      <c r="BB204" s="410" t="s">
        <v>100</v>
      </c>
      <c r="BC204" s="410" t="s">
        <v>101</v>
      </c>
      <c r="BD204" s="410" t="s">
        <v>102</v>
      </c>
      <c r="BE204" s="410" t="s">
        <v>103</v>
      </c>
      <c r="BF204" s="410" t="s">
        <v>104</v>
      </c>
      <c r="BG204" s="410" t="s">
        <v>105</v>
      </c>
      <c r="BH204" s="410" t="s">
        <v>106</v>
      </c>
      <c r="BI204" s="410" t="s">
        <v>107</v>
      </c>
      <c r="BJ204" s="410" t="s">
        <v>108</v>
      </c>
      <c r="BK204" s="410" t="s">
        <v>109</v>
      </c>
      <c r="BL204" s="410" t="s">
        <v>59</v>
      </c>
    </row>
    <row r="205" spans="3:64" x14ac:dyDescent="0.2">
      <c r="C205" s="404" t="s">
        <v>388</v>
      </c>
      <c r="D205" s="407">
        <v>0.18496374785900116</v>
      </c>
      <c r="E205" s="407">
        <v>0.21612180769443512</v>
      </c>
      <c r="F205" s="407">
        <v>0.28546512126922607</v>
      </c>
      <c r="G205" s="407">
        <v>0.1560920774936676</v>
      </c>
      <c r="H205" s="407">
        <v>0.46387246251106262</v>
      </c>
      <c r="I205" s="407">
        <v>0.20406654477119446</v>
      </c>
      <c r="J205" s="407">
        <v>0.19201402366161346</v>
      </c>
      <c r="K205" s="407">
        <v>0.18853940069675446</v>
      </c>
      <c r="L205" s="407">
        <v>8.1037908792495728E-2</v>
      </c>
      <c r="M205" s="407">
        <v>0.37604594230651855</v>
      </c>
      <c r="N205" s="407">
        <v>0.28111976385116577</v>
      </c>
      <c r="O205" s="407">
        <v>0.32247230410575867</v>
      </c>
      <c r="P205" s="407">
        <v>0.1636379063129425</v>
      </c>
      <c r="Q205" s="407">
        <v>0.19870887696743011</v>
      </c>
      <c r="R205" s="407">
        <v>0.11957082152366638</v>
      </c>
      <c r="S205" s="407">
        <v>0.11324504762887955</v>
      </c>
      <c r="T205" s="407">
        <v>9.7319602966308594E-2</v>
      </c>
      <c r="U205" s="407">
        <v>0.15335208177566528</v>
      </c>
      <c r="V205" s="407">
        <v>0.17870451509952545</v>
      </c>
      <c r="W205" s="407">
        <v>0.26739376783370972</v>
      </c>
      <c r="X205" s="407">
        <v>0.18439701199531555</v>
      </c>
      <c r="Y205" s="407">
        <v>0.41568377614021301</v>
      </c>
      <c r="Z205" s="407">
        <v>0.22621294856071472</v>
      </c>
      <c r="AA205" s="407">
        <v>0.19913028180599213</v>
      </c>
      <c r="AB205" s="407">
        <v>0.14652082324028015</v>
      </c>
      <c r="AC205" s="407">
        <v>0.1518481969833374</v>
      </c>
      <c r="AD205" s="407">
        <v>0.14242357015609741</v>
      </c>
      <c r="AE205" s="38">
        <f>'User Add-in Location'!B211</f>
        <v>0</v>
      </c>
      <c r="AF205" s="38">
        <f>'User Add-in Location'!C211</f>
        <v>0</v>
      </c>
      <c r="AG205" s="407">
        <v>0.12806983292102814</v>
      </c>
      <c r="AH205" s="407">
        <v>0.11089815199375153</v>
      </c>
      <c r="AI205" s="407">
        <v>0.25826641917228699</v>
      </c>
      <c r="AJ205" s="407">
        <v>0.24403420090675354</v>
      </c>
      <c r="AK205" s="407">
        <v>0.14766936004161835</v>
      </c>
      <c r="AL205" s="407">
        <v>0.27783495187759399</v>
      </c>
      <c r="AM205" s="407">
        <v>0.23619961738586426</v>
      </c>
      <c r="AN205" s="409">
        <v>0.11713551729917526</v>
      </c>
      <c r="AO205" s="409">
        <v>0.17546334862709045</v>
      </c>
      <c r="AP205" s="409">
        <v>0.11606545001268387</v>
      </c>
      <c r="AQ205" s="409">
        <v>0.33306184411048889</v>
      </c>
      <c r="AR205" s="409">
        <v>0.28489682078361511</v>
      </c>
      <c r="AS205" s="409">
        <v>0.35821965336799622</v>
      </c>
      <c r="AT205" s="409">
        <v>0.29098436236381531</v>
      </c>
      <c r="AU205" s="409">
        <v>0.26969924569129944</v>
      </c>
      <c r="AV205" s="409">
        <v>0.33265933394432068</v>
      </c>
      <c r="AW205" s="409">
        <v>0.27081575989723206</v>
      </c>
      <c r="AX205" s="409">
        <v>0.25010582804679871</v>
      </c>
      <c r="AY205" s="409">
        <v>0.27281665802001953</v>
      </c>
      <c r="AZ205" s="409">
        <v>0.46258237957954407</v>
      </c>
      <c r="BA205" s="409">
        <v>0.34136602282524109</v>
      </c>
      <c r="BB205" s="409">
        <v>0.17942972481250763</v>
      </c>
      <c r="BC205" s="409">
        <v>0.13302794098854065</v>
      </c>
      <c r="BD205" s="409">
        <v>0.14141194522380829</v>
      </c>
      <c r="BE205" s="409">
        <v>0.25537222623825073</v>
      </c>
      <c r="BF205" s="407">
        <v>0.15731810033321381</v>
      </c>
      <c r="BG205" s="407">
        <v>0.25489643216133118</v>
      </c>
      <c r="BH205" s="407">
        <v>0.1730608344078064</v>
      </c>
      <c r="BI205" s="407">
        <v>0.35398361086845398</v>
      </c>
      <c r="BJ205" s="407">
        <v>7.6501317322254181E-2</v>
      </c>
      <c r="BK205" s="407">
        <v>0.22498689591884613</v>
      </c>
      <c r="BL205" s="407">
        <v>4.9613840878009796E-2</v>
      </c>
    </row>
    <row r="206" spans="3:64" x14ac:dyDescent="0.2">
      <c r="C206" s="404" t="s">
        <v>124</v>
      </c>
      <c r="D206" s="407">
        <v>0.2433638721704483</v>
      </c>
      <c r="E206" s="407">
        <v>0.2019415944814682</v>
      </c>
      <c r="F206" s="407">
        <v>0.28051614761352539</v>
      </c>
      <c r="G206" s="407">
        <v>0.18549522757530212</v>
      </c>
      <c r="H206" s="407">
        <v>0.37439131736755371</v>
      </c>
      <c r="I206" s="407">
        <v>0.33082687854766846</v>
      </c>
      <c r="J206" s="407">
        <v>0.32636609673500061</v>
      </c>
      <c r="K206" s="407">
        <v>0.21504232287406921</v>
      </c>
      <c r="L206" s="407">
        <v>0.10173752903938293</v>
      </c>
      <c r="M206" s="407">
        <v>0.36192995309829712</v>
      </c>
      <c r="N206" s="407">
        <v>0.37487000226974487</v>
      </c>
      <c r="O206" s="407">
        <v>0.3455023467540741</v>
      </c>
      <c r="P206" s="407">
        <v>0.20364943146705627</v>
      </c>
      <c r="Q206" s="407">
        <v>0.35564249753952026</v>
      </c>
      <c r="R206" s="407">
        <v>0.26527789235115051</v>
      </c>
      <c r="S206" s="407">
        <v>0.21480906009674072</v>
      </c>
      <c r="T206" s="407">
        <v>0.20009446144104004</v>
      </c>
      <c r="U206" s="407">
        <v>0.21708956360816956</v>
      </c>
      <c r="V206" s="407">
        <v>0.21407963335514069</v>
      </c>
      <c r="W206" s="407">
        <v>0.26403114199638367</v>
      </c>
      <c r="X206" s="407">
        <v>0.2689337432384491</v>
      </c>
      <c r="Y206" s="407">
        <v>0.35107186436653137</v>
      </c>
      <c r="Z206" s="407">
        <v>0.32081174850463867</v>
      </c>
      <c r="AA206" s="407">
        <v>0.30916771292686462</v>
      </c>
      <c r="AB206" s="407">
        <v>0.17197144031524658</v>
      </c>
      <c r="AC206" s="407">
        <v>0.27552539110183716</v>
      </c>
      <c r="AD206" s="407">
        <v>0.19924755394458771</v>
      </c>
      <c r="AE206" s="38">
        <f>'User Add-in Location'!B212</f>
        <v>0</v>
      </c>
      <c r="AF206" s="38">
        <f>'User Add-in Location'!C212</f>
        <v>0</v>
      </c>
      <c r="AG206" s="407">
        <v>0.26575237512588501</v>
      </c>
      <c r="AH206" s="407">
        <v>0.19870287179946899</v>
      </c>
      <c r="AI206" s="407">
        <v>0.31150051951408386</v>
      </c>
      <c r="AJ206" s="407">
        <v>0.33735907077789307</v>
      </c>
      <c r="AK206" s="407">
        <v>0.18346352875232697</v>
      </c>
      <c r="AL206" s="407">
        <v>0.33178421854972839</v>
      </c>
      <c r="AM206" s="407">
        <v>0.30034953355789185</v>
      </c>
      <c r="AN206" s="409">
        <v>0.14740045368671417</v>
      </c>
      <c r="AO206" s="409">
        <v>0.2996138334274292</v>
      </c>
      <c r="AP206" s="409">
        <v>0.2046818882226944</v>
      </c>
      <c r="AQ206" s="409">
        <v>0.3539232611656189</v>
      </c>
      <c r="AR206" s="409">
        <v>0.35668757557868958</v>
      </c>
      <c r="AS206" s="409">
        <v>0.40251341462135315</v>
      </c>
      <c r="AT206" s="409">
        <v>0.38158023357391357</v>
      </c>
      <c r="AU206" s="409">
        <v>0.37120625376701355</v>
      </c>
      <c r="AV206" s="409">
        <v>0.38847985863685608</v>
      </c>
      <c r="AW206" s="409">
        <v>0.41663965582847595</v>
      </c>
      <c r="AX206" s="409">
        <v>0.3187670111656189</v>
      </c>
      <c r="AY206" s="409">
        <v>0.33772924542427063</v>
      </c>
      <c r="AZ206" s="409">
        <v>0.37404260039329529</v>
      </c>
      <c r="BA206" s="409">
        <v>0.34072190523147583</v>
      </c>
      <c r="BB206" s="409">
        <v>0.22952283918857574</v>
      </c>
      <c r="BC206" s="409">
        <v>0.20061193406581879</v>
      </c>
      <c r="BD206" s="409">
        <v>0.29771876335144043</v>
      </c>
      <c r="BE206" s="409">
        <v>0.30691412091255188</v>
      </c>
      <c r="BF206" s="407">
        <v>0.29482081532478333</v>
      </c>
      <c r="BG206" s="407">
        <v>0.28652238845825195</v>
      </c>
      <c r="BH206" s="407">
        <v>0.29516738653182983</v>
      </c>
      <c r="BI206" s="407">
        <v>0.33403474092483521</v>
      </c>
      <c r="BJ206" s="407">
        <v>0.16538991034030914</v>
      </c>
      <c r="BK206" s="407">
        <v>0.33970442414283752</v>
      </c>
      <c r="BL206" s="407">
        <v>0.12693245708942413</v>
      </c>
    </row>
    <row r="207" spans="3:64" x14ac:dyDescent="0.2">
      <c r="C207" s="404" t="s">
        <v>56</v>
      </c>
      <c r="D207" s="407">
        <v>0.29185816645622253</v>
      </c>
      <c r="E207" s="407">
        <v>0.33237633109092712</v>
      </c>
      <c r="F207" s="407">
        <v>0.46955138444900513</v>
      </c>
      <c r="G207" s="407">
        <v>0.24650938808917999</v>
      </c>
      <c r="H207" s="407">
        <v>0.61003780364990234</v>
      </c>
      <c r="I207" s="407">
        <v>0.49551212787628174</v>
      </c>
      <c r="J207" s="407">
        <v>0.42082580924034119</v>
      </c>
      <c r="K207" s="407">
        <v>0.33141541481018066</v>
      </c>
      <c r="L207" s="407">
        <v>0.11899594962596893</v>
      </c>
      <c r="M207" s="407">
        <v>0.51551777124404907</v>
      </c>
      <c r="N207" s="407">
        <v>0.42525085806846619</v>
      </c>
      <c r="O207" s="407">
        <v>0.40222007036209106</v>
      </c>
      <c r="P207" s="407">
        <v>0.2928881049156189</v>
      </c>
      <c r="Q207" s="407">
        <v>0.53815340995788574</v>
      </c>
      <c r="R207" s="407">
        <v>0.32681530714035034</v>
      </c>
      <c r="S207" s="407">
        <v>0.26619672775268555</v>
      </c>
      <c r="T207" s="407">
        <v>0.29674920439720154</v>
      </c>
      <c r="U207" s="407">
        <v>0.26547876000404358</v>
      </c>
      <c r="V207" s="407">
        <v>0.31304553151130676</v>
      </c>
      <c r="W207" s="407">
        <v>0.34725424647331238</v>
      </c>
      <c r="X207" s="407">
        <v>0.39101245999336243</v>
      </c>
      <c r="Y207" s="407">
        <v>0.49745476245880127</v>
      </c>
      <c r="Z207" s="407">
        <v>0.47217318415641785</v>
      </c>
      <c r="AA207" s="407">
        <v>0.47671529650688171</v>
      </c>
      <c r="AB207" s="407">
        <v>0.23149693012237549</v>
      </c>
      <c r="AC207" s="407">
        <v>0.37466701865196228</v>
      </c>
      <c r="AD207" s="407">
        <v>0.27596595883369446</v>
      </c>
      <c r="AE207" s="38">
        <f>'User Add-in Location'!B213</f>
        <v>0</v>
      </c>
      <c r="AF207" s="38">
        <f>'User Add-in Location'!C213</f>
        <v>0</v>
      </c>
      <c r="AG207" s="407">
        <v>0.31087538599967957</v>
      </c>
      <c r="AH207" s="407">
        <v>0.35781764984130859</v>
      </c>
      <c r="AI207" s="407">
        <v>0.38780474662780762</v>
      </c>
      <c r="AJ207" s="407">
        <v>0.4518912136554718</v>
      </c>
      <c r="AK207" s="407">
        <v>0.26066005229949951</v>
      </c>
      <c r="AL207" s="407">
        <v>0.48604461550712585</v>
      </c>
      <c r="AM207" s="407">
        <v>0.35169395804405212</v>
      </c>
      <c r="AN207" s="409">
        <v>0.22223132848739624</v>
      </c>
      <c r="AO207" s="409">
        <v>0.41566669940948486</v>
      </c>
      <c r="AP207" s="409">
        <v>0.27634206414222717</v>
      </c>
      <c r="AQ207" s="409">
        <v>0.4328446090221405</v>
      </c>
      <c r="AR207" s="409">
        <v>0.49628117680549622</v>
      </c>
      <c r="AS207" s="409">
        <v>0.57775861024856567</v>
      </c>
      <c r="AT207" s="409">
        <v>0.53613841533660889</v>
      </c>
      <c r="AU207" s="409">
        <v>0.46946534514427185</v>
      </c>
      <c r="AV207" s="409">
        <v>0.51301693916320801</v>
      </c>
      <c r="AW207" s="409">
        <v>0.6047745943069458</v>
      </c>
      <c r="AX207" s="409">
        <v>0.47772058844566345</v>
      </c>
      <c r="AY207" s="409">
        <v>0.51157474517822266</v>
      </c>
      <c r="AZ207" s="409">
        <v>0.60793280601501465</v>
      </c>
      <c r="BA207" s="409">
        <v>0.43343439698219299</v>
      </c>
      <c r="BB207" s="409">
        <v>0.31003454327583313</v>
      </c>
      <c r="BC207" s="409">
        <v>0.26303762197494507</v>
      </c>
      <c r="BD207" s="409">
        <v>0.38804537057876587</v>
      </c>
      <c r="BE207" s="409">
        <v>0.4778943657875061</v>
      </c>
      <c r="BF207" s="407">
        <v>0.42805734276771545</v>
      </c>
      <c r="BG207" s="407">
        <v>0.3110014796257019</v>
      </c>
      <c r="BH207" s="407">
        <v>0.37259295582771301</v>
      </c>
      <c r="BI207" s="407">
        <v>0.49810090661048889</v>
      </c>
      <c r="BJ207" s="407">
        <v>0.22208543121814728</v>
      </c>
      <c r="BK207" s="407">
        <v>0.40269312262535095</v>
      </c>
      <c r="BL207" s="407">
        <v>0.18363158404827118</v>
      </c>
    </row>
    <row r="208" spans="3:64" x14ac:dyDescent="0.2">
      <c r="C208" s="404" t="s">
        <v>389</v>
      </c>
      <c r="D208" s="407">
        <v>0.38729935884475708</v>
      </c>
      <c r="E208" s="407">
        <v>0.42625027894973755</v>
      </c>
      <c r="F208" s="407">
        <v>0.60400402545928955</v>
      </c>
      <c r="G208" s="407">
        <v>0.33967456221580505</v>
      </c>
      <c r="H208" s="407">
        <v>0.7323758602142334</v>
      </c>
      <c r="I208" s="407">
        <v>0.63040667772293091</v>
      </c>
      <c r="J208" s="407">
        <v>0.51644957065582275</v>
      </c>
      <c r="K208" s="407">
        <v>0.43559762835502625</v>
      </c>
      <c r="L208" s="407">
        <v>0.15264339745044708</v>
      </c>
      <c r="M208" s="407">
        <v>0.66241389513015747</v>
      </c>
      <c r="N208" s="407">
        <v>0.55470216274261475</v>
      </c>
      <c r="O208" s="407">
        <v>0.53096294403076172</v>
      </c>
      <c r="P208" s="407">
        <v>0.39119753241539001</v>
      </c>
      <c r="Q208" s="407">
        <v>0.67799460887908936</v>
      </c>
      <c r="R208" s="407">
        <v>0.43490204215049744</v>
      </c>
      <c r="S208" s="407">
        <v>0.36326619982719421</v>
      </c>
      <c r="T208" s="407">
        <v>0.40713691711425781</v>
      </c>
      <c r="U208" s="407">
        <v>0.35798078775405884</v>
      </c>
      <c r="V208" s="407">
        <v>0.42106926441192627</v>
      </c>
      <c r="W208" s="407">
        <v>0.45095178484916687</v>
      </c>
      <c r="X208" s="407">
        <v>0.50135761499404907</v>
      </c>
      <c r="Y208" s="407">
        <v>0.61649000644683838</v>
      </c>
      <c r="Z208" s="407">
        <v>0.58849000930786133</v>
      </c>
      <c r="AA208" s="407">
        <v>0.61092334985733032</v>
      </c>
      <c r="AB208" s="407">
        <v>0.32224428653717041</v>
      </c>
      <c r="AC208" s="407">
        <v>0.4880206286907196</v>
      </c>
      <c r="AD208" s="407">
        <v>0.37893739342689514</v>
      </c>
      <c r="AE208" s="38">
        <f>'User Add-in Location'!B214</f>
        <v>0</v>
      </c>
      <c r="AF208" s="38">
        <f>'User Add-in Location'!C214</f>
        <v>0</v>
      </c>
      <c r="AG208" s="407">
        <v>0.43039020895957947</v>
      </c>
      <c r="AH208" s="407">
        <v>0.46959969401359558</v>
      </c>
      <c r="AI208" s="407">
        <v>0.48480105400085449</v>
      </c>
      <c r="AJ208" s="407">
        <v>0.5555194616317749</v>
      </c>
      <c r="AK208" s="407">
        <v>0.36447766423225403</v>
      </c>
      <c r="AL208" s="407">
        <v>0.61789989471435547</v>
      </c>
      <c r="AM208" s="407">
        <v>0.46500128507614136</v>
      </c>
      <c r="AN208" s="409">
        <v>0.31028586626052856</v>
      </c>
      <c r="AO208" s="409">
        <v>0.53401327133178711</v>
      </c>
      <c r="AP208" s="409">
        <v>0.37405133247375488</v>
      </c>
      <c r="AQ208" s="409">
        <v>0.55377733707427979</v>
      </c>
      <c r="AR208" s="409">
        <v>0.62562817335128784</v>
      </c>
      <c r="AS208" s="409">
        <v>0.71319502592086792</v>
      </c>
      <c r="AT208" s="409">
        <v>0.66583925485610962</v>
      </c>
      <c r="AU208" s="409">
        <v>0.60048532485961914</v>
      </c>
      <c r="AV208" s="409">
        <v>0.65247648954391479</v>
      </c>
      <c r="AW208" s="409">
        <v>0.74555140733718872</v>
      </c>
      <c r="AX208" s="409">
        <v>0.61033743619918823</v>
      </c>
      <c r="AY208" s="409">
        <v>0.65281158685684204</v>
      </c>
      <c r="AZ208" s="409">
        <v>0.73118853569030762</v>
      </c>
      <c r="BA208" s="409">
        <v>0.56227564811706543</v>
      </c>
      <c r="BB208" s="409">
        <v>0.41683131456375122</v>
      </c>
      <c r="BC208" s="409">
        <v>0.35973811149597168</v>
      </c>
      <c r="BD208" s="409">
        <v>0.49787792563438416</v>
      </c>
      <c r="BE208" s="409">
        <v>0.61097949743270874</v>
      </c>
      <c r="BF208" s="407">
        <v>0.55524343252182007</v>
      </c>
      <c r="BG208" s="407">
        <v>0.40980544686317444</v>
      </c>
      <c r="BH208" s="407">
        <v>0.48669660091400146</v>
      </c>
      <c r="BI208" s="407">
        <v>0.63068097829818726</v>
      </c>
      <c r="BJ208" s="407">
        <v>0.30779242515563965</v>
      </c>
      <c r="BK208" s="407">
        <v>0.51849210262298584</v>
      </c>
      <c r="BL208" s="407">
        <v>0.26419225335121155</v>
      </c>
    </row>
    <row r="209" spans="3:64" x14ac:dyDescent="0.2">
      <c r="C209" s="404" t="s">
        <v>390</v>
      </c>
      <c r="D209" s="407">
        <v>0.34494483470916748</v>
      </c>
      <c r="E209" s="407">
        <v>0.3247164785861969</v>
      </c>
      <c r="F209" s="407">
        <v>0.47231370210647583</v>
      </c>
      <c r="G209" s="407">
        <v>0.32421964406967163</v>
      </c>
      <c r="H209" s="407">
        <v>0.5747038722038269</v>
      </c>
      <c r="I209" s="407">
        <v>0.49917900562286377</v>
      </c>
      <c r="J209" s="407">
        <v>0.43248486518859863</v>
      </c>
      <c r="K209" s="407">
        <v>0.34553089737892151</v>
      </c>
      <c r="L209" s="407">
        <v>0.11335588991641998</v>
      </c>
      <c r="M209" s="407">
        <v>0.52920740842819214</v>
      </c>
      <c r="N209" s="407">
        <v>0.47360518574714661</v>
      </c>
      <c r="O209" s="407">
        <v>0.37663063406944275</v>
      </c>
      <c r="P209" s="407">
        <v>0.35461145639419556</v>
      </c>
      <c r="Q209" s="407">
        <v>0.50838929414749146</v>
      </c>
      <c r="R209" s="407">
        <v>0.35713276267051697</v>
      </c>
      <c r="S209" s="407">
        <v>0.31717967987060547</v>
      </c>
      <c r="T209" s="407">
        <v>0.33533668518066406</v>
      </c>
      <c r="U209" s="407">
        <v>0.3266756534576416</v>
      </c>
      <c r="V209" s="407">
        <v>0.331541508436203</v>
      </c>
      <c r="W209" s="407">
        <v>0.44271564483642578</v>
      </c>
      <c r="X209" s="407">
        <v>0.38165515661239624</v>
      </c>
      <c r="Y209" s="407">
        <v>0.48428380489349365</v>
      </c>
      <c r="Z209" s="407">
        <v>0.49641209840774536</v>
      </c>
      <c r="AA209" s="407">
        <v>0.48675575852394104</v>
      </c>
      <c r="AB209" s="407">
        <v>0.29512572288513184</v>
      </c>
      <c r="AC209" s="407">
        <v>0.40914520621299744</v>
      </c>
      <c r="AD209" s="407">
        <v>0.34227433800697327</v>
      </c>
      <c r="AE209" s="38">
        <f>'User Add-in Location'!B215</f>
        <v>0</v>
      </c>
      <c r="AF209" s="38">
        <f>'User Add-in Location'!C215</f>
        <v>0</v>
      </c>
      <c r="AG209" s="407">
        <v>0.35976067185401917</v>
      </c>
      <c r="AH209" s="407">
        <v>0.32470971345901489</v>
      </c>
      <c r="AI209" s="407">
        <v>0.44588407874107361</v>
      </c>
      <c r="AJ209" s="407">
        <v>0.43675783276557922</v>
      </c>
      <c r="AK209" s="407">
        <v>0.29507556557655334</v>
      </c>
      <c r="AL209" s="407">
        <v>0.45446151494979858</v>
      </c>
      <c r="AM209" s="407">
        <v>0.41571572422981262</v>
      </c>
      <c r="AN209" s="409">
        <v>0.25627106428146362</v>
      </c>
      <c r="AO209" s="409">
        <v>0.45519202947616577</v>
      </c>
      <c r="AP209" s="409">
        <v>0.34055933356285095</v>
      </c>
      <c r="AQ209" s="409">
        <v>0.44876250624656677</v>
      </c>
      <c r="AR209" s="409">
        <v>0.50369304418563843</v>
      </c>
      <c r="AS209" s="409">
        <v>0.55544984340667725</v>
      </c>
      <c r="AT209" s="409">
        <v>0.525127112865448</v>
      </c>
      <c r="AU209" s="409">
        <v>0.48707488179206848</v>
      </c>
      <c r="AV209" s="409">
        <v>0.5492243766784668</v>
      </c>
      <c r="AW209" s="409">
        <v>0.59936231374740601</v>
      </c>
      <c r="AX209" s="409">
        <v>0.49222865700721741</v>
      </c>
      <c r="AY209" s="409">
        <v>0.51106297969818115</v>
      </c>
      <c r="AZ209" s="409">
        <v>0.57165658473968506</v>
      </c>
      <c r="BA209" s="409">
        <v>0.45362472534179688</v>
      </c>
      <c r="BB209" s="409">
        <v>0.35776039958000183</v>
      </c>
      <c r="BC209" s="409">
        <v>0.33077678084373474</v>
      </c>
      <c r="BD209" s="409">
        <v>0.45487421751022339</v>
      </c>
      <c r="BE209" s="409">
        <v>0.48295572400093079</v>
      </c>
      <c r="BF209" s="407">
        <v>0.45702549815177917</v>
      </c>
      <c r="BG209" s="407">
        <v>0.39586183428764343</v>
      </c>
      <c r="BH209" s="407">
        <v>0.39340072870254517</v>
      </c>
      <c r="BI209" s="407">
        <v>0.47416976094245911</v>
      </c>
      <c r="BJ209" s="407">
        <v>0.25156539678573608</v>
      </c>
      <c r="BK209" s="407">
        <v>0.42465510964393616</v>
      </c>
      <c r="BL209" s="407">
        <v>0.19787107408046722</v>
      </c>
    </row>
    <row r="210" spans="3:64" x14ac:dyDescent="0.2">
      <c r="C210" s="404" t="s">
        <v>125</v>
      </c>
      <c r="D210" s="407">
        <v>0.16000553965568542</v>
      </c>
      <c r="E210" s="407">
        <v>0.14004673063755035</v>
      </c>
      <c r="F210" s="407">
        <v>0.27923285961151123</v>
      </c>
      <c r="G210" s="407">
        <v>0.13977974653244019</v>
      </c>
      <c r="H210" s="407">
        <v>0.37200519442558289</v>
      </c>
      <c r="I210" s="407">
        <v>0.29110121726989746</v>
      </c>
      <c r="J210" s="407">
        <v>0.25514161586761475</v>
      </c>
      <c r="K210" s="407">
        <v>0.16827844083309174</v>
      </c>
      <c r="L210" s="407">
        <v>5.4905932396650314E-2</v>
      </c>
      <c r="M210" s="407">
        <v>0.31743153929710388</v>
      </c>
      <c r="N210" s="407">
        <v>0.24083016812801361</v>
      </c>
      <c r="O210" s="407">
        <v>0.19708843529224396</v>
      </c>
      <c r="P210" s="407">
        <v>0.16059963405132294</v>
      </c>
      <c r="Q210" s="407">
        <v>0.30163893103599548</v>
      </c>
      <c r="R210" s="407">
        <v>0.17512811720371246</v>
      </c>
      <c r="S210" s="407">
        <v>0.13931350409984589</v>
      </c>
      <c r="T210" s="407">
        <v>0.14471645653247833</v>
      </c>
      <c r="U210" s="407">
        <v>0.14393436908721924</v>
      </c>
      <c r="V210" s="407">
        <v>0.13164490461349487</v>
      </c>
      <c r="W210" s="407">
        <v>0.22575119137763977</v>
      </c>
      <c r="X210" s="407">
        <v>0.22655695676803589</v>
      </c>
      <c r="Y210" s="407">
        <v>0.31021043658256531</v>
      </c>
      <c r="Z210" s="407">
        <v>0.28940078616142273</v>
      </c>
      <c r="AA210" s="407">
        <v>0.29462245106697083</v>
      </c>
      <c r="AB210" s="407">
        <v>0.11591735482215881</v>
      </c>
      <c r="AC210" s="407">
        <v>0.19645565748214722</v>
      </c>
      <c r="AD210" s="407">
        <v>0.11612491309642792</v>
      </c>
      <c r="AE210" s="38">
        <f>'User Add-in Location'!B216</f>
        <v>0</v>
      </c>
      <c r="AF210" s="38">
        <f>'User Add-in Location'!C216</f>
        <v>0</v>
      </c>
      <c r="AG210" s="407">
        <v>0.15527912974357605</v>
      </c>
      <c r="AH210" s="407">
        <v>0.20544120669364929</v>
      </c>
      <c r="AI210" s="407">
        <v>0.25562974810600281</v>
      </c>
      <c r="AJ210" s="407">
        <v>0.24377433955669403</v>
      </c>
      <c r="AK210" s="407">
        <v>0.12422235310077667</v>
      </c>
      <c r="AL210" s="407">
        <v>0.28297248482704163</v>
      </c>
      <c r="AM210" s="407">
        <v>0.2068428099155426</v>
      </c>
      <c r="AN210" s="409">
        <v>0.10394193977117538</v>
      </c>
      <c r="AO210" s="409">
        <v>0.24042153358459473</v>
      </c>
      <c r="AP210" s="409">
        <v>0.17365516722202301</v>
      </c>
      <c r="AQ210" s="409">
        <v>0.27176645398139954</v>
      </c>
      <c r="AR210" s="409">
        <v>0.27827432751655579</v>
      </c>
      <c r="AS210" s="409">
        <v>0.36152854561805725</v>
      </c>
      <c r="AT210" s="409">
        <v>0.30631923675537109</v>
      </c>
      <c r="AU210" s="409">
        <v>0.27570897340774536</v>
      </c>
      <c r="AV210" s="409">
        <v>0.30949252843856812</v>
      </c>
      <c r="AW210" s="409">
        <v>0.37548032402992249</v>
      </c>
      <c r="AX210" s="409">
        <v>0.27137228846549988</v>
      </c>
      <c r="AY210" s="409">
        <v>0.29844680428504944</v>
      </c>
      <c r="AZ210" s="409">
        <v>0.36982712149620056</v>
      </c>
      <c r="BA210" s="409">
        <v>0.25476518273353577</v>
      </c>
      <c r="BB210" s="409">
        <v>0.17601825296878815</v>
      </c>
      <c r="BC210" s="409">
        <v>0.1453251838684082</v>
      </c>
      <c r="BD210" s="409">
        <v>0.22673514485359192</v>
      </c>
      <c r="BE210" s="409">
        <v>0.26030445098876953</v>
      </c>
      <c r="BF210" s="407">
        <v>0.23082970082759857</v>
      </c>
      <c r="BG210" s="407">
        <v>0.19495108723640442</v>
      </c>
      <c r="BH210" s="407">
        <v>0.20338423550128937</v>
      </c>
      <c r="BI210" s="407">
        <v>0.27265554666519165</v>
      </c>
      <c r="BJ210" s="407">
        <v>0.10138723999261856</v>
      </c>
      <c r="BK210" s="407">
        <v>0.22932888567447662</v>
      </c>
      <c r="BL210" s="407">
        <v>5.6035138666629791E-2</v>
      </c>
    </row>
    <row r="211" spans="3:64" x14ac:dyDescent="0.2">
      <c r="C211" s="404" t="s">
        <v>126</v>
      </c>
      <c r="D211" s="407">
        <v>0.19282029569149017</v>
      </c>
      <c r="E211" s="407">
        <v>0.16358038783073425</v>
      </c>
      <c r="F211" s="407">
        <v>0.2987293004989624</v>
      </c>
      <c r="G211" s="407">
        <v>0.1754843145608902</v>
      </c>
      <c r="H211" s="407">
        <v>0.41306665539741516</v>
      </c>
      <c r="I211" s="407">
        <v>0.32772544026374817</v>
      </c>
      <c r="J211" s="407">
        <v>0.27895516157150269</v>
      </c>
      <c r="K211" s="407">
        <v>0.21863928437232971</v>
      </c>
      <c r="L211" s="407">
        <v>6.8633757531642914E-2</v>
      </c>
      <c r="M211" s="407">
        <v>0.3446667492389679</v>
      </c>
      <c r="N211" s="407">
        <v>0.28310438990592957</v>
      </c>
      <c r="O211" s="407">
        <v>0.23034588992595673</v>
      </c>
      <c r="P211" s="407">
        <v>0.1929236501455307</v>
      </c>
      <c r="Q211" s="407">
        <v>0.35278874635696411</v>
      </c>
      <c r="R211" s="407">
        <v>0.21425189077854156</v>
      </c>
      <c r="S211" s="407">
        <v>0.1746414452791214</v>
      </c>
      <c r="T211" s="407">
        <v>0.18384924530982971</v>
      </c>
      <c r="U211" s="407">
        <v>0.17304776608943939</v>
      </c>
      <c r="V211" s="407">
        <v>0.20494012534618378</v>
      </c>
      <c r="W211" s="407">
        <v>0.2443481832742691</v>
      </c>
      <c r="X211" s="407">
        <v>0.24304448068141937</v>
      </c>
      <c r="Y211" s="407">
        <v>0.33548283576965332</v>
      </c>
      <c r="Z211" s="407">
        <v>0.32090836763381958</v>
      </c>
      <c r="AA211" s="407">
        <v>0.32619106769561768</v>
      </c>
      <c r="AB211" s="407">
        <v>0.15320050716400146</v>
      </c>
      <c r="AC211" s="407">
        <v>0.2433352917432785</v>
      </c>
      <c r="AD211" s="407">
        <v>0.17844165861606598</v>
      </c>
      <c r="AE211" s="38">
        <f>'User Add-in Location'!B217</f>
        <v>0</v>
      </c>
      <c r="AF211" s="38">
        <f>'User Add-in Location'!C217</f>
        <v>0</v>
      </c>
      <c r="AG211" s="407">
        <v>0.20332267880439758</v>
      </c>
      <c r="AH211" s="407">
        <v>0.21081790328025818</v>
      </c>
      <c r="AI211" s="407">
        <v>0.26508188247680664</v>
      </c>
      <c r="AJ211" s="407">
        <v>0.30154889822006226</v>
      </c>
      <c r="AK211" s="407">
        <v>0.15187941491603851</v>
      </c>
      <c r="AL211" s="407">
        <v>0.32493221759796143</v>
      </c>
      <c r="AM211" s="407">
        <v>0.24803194403648376</v>
      </c>
      <c r="AN211" s="409">
        <v>0.14178895950317383</v>
      </c>
      <c r="AO211" s="409">
        <v>0.28427857160568237</v>
      </c>
      <c r="AP211" s="409">
        <v>0.19997724890708923</v>
      </c>
      <c r="AQ211" s="409">
        <v>0.28830665349960327</v>
      </c>
      <c r="AR211" s="409">
        <v>0.33366411924362183</v>
      </c>
      <c r="AS211" s="409">
        <v>0.40070456266403198</v>
      </c>
      <c r="AT211" s="409">
        <v>0.36577388644218445</v>
      </c>
      <c r="AU211" s="409">
        <v>0.32899197936058044</v>
      </c>
      <c r="AV211" s="409">
        <v>0.35964837670326233</v>
      </c>
      <c r="AW211" s="409">
        <v>0.42653530836105347</v>
      </c>
      <c r="AX211" s="409">
        <v>0.33674657344818115</v>
      </c>
      <c r="AY211" s="409">
        <v>0.33956122398376465</v>
      </c>
      <c r="AZ211" s="409">
        <v>0.41070806980133057</v>
      </c>
      <c r="BA211" s="409">
        <v>0.28625044226646423</v>
      </c>
      <c r="BB211" s="409">
        <v>0.21121916174888611</v>
      </c>
      <c r="BC211" s="409">
        <v>0.18117968738079071</v>
      </c>
      <c r="BD211" s="409">
        <v>0.27824282646179199</v>
      </c>
      <c r="BE211" s="409">
        <v>0.33376693725585938</v>
      </c>
      <c r="BF211" s="407">
        <v>0.28876239061355591</v>
      </c>
      <c r="BG211" s="407">
        <v>0.21348215639591217</v>
      </c>
      <c r="BH211" s="407">
        <v>0.25786015391349792</v>
      </c>
      <c r="BI211" s="407">
        <v>0.32422685623168945</v>
      </c>
      <c r="BJ211" s="407">
        <v>0.13145861029624939</v>
      </c>
      <c r="BK211" s="407">
        <v>0.26537016034126282</v>
      </c>
      <c r="BL211" s="407">
        <v>0.10091535747051239</v>
      </c>
    </row>
    <row r="212" spans="3:64" x14ac:dyDescent="0.2">
      <c r="C212" s="404" t="s">
        <v>127</v>
      </c>
      <c r="D212" s="407">
        <v>0.19185738265514374</v>
      </c>
      <c r="E212" s="407">
        <v>0.13155893981456757</v>
      </c>
      <c r="F212" s="407">
        <v>0.29709857702255249</v>
      </c>
      <c r="G212" s="407">
        <v>0.17504890263080597</v>
      </c>
      <c r="H212" s="407">
        <v>0.42040815949440002</v>
      </c>
      <c r="I212" s="407">
        <v>0.32859861850738525</v>
      </c>
      <c r="J212" s="407">
        <v>0.2638811469078064</v>
      </c>
      <c r="K212" s="407">
        <v>0.27250391244888306</v>
      </c>
      <c r="L212" s="407">
        <v>6.5011158585548401E-2</v>
      </c>
      <c r="M212" s="407">
        <v>0.37451756000518799</v>
      </c>
      <c r="N212" s="407">
        <v>0.33334290981292725</v>
      </c>
      <c r="O212" s="407">
        <v>0</v>
      </c>
      <c r="P212" s="407">
        <v>0.2225995808839798</v>
      </c>
      <c r="Q212" s="407">
        <v>0.38359370827674866</v>
      </c>
      <c r="R212" s="407">
        <v>0.22422182559967041</v>
      </c>
      <c r="S212" s="407">
        <v>0.16995193064212799</v>
      </c>
      <c r="T212" s="407">
        <v>0.20377159118652344</v>
      </c>
      <c r="U212" s="407">
        <v>0.18549990653991699</v>
      </c>
      <c r="V212" s="407">
        <v>0.21919295191764832</v>
      </c>
      <c r="W212" s="407">
        <v>0.24103103578090668</v>
      </c>
      <c r="X212" s="407">
        <v>0.29186928272247314</v>
      </c>
      <c r="Y212" s="407">
        <v>0.35993579030036926</v>
      </c>
      <c r="Z212" s="407">
        <v>0.36693701148033142</v>
      </c>
      <c r="AA212" s="407">
        <v>0.38167104125022888</v>
      </c>
      <c r="AB212" s="407">
        <v>0.16777415573596954</v>
      </c>
      <c r="AC212" s="407">
        <v>0.27982214093208313</v>
      </c>
      <c r="AD212" s="407">
        <v>0.18446560204029083</v>
      </c>
      <c r="AE212" s="38">
        <f>'User Add-in Location'!B218</f>
        <v>0</v>
      </c>
      <c r="AF212" s="38">
        <f>'User Add-in Location'!C218</f>
        <v>0</v>
      </c>
      <c r="AG212" s="407">
        <v>0.19596025347709656</v>
      </c>
      <c r="AH212" s="407">
        <v>0.20392882823944092</v>
      </c>
      <c r="AI212" s="407">
        <v>0.33817088603973389</v>
      </c>
      <c r="AJ212" s="407">
        <v>0.34977144002914429</v>
      </c>
      <c r="AK212" s="407">
        <v>0.18076354265213013</v>
      </c>
      <c r="AL212" s="407">
        <v>0.33913308382034302</v>
      </c>
      <c r="AM212" s="407">
        <v>0.26865106821060181</v>
      </c>
      <c r="AN212" s="409">
        <v>0.10111990571022034</v>
      </c>
      <c r="AO212" s="409">
        <v>0.31580972671508789</v>
      </c>
      <c r="AP212" s="409">
        <v>0.21992595493793488</v>
      </c>
      <c r="AQ212" s="409">
        <v>0.3281233012676239</v>
      </c>
      <c r="AR212" s="409">
        <v>0.35297921299934387</v>
      </c>
      <c r="AS212" s="409">
        <v>0.42006447911262512</v>
      </c>
      <c r="AT212" s="409">
        <v>0.39823785424232483</v>
      </c>
      <c r="AU212" s="409">
        <v>0.34299737215042114</v>
      </c>
      <c r="AV212" s="409">
        <v>0.38340115547180176</v>
      </c>
      <c r="AW212" s="409">
        <v>0.46886494755744934</v>
      </c>
      <c r="AX212" s="409">
        <v>0.35074454545974731</v>
      </c>
      <c r="AY212" s="409">
        <v>0.35495984554290771</v>
      </c>
      <c r="AZ212" s="409">
        <v>0.41830950975418091</v>
      </c>
      <c r="BA212" s="409">
        <v>0.32721635699272156</v>
      </c>
      <c r="BB212" s="409">
        <v>0.21271741390228271</v>
      </c>
      <c r="BC212" s="409">
        <v>0.155308797955513</v>
      </c>
      <c r="BD212" s="409">
        <v>0.28520095348358154</v>
      </c>
      <c r="BE212" s="409">
        <v>0.34090033173561096</v>
      </c>
      <c r="BF212" s="407">
        <v>0.29474350810050964</v>
      </c>
      <c r="BG212" s="407">
        <v>0.24354347586631775</v>
      </c>
      <c r="BH212" s="407">
        <v>0.27403917908668518</v>
      </c>
      <c r="BI212" s="407">
        <v>0.36979052424430847</v>
      </c>
      <c r="BJ212" s="407">
        <v>0.10848085582256317</v>
      </c>
      <c r="BK212" s="407">
        <v>0.309642493724823</v>
      </c>
      <c r="BL212" s="407">
        <v>9.3058273196220398E-2</v>
      </c>
    </row>
    <row r="213" spans="3:64" x14ac:dyDescent="0.2">
      <c r="C213" s="404" t="s">
        <v>391</v>
      </c>
      <c r="D213" s="407">
        <v>0.17947040498256683</v>
      </c>
      <c r="E213" s="407">
        <v>0.15474265813827515</v>
      </c>
      <c r="F213" s="407">
        <v>0.28709352016448975</v>
      </c>
      <c r="G213" s="407">
        <v>0.15398724377155304</v>
      </c>
      <c r="H213" s="407">
        <v>0.39646592736244202</v>
      </c>
      <c r="I213" s="407">
        <v>0.31067359447479248</v>
      </c>
      <c r="J213" s="407">
        <v>0.30662888288497925</v>
      </c>
      <c r="K213" s="407">
        <v>0.22461493313312531</v>
      </c>
      <c r="L213" s="407">
        <v>0</v>
      </c>
      <c r="M213" s="407">
        <v>0.33245676755905151</v>
      </c>
      <c r="N213" s="407">
        <v>0.28172332048416138</v>
      </c>
      <c r="O213" s="407">
        <v>0</v>
      </c>
      <c r="P213" s="407">
        <v>0.17946611344814301</v>
      </c>
      <c r="Q213" s="407">
        <v>0.34427344799041748</v>
      </c>
      <c r="R213" s="407">
        <v>0.18996778130531311</v>
      </c>
      <c r="S213" s="407">
        <v>0.16553816199302673</v>
      </c>
      <c r="T213" s="407">
        <v>0.17010413110256195</v>
      </c>
      <c r="U213" s="407">
        <v>0.17032596468925476</v>
      </c>
      <c r="V213" s="407">
        <v>0.17601655423641205</v>
      </c>
      <c r="W213" s="407">
        <v>0.23819844424724579</v>
      </c>
      <c r="X213" s="407">
        <v>0.23468661308288574</v>
      </c>
      <c r="Y213" s="407">
        <v>0.32810649275779724</v>
      </c>
      <c r="Z213" s="407">
        <v>0.3067200779914856</v>
      </c>
      <c r="AA213" s="407">
        <v>0.31259676814079285</v>
      </c>
      <c r="AB213" s="407">
        <v>0.13179445266723633</v>
      </c>
      <c r="AC213" s="407">
        <v>0.22360695898532867</v>
      </c>
      <c r="AD213" s="407">
        <v>0.18919049203395844</v>
      </c>
      <c r="AE213" s="38">
        <f>'User Add-in Location'!B219</f>
        <v>0</v>
      </c>
      <c r="AF213" s="38">
        <f>'User Add-in Location'!C219</f>
        <v>0</v>
      </c>
      <c r="AG213" s="407">
        <v>0.18811222910881042</v>
      </c>
      <c r="AH213" s="407">
        <v>0.24208575487136841</v>
      </c>
      <c r="AI213" s="407">
        <v>0.25727060437202454</v>
      </c>
      <c r="AJ213" s="407">
        <v>0.28162077069282532</v>
      </c>
      <c r="AK213" s="407">
        <v>0.14067047834396362</v>
      </c>
      <c r="AL213" s="407">
        <v>0.32159212231636047</v>
      </c>
      <c r="AM213" s="407">
        <v>0.25079444050788879</v>
      </c>
      <c r="AN213" s="409">
        <v>0.11229724436998367</v>
      </c>
      <c r="AO213" s="409">
        <v>0.2735636830329895</v>
      </c>
      <c r="AP213" s="409">
        <v>0.18038628995418549</v>
      </c>
      <c r="AQ213" s="409">
        <v>0.28377211093902588</v>
      </c>
      <c r="AR213" s="409">
        <v>0.32412439584732056</v>
      </c>
      <c r="AS213" s="409">
        <v>0.40537071228027344</v>
      </c>
      <c r="AT213" s="409">
        <v>0.35198783874511719</v>
      </c>
      <c r="AU213" s="409">
        <v>0.31081622838973999</v>
      </c>
      <c r="AV213" s="409">
        <v>0.33305695652961731</v>
      </c>
      <c r="AW213" s="409">
        <v>0.40734210610389709</v>
      </c>
      <c r="AX213" s="409">
        <v>0.30370143055915833</v>
      </c>
      <c r="AY213" s="409">
        <v>0.32948797941207886</v>
      </c>
      <c r="AZ213" s="409">
        <v>0.39443820714950562</v>
      </c>
      <c r="BA213" s="409">
        <v>0.29618385434150696</v>
      </c>
      <c r="BB213" s="409">
        <v>0.20158740878105164</v>
      </c>
      <c r="BC213" s="409">
        <v>0.14666198194026947</v>
      </c>
      <c r="BD213" s="409">
        <v>0.24514214694499969</v>
      </c>
      <c r="BE213" s="409">
        <v>0.30792754888534546</v>
      </c>
      <c r="BF213" s="407">
        <v>0.30859753489494324</v>
      </c>
      <c r="BG213" s="407">
        <v>0.21205562353134155</v>
      </c>
      <c r="BH213" s="407">
        <v>0.22333833575248718</v>
      </c>
      <c r="BI213" s="407">
        <v>0.32928970456123352</v>
      </c>
      <c r="BJ213" s="407">
        <v>0.12924614548683167</v>
      </c>
      <c r="BK213" s="407">
        <v>0.25910794734954834</v>
      </c>
      <c r="BL213" s="407">
        <v>0.10748529434204102</v>
      </c>
    </row>
    <row r="214" spans="3:64" x14ac:dyDescent="0.2">
      <c r="C214" s="404" t="s">
        <v>392</v>
      </c>
      <c r="D214" s="407">
        <v>0</v>
      </c>
      <c r="E214" s="407">
        <v>0</v>
      </c>
      <c r="F214" s="407">
        <v>0.29723551869392395</v>
      </c>
      <c r="G214" s="407">
        <v>0.18636156618595123</v>
      </c>
      <c r="H214" s="407">
        <v>0.41995096206665039</v>
      </c>
      <c r="I214" s="407">
        <v>0.32324638962745667</v>
      </c>
      <c r="J214" s="407">
        <v>0.2850060760974884</v>
      </c>
      <c r="K214" s="407">
        <v>0.25726220011711121</v>
      </c>
      <c r="L214" s="407">
        <v>0</v>
      </c>
      <c r="M214" s="407">
        <v>0.38285377621650696</v>
      </c>
      <c r="N214" s="407">
        <v>0.33916562795639038</v>
      </c>
      <c r="O214" s="407">
        <v>0</v>
      </c>
      <c r="P214" s="407">
        <v>0</v>
      </c>
      <c r="Q214" s="407">
        <v>0.38172096014022827</v>
      </c>
      <c r="R214" s="407">
        <v>0.21193110942840576</v>
      </c>
      <c r="S214" s="407">
        <v>0.17581279575824738</v>
      </c>
      <c r="T214" s="407">
        <v>0.18448781967163086</v>
      </c>
      <c r="U214" s="407">
        <v>0.18028983473777771</v>
      </c>
      <c r="V214" s="407">
        <v>0</v>
      </c>
      <c r="W214" s="407">
        <v>0</v>
      </c>
      <c r="X214" s="407">
        <v>0.33049499988555908</v>
      </c>
      <c r="Y214" s="407">
        <v>0</v>
      </c>
      <c r="Z214" s="407">
        <v>0.35888555645942688</v>
      </c>
      <c r="AA214" s="407">
        <v>0.3493439257144928</v>
      </c>
      <c r="AB214" s="407">
        <v>0.15716901421546936</v>
      </c>
      <c r="AC214" s="407">
        <v>0.24359029531478882</v>
      </c>
      <c r="AD214" s="407">
        <v>0</v>
      </c>
      <c r="AE214" s="38">
        <f>'User Add-in Location'!B220</f>
        <v>0</v>
      </c>
      <c r="AF214" s="38">
        <f>'User Add-in Location'!C220</f>
        <v>0</v>
      </c>
      <c r="AG214" s="407">
        <v>0</v>
      </c>
      <c r="AH214" s="407">
        <v>0</v>
      </c>
      <c r="AI214" s="407">
        <v>0</v>
      </c>
      <c r="AJ214" s="407">
        <v>0.31211155652999878</v>
      </c>
      <c r="AK214" s="407">
        <v>0</v>
      </c>
      <c r="AL214" s="407">
        <v>0.32034668326377869</v>
      </c>
      <c r="AM214" s="407">
        <v>0.25787317752838135</v>
      </c>
      <c r="AN214" s="409">
        <v>0</v>
      </c>
      <c r="AO214" s="409">
        <v>0.28889200091362</v>
      </c>
      <c r="AP214" s="409">
        <v>0.17662683129310608</v>
      </c>
      <c r="AQ214" s="409">
        <v>0.29248607158660889</v>
      </c>
      <c r="AR214" s="409">
        <v>0.33173266053199768</v>
      </c>
      <c r="AS214" s="409">
        <v>0.40561011433601379</v>
      </c>
      <c r="AT214" s="409">
        <v>0.38692209124565125</v>
      </c>
      <c r="AU214" s="409">
        <v>0.33158200979232788</v>
      </c>
      <c r="AV214" s="409">
        <v>0.39428979158401489</v>
      </c>
      <c r="AW214" s="409">
        <v>0.43896323442459106</v>
      </c>
      <c r="AX214" s="409">
        <v>0.3253943920135498</v>
      </c>
      <c r="AY214" s="409">
        <v>0.33483672142028809</v>
      </c>
      <c r="AZ214" s="409">
        <v>0.41784852743148804</v>
      </c>
      <c r="BA214" s="409">
        <v>0.3015446662902832</v>
      </c>
      <c r="BB214" s="409">
        <v>0.21518678963184357</v>
      </c>
      <c r="BC214" s="409">
        <v>0</v>
      </c>
      <c r="BD214" s="409">
        <v>0.26752427220344543</v>
      </c>
      <c r="BE214" s="409">
        <v>0.34137305617332458</v>
      </c>
      <c r="BF214" s="407">
        <v>0.27264785766601563</v>
      </c>
      <c r="BG214" s="407">
        <v>0</v>
      </c>
      <c r="BH214" s="407">
        <v>0</v>
      </c>
      <c r="BI214" s="407">
        <v>0.31455329060554504</v>
      </c>
      <c r="BJ214" s="407">
        <v>0.14772415161132813</v>
      </c>
      <c r="BK214" s="407">
        <v>0.2865910530090332</v>
      </c>
      <c r="BL214" s="407">
        <v>0</v>
      </c>
    </row>
    <row r="215" spans="3:64" x14ac:dyDescent="0.2">
      <c r="C215" s="404" t="s">
        <v>393</v>
      </c>
      <c r="D215" s="407">
        <v>0.12173299491405487</v>
      </c>
      <c r="E215" s="407">
        <v>0</v>
      </c>
      <c r="F215" s="407">
        <v>0.2159372866153717</v>
      </c>
      <c r="G215" s="407">
        <v>0.12539558112621307</v>
      </c>
      <c r="H215" s="407">
        <v>0.31972494721412659</v>
      </c>
      <c r="I215" s="407">
        <v>0.20050835609436035</v>
      </c>
      <c r="J215" s="407">
        <v>0.19110272824764252</v>
      </c>
      <c r="K215" s="407">
        <v>0.17352244257926941</v>
      </c>
      <c r="L215" s="407">
        <v>4.443049430847168E-2</v>
      </c>
      <c r="M215" s="407">
        <v>0.22882416844367981</v>
      </c>
      <c r="N215" s="407">
        <v>0.20221079885959625</v>
      </c>
      <c r="O215" s="407">
        <v>0</v>
      </c>
      <c r="P215" s="407">
        <v>0.12522248923778534</v>
      </c>
      <c r="Q215" s="407">
        <v>0.25853210687637329</v>
      </c>
      <c r="R215" s="407">
        <v>0.14133770763874054</v>
      </c>
      <c r="S215" s="407">
        <v>0.11413749307394028</v>
      </c>
      <c r="T215" s="407">
        <v>0</v>
      </c>
      <c r="U215" s="407">
        <v>0.11810242384672165</v>
      </c>
      <c r="V215" s="407">
        <v>0</v>
      </c>
      <c r="W215" s="407">
        <v>0.15795554220676422</v>
      </c>
      <c r="X215" s="407">
        <v>0.18694955110549927</v>
      </c>
      <c r="Y215" s="407">
        <v>0.23200276494026184</v>
      </c>
      <c r="Z215" s="407">
        <v>0.24005784094333649</v>
      </c>
      <c r="AA215" s="407">
        <v>0.22349336743354797</v>
      </c>
      <c r="AB215" s="407">
        <v>0.10337251424789429</v>
      </c>
      <c r="AC215" s="407">
        <v>0.14978514611721039</v>
      </c>
      <c r="AD215" s="407">
        <v>0.11246788501739502</v>
      </c>
      <c r="AE215" s="38">
        <f>'User Add-in Location'!B221</f>
        <v>0</v>
      </c>
      <c r="AF215" s="38">
        <f>'User Add-in Location'!C221</f>
        <v>0</v>
      </c>
      <c r="AG215" s="407">
        <v>0.13602863252162933</v>
      </c>
      <c r="AH215" s="407">
        <v>0.13469961285591125</v>
      </c>
      <c r="AI215" s="407">
        <v>0.17670293152332306</v>
      </c>
      <c r="AJ215" s="407">
        <v>0.21239061653614044</v>
      </c>
      <c r="AK215" s="407">
        <v>9.327901154756546E-2</v>
      </c>
      <c r="AL215" s="407">
        <v>0.2109915018081665</v>
      </c>
      <c r="AM215" s="407">
        <v>0.17707335948944092</v>
      </c>
      <c r="AN215" s="409">
        <v>7.0141330361366272E-2</v>
      </c>
      <c r="AO215" s="409">
        <v>0.182429239153862</v>
      </c>
      <c r="AP215" s="409">
        <v>0.11835701763629913</v>
      </c>
      <c r="AQ215" s="409">
        <v>0.20562902092933655</v>
      </c>
      <c r="AR215" s="409">
        <v>0.23916889727115631</v>
      </c>
      <c r="AS215" s="409">
        <v>0.28522703051567078</v>
      </c>
      <c r="AT215" s="409">
        <v>0.27012860774993896</v>
      </c>
      <c r="AU215" s="409">
        <v>0.2308502197265625</v>
      </c>
      <c r="AV215" s="409">
        <v>0.25082293152809143</v>
      </c>
      <c r="AW215" s="409">
        <v>0.32035914063453674</v>
      </c>
      <c r="AX215" s="409">
        <v>0.25075575709342957</v>
      </c>
      <c r="AY215" s="409">
        <v>0.23328562080860138</v>
      </c>
      <c r="AZ215" s="409">
        <v>0.31769481301307678</v>
      </c>
      <c r="BA215" s="409">
        <v>0.19630637764930725</v>
      </c>
      <c r="BB215" s="409">
        <v>0.14909875392913818</v>
      </c>
      <c r="BC215" s="409">
        <v>0</v>
      </c>
      <c r="BD215" s="409">
        <v>0.16371181607246399</v>
      </c>
      <c r="BE215" s="409">
        <v>0.2519204318523407</v>
      </c>
      <c r="BF215" s="407">
        <v>0.18153619766235352</v>
      </c>
      <c r="BG215" s="407">
        <v>0.1392672210931778</v>
      </c>
      <c r="BH215" s="407">
        <v>0.15780289471149445</v>
      </c>
      <c r="BI215" s="407">
        <v>0.21758508682250977</v>
      </c>
      <c r="BJ215" s="407">
        <v>0</v>
      </c>
      <c r="BK215" s="407">
        <v>0.19684864580631256</v>
      </c>
      <c r="BL215" s="407">
        <v>5.6707300245761871E-2</v>
      </c>
    </row>
    <row r="216" spans="3:64" x14ac:dyDescent="0.2">
      <c r="C216" s="404" t="s">
        <v>57</v>
      </c>
      <c r="D216" s="407">
        <v>0.30859452486038208</v>
      </c>
      <c r="E216" s="407">
        <v>0.28805482387542725</v>
      </c>
      <c r="F216" s="407">
        <v>0.4614262580871582</v>
      </c>
      <c r="G216" s="407">
        <v>0.28571933507919312</v>
      </c>
      <c r="H216" s="407">
        <v>0.54850941896438599</v>
      </c>
      <c r="I216" s="407">
        <v>0.49420833587646484</v>
      </c>
      <c r="J216" s="407">
        <v>0.41444918513298035</v>
      </c>
      <c r="K216" s="407">
        <v>0.33545395731925964</v>
      </c>
      <c r="L216" s="407">
        <v>0.11221875250339508</v>
      </c>
      <c r="M216" s="407">
        <v>0.52564531564712524</v>
      </c>
      <c r="N216" s="407">
        <v>0.45155283808708191</v>
      </c>
      <c r="O216" s="407">
        <v>0.37545320391654968</v>
      </c>
      <c r="P216" s="407">
        <v>0.3225666880607605</v>
      </c>
      <c r="Q216" s="407">
        <v>0.51067554950714111</v>
      </c>
      <c r="R216" s="407">
        <v>0.32987639307975769</v>
      </c>
      <c r="S216" s="407">
        <v>0.28666454553604126</v>
      </c>
      <c r="T216" s="407">
        <v>0.31252214312553406</v>
      </c>
      <c r="U216" s="407">
        <v>0.28976267576217651</v>
      </c>
      <c r="V216" s="407">
        <v>0.31212905049324036</v>
      </c>
      <c r="W216" s="407">
        <v>0.39523100852966309</v>
      </c>
      <c r="X216" s="407">
        <v>0.37804007530212402</v>
      </c>
      <c r="Y216" s="407">
        <v>0.48446875810623169</v>
      </c>
      <c r="Z216" s="407">
        <v>0.46066677570343018</v>
      </c>
      <c r="AA216" s="407">
        <v>0.4789375364780426</v>
      </c>
      <c r="AB216" s="407">
        <v>0.26505804061889648</v>
      </c>
      <c r="AC216" s="407">
        <v>0.38214582204818726</v>
      </c>
      <c r="AD216" s="407">
        <v>0.30280128121376038</v>
      </c>
      <c r="AE216" s="38">
        <f>'User Add-in Location'!B222</f>
        <v>0</v>
      </c>
      <c r="AF216" s="38">
        <f>'User Add-in Location'!C222</f>
        <v>0</v>
      </c>
      <c r="AG216" s="407">
        <v>0.32618314027786255</v>
      </c>
      <c r="AH216" s="407">
        <v>0.33202886581420898</v>
      </c>
      <c r="AI216" s="407">
        <v>0.41027840971946716</v>
      </c>
      <c r="AJ216" s="407">
        <v>0.42164826393127441</v>
      </c>
      <c r="AK216" s="407">
        <v>0.28240829706192017</v>
      </c>
      <c r="AL216" s="407">
        <v>0.47343394160270691</v>
      </c>
      <c r="AM216" s="407">
        <v>0.39209988713264465</v>
      </c>
      <c r="AN216" s="409">
        <v>0.23579129576683044</v>
      </c>
      <c r="AO216" s="409">
        <v>0.42368340492248535</v>
      </c>
      <c r="AP216" s="409">
        <v>0.30983945727348328</v>
      </c>
      <c r="AQ216" s="409">
        <v>0.42802044749259949</v>
      </c>
      <c r="AR216" s="409">
        <v>0.48694702982902527</v>
      </c>
      <c r="AS216" s="409">
        <v>0.56013888120651245</v>
      </c>
      <c r="AT216" s="409">
        <v>0.51409125328063965</v>
      </c>
      <c r="AU216" s="409">
        <v>0.48003441095352173</v>
      </c>
      <c r="AV216" s="409">
        <v>0.52190870046615601</v>
      </c>
      <c r="AW216" s="409">
        <v>0.57219463586807251</v>
      </c>
      <c r="AX216" s="409">
        <v>0.46422222256660461</v>
      </c>
      <c r="AY216" s="409">
        <v>0.49411278963088989</v>
      </c>
      <c r="AZ216" s="409">
        <v>0.54670935869216919</v>
      </c>
      <c r="BA216" s="409">
        <v>0.44835668802261353</v>
      </c>
      <c r="BB216" s="409">
        <v>0.33383479714393616</v>
      </c>
      <c r="BC216" s="409">
        <v>0.2979816198348999</v>
      </c>
      <c r="BD216" s="409">
        <v>0.40991303324699402</v>
      </c>
      <c r="BE216" s="409">
        <v>0.45921313762664795</v>
      </c>
      <c r="BF216" s="407">
        <v>0.43900918960571289</v>
      </c>
      <c r="BG216" s="407">
        <v>0.35158354043960571</v>
      </c>
      <c r="BH216" s="407">
        <v>0.38140934705734253</v>
      </c>
      <c r="BI216" s="407">
        <v>0.46303868293762207</v>
      </c>
      <c r="BJ216" s="407">
        <v>0.22691354155540466</v>
      </c>
      <c r="BK216" s="407">
        <v>0.39930778741836548</v>
      </c>
      <c r="BL216" s="407">
        <v>0.18655157089233398</v>
      </c>
    </row>
    <row r="217" spans="3:64" x14ac:dyDescent="0.2">
      <c r="C217" s="404" t="s">
        <v>394</v>
      </c>
      <c r="D217" s="407">
        <v>0.33473783731460571</v>
      </c>
      <c r="E217" s="407">
        <v>0.3154565691947937</v>
      </c>
      <c r="F217" s="407">
        <v>0.48094594478607178</v>
      </c>
      <c r="G217" s="407">
        <v>0.31176573038101196</v>
      </c>
      <c r="H217" s="407">
        <v>0.5563509464263916</v>
      </c>
      <c r="I217" s="407">
        <v>0.51625102758407593</v>
      </c>
      <c r="J217" s="407">
        <v>0.406760573387146</v>
      </c>
      <c r="K217" s="407">
        <v>0.35436272621154785</v>
      </c>
      <c r="L217" s="407">
        <v>0.11500354111194611</v>
      </c>
      <c r="M217" s="407">
        <v>0.55275732278823853</v>
      </c>
      <c r="N217" s="407">
        <v>0.47708585858345032</v>
      </c>
      <c r="O217" s="407">
        <v>0.40525171160697937</v>
      </c>
      <c r="P217" s="407">
        <v>0.34384515881538391</v>
      </c>
      <c r="Q217" s="407">
        <v>0.53189373016357422</v>
      </c>
      <c r="R217" s="407">
        <v>0.35354360938072205</v>
      </c>
      <c r="S217" s="407">
        <v>0.30235743522644043</v>
      </c>
      <c r="T217" s="407">
        <v>0.33855226635932922</v>
      </c>
      <c r="U217" s="407">
        <v>0.31156706809997559</v>
      </c>
      <c r="V217" s="407">
        <v>0.33945560455322266</v>
      </c>
      <c r="W217" s="407">
        <v>0.39381179213523865</v>
      </c>
      <c r="X217" s="407">
        <v>0.40131118893623352</v>
      </c>
      <c r="Y217" s="407">
        <v>0.48743218183517456</v>
      </c>
      <c r="Z217" s="407">
        <v>0.48956182599067688</v>
      </c>
      <c r="AA217" s="407">
        <v>0.48694461584091187</v>
      </c>
      <c r="AB217" s="407">
        <v>0.28501617908477783</v>
      </c>
      <c r="AC217" s="407">
        <v>0.39612111449241638</v>
      </c>
      <c r="AD217" s="407">
        <v>0.33006668090820313</v>
      </c>
      <c r="AE217" s="38">
        <f>'User Add-in Location'!B223</f>
        <v>0</v>
      </c>
      <c r="AF217" s="38">
        <f>'User Add-in Location'!C223</f>
        <v>0</v>
      </c>
      <c r="AG217" s="407">
        <v>0.3351057767868042</v>
      </c>
      <c r="AH217" s="407">
        <v>0.33618023991584778</v>
      </c>
      <c r="AI217" s="407">
        <v>0.40874671936035156</v>
      </c>
      <c r="AJ217" s="407">
        <v>0.42669486999511719</v>
      </c>
      <c r="AK217" s="407">
        <v>0.30325505137443542</v>
      </c>
      <c r="AL217" s="407">
        <v>0.47690051794052124</v>
      </c>
      <c r="AM217" s="407">
        <v>0.41240406036376953</v>
      </c>
      <c r="AN217" s="409">
        <v>0.25049513578414917</v>
      </c>
      <c r="AO217" s="409">
        <v>0.43924656510353088</v>
      </c>
      <c r="AP217" s="409">
        <v>0.33439275622367859</v>
      </c>
      <c r="AQ217" s="409">
        <v>0.44752544164657593</v>
      </c>
      <c r="AR217" s="409">
        <v>0.49015122652053833</v>
      </c>
      <c r="AS217" s="409">
        <v>0.55976927280426025</v>
      </c>
      <c r="AT217" s="409">
        <v>0.51907265186309814</v>
      </c>
      <c r="AU217" s="409">
        <v>0.50041460990905762</v>
      </c>
      <c r="AV217" s="409">
        <v>0.5514448881149292</v>
      </c>
      <c r="AW217" s="409">
        <v>0.58983844518661499</v>
      </c>
      <c r="AX217" s="409">
        <v>0.49413278698921204</v>
      </c>
      <c r="AY217" s="409">
        <v>0.50952541828155518</v>
      </c>
      <c r="AZ217" s="409">
        <v>0.55519664287567139</v>
      </c>
      <c r="BA217" s="409">
        <v>0.46025219559669495</v>
      </c>
      <c r="BB217" s="409">
        <v>0.35911169648170471</v>
      </c>
      <c r="BC217" s="409">
        <v>0.31410479545593262</v>
      </c>
      <c r="BD217" s="409">
        <v>0.43527871370315552</v>
      </c>
      <c r="BE217" s="409">
        <v>0.49219852685928345</v>
      </c>
      <c r="BF217" s="407">
        <v>0.44331023097038269</v>
      </c>
      <c r="BG217" s="407">
        <v>0.35161218047142029</v>
      </c>
      <c r="BH217" s="407">
        <v>0.39779573678970337</v>
      </c>
      <c r="BI217" s="407">
        <v>0.46078398823738098</v>
      </c>
      <c r="BJ217" s="407">
        <v>0.24593330919742584</v>
      </c>
      <c r="BK217" s="407">
        <v>0.39703038334846497</v>
      </c>
      <c r="BL217" s="407">
        <v>0.19760671257972717</v>
      </c>
    </row>
    <row r="218" spans="3:64" x14ac:dyDescent="0.2">
      <c r="C218" s="404" t="s">
        <v>128</v>
      </c>
      <c r="D218" s="407">
        <v>0.20840394496917725</v>
      </c>
      <c r="E218" s="407">
        <v>0.23996482789516449</v>
      </c>
      <c r="F218" s="407">
        <v>0.33000344038009644</v>
      </c>
      <c r="G218" s="407">
        <v>0.22123025357723236</v>
      </c>
      <c r="H218" s="407">
        <v>0.3894016444683075</v>
      </c>
      <c r="I218" s="407">
        <v>0.35918888449668884</v>
      </c>
      <c r="J218" s="407">
        <v>0.25703889131546021</v>
      </c>
      <c r="K218" s="407">
        <v>0.21324515342712402</v>
      </c>
      <c r="L218" s="407">
        <v>6.4791791141033173E-2</v>
      </c>
      <c r="M218" s="407">
        <v>0.3569449782371521</v>
      </c>
      <c r="N218" s="407">
        <v>0.30769303441047668</v>
      </c>
      <c r="O218" s="407">
        <v>0.24933892488479614</v>
      </c>
      <c r="P218" s="407">
        <v>0.2415689080953598</v>
      </c>
      <c r="Q218" s="407">
        <v>0.37413951754570007</v>
      </c>
      <c r="R218" s="407">
        <v>0.24386832118034363</v>
      </c>
      <c r="S218" s="407">
        <v>0.21106609702110291</v>
      </c>
      <c r="T218" s="407">
        <v>0.21204100549221039</v>
      </c>
      <c r="U218" s="407">
        <v>0.21463514864444733</v>
      </c>
      <c r="V218" s="407">
        <v>0.22451262176036835</v>
      </c>
      <c r="W218" s="407">
        <v>0.28152728080749512</v>
      </c>
      <c r="X218" s="407">
        <v>0.2243078351020813</v>
      </c>
      <c r="Y218" s="407">
        <v>0.31051969528198242</v>
      </c>
      <c r="Z218" s="407">
        <v>0.31706708669662476</v>
      </c>
      <c r="AA218" s="407">
        <v>0.34798839688301086</v>
      </c>
      <c r="AB218" s="407">
        <v>0.18843773007392883</v>
      </c>
      <c r="AC218" s="407">
        <v>0.27732968330383301</v>
      </c>
      <c r="AD218" s="407">
        <v>0.20674186944961548</v>
      </c>
      <c r="AE218" s="38">
        <f>'User Add-in Location'!B224</f>
        <v>0</v>
      </c>
      <c r="AF218" s="38">
        <f>'User Add-in Location'!C224</f>
        <v>0</v>
      </c>
      <c r="AG218" s="407">
        <v>0.24140693247318268</v>
      </c>
      <c r="AH218" s="407">
        <v>0.22956082224845886</v>
      </c>
      <c r="AI218" s="407">
        <v>0.25901961326599121</v>
      </c>
      <c r="AJ218" s="407">
        <v>0.30835133790969849</v>
      </c>
      <c r="AK218" s="407">
        <v>0.1962943822145462</v>
      </c>
      <c r="AL218" s="407">
        <v>0.30314135551452637</v>
      </c>
      <c r="AM218" s="407">
        <v>0.28035241365432739</v>
      </c>
      <c r="AN218" s="409">
        <v>0.16560779511928558</v>
      </c>
      <c r="AO218" s="409">
        <v>0.31182757019996643</v>
      </c>
      <c r="AP218" s="409">
        <v>0.229278564453125</v>
      </c>
      <c r="AQ218" s="409">
        <v>0.30597111582756042</v>
      </c>
      <c r="AR218" s="409">
        <v>0.3466130793094635</v>
      </c>
      <c r="AS218" s="409">
        <v>0.36082950234413147</v>
      </c>
      <c r="AT218" s="409">
        <v>0.36968162655830383</v>
      </c>
      <c r="AU218" s="409">
        <v>0.31649836897850037</v>
      </c>
      <c r="AV218" s="409">
        <v>0.37401366233825684</v>
      </c>
      <c r="AW218" s="409">
        <v>0.42382243275642395</v>
      </c>
      <c r="AX218" s="409">
        <v>0.35927817225456238</v>
      </c>
      <c r="AY218" s="409">
        <v>0.36877167224884033</v>
      </c>
      <c r="AZ218" s="409">
        <v>0.38749387860298157</v>
      </c>
      <c r="BA218" s="409">
        <v>0.28184017539024353</v>
      </c>
      <c r="BB218" s="409">
        <v>0.22089748084545135</v>
      </c>
      <c r="BC218" s="409">
        <v>0.21263253688812256</v>
      </c>
      <c r="BD218" s="409">
        <v>0.31766489148139954</v>
      </c>
      <c r="BE218" s="409">
        <v>0.34646779298782349</v>
      </c>
      <c r="BF218" s="407">
        <v>0.33578753471374512</v>
      </c>
      <c r="BG218" s="407">
        <v>0.22924385964870453</v>
      </c>
      <c r="BH218" s="407">
        <v>0.25759381055831909</v>
      </c>
      <c r="BI218" s="407">
        <v>0.33492168784141541</v>
      </c>
      <c r="BJ218" s="407">
        <v>0.15605437755584717</v>
      </c>
      <c r="BK218" s="407">
        <v>0.30265241861343384</v>
      </c>
      <c r="BL218" s="407">
        <v>0.13547532260417938</v>
      </c>
    </row>
    <row r="219" spans="3:64" x14ac:dyDescent="0.2">
      <c r="C219" s="404" t="s">
        <v>395</v>
      </c>
      <c r="D219" s="407">
        <v>0.21070526540279388</v>
      </c>
      <c r="E219" s="407">
        <v>0.20358604192733765</v>
      </c>
      <c r="F219" s="407">
        <v>0.28577640652656555</v>
      </c>
      <c r="G219" s="407">
        <v>0.18884336948394775</v>
      </c>
      <c r="H219" s="407">
        <v>0.34474503993988037</v>
      </c>
      <c r="I219" s="407">
        <v>0.31886127591133118</v>
      </c>
      <c r="J219" s="407">
        <v>0.35235154628753662</v>
      </c>
      <c r="K219" s="407">
        <v>0.24815815687179565</v>
      </c>
      <c r="L219" s="407">
        <v>7.6461963355541229E-2</v>
      </c>
      <c r="M219" s="407">
        <v>0.33981385827064514</v>
      </c>
      <c r="N219" s="407">
        <v>0.30674701929092407</v>
      </c>
      <c r="O219" s="407">
        <v>0.21856433153152466</v>
      </c>
      <c r="P219" s="407">
        <v>0.20751196146011353</v>
      </c>
      <c r="Q219" s="407">
        <v>0.36624950170516968</v>
      </c>
      <c r="R219" s="407">
        <v>0.22412072122097015</v>
      </c>
      <c r="S219" s="407">
        <v>0.22192166745662689</v>
      </c>
      <c r="T219" s="407">
        <v>0.22704231739044189</v>
      </c>
      <c r="U219" s="407">
        <v>0.20825569331645966</v>
      </c>
      <c r="V219" s="407">
        <v>0.21398505568504333</v>
      </c>
      <c r="W219" s="407">
        <v>0.28719723224639893</v>
      </c>
      <c r="X219" s="407">
        <v>0.23581597208976746</v>
      </c>
      <c r="Y219" s="407">
        <v>0.3550904393196106</v>
      </c>
      <c r="Z219" s="407">
        <v>0.29721802473068237</v>
      </c>
      <c r="AA219" s="407">
        <v>0.35428711771965027</v>
      </c>
      <c r="AB219" s="407">
        <v>0.17523029446601868</v>
      </c>
      <c r="AC219" s="407">
        <v>0.27458357810974121</v>
      </c>
      <c r="AD219" s="407">
        <v>0.19707387685775757</v>
      </c>
      <c r="AE219" s="38">
        <f>'User Add-in Location'!B225</f>
        <v>0</v>
      </c>
      <c r="AF219" s="38">
        <f>'User Add-in Location'!C225</f>
        <v>0</v>
      </c>
      <c r="AG219" s="407">
        <v>0.24593649804592133</v>
      </c>
      <c r="AH219" s="407">
        <v>0.19339625537395477</v>
      </c>
      <c r="AI219" s="407">
        <v>0.29264044761657715</v>
      </c>
      <c r="AJ219" s="407">
        <v>0.31467521190643311</v>
      </c>
      <c r="AK219" s="407">
        <v>0.17658770084381104</v>
      </c>
      <c r="AL219" s="407">
        <v>0.33612966537475586</v>
      </c>
      <c r="AM219" s="407">
        <v>0.25781905651092529</v>
      </c>
      <c r="AN219" s="409">
        <v>0.16497248411178589</v>
      </c>
      <c r="AO219" s="409">
        <v>0.30610206723213196</v>
      </c>
      <c r="AP219" s="409">
        <v>0.20541487634181976</v>
      </c>
      <c r="AQ219" s="409">
        <v>0.2828134298324585</v>
      </c>
      <c r="AR219" s="409">
        <v>0.37617027759552002</v>
      </c>
      <c r="AS219" s="409">
        <v>0.41754460334777832</v>
      </c>
      <c r="AT219" s="409">
        <v>0.39121758937835693</v>
      </c>
      <c r="AU219" s="409">
        <v>0.3066975474357605</v>
      </c>
      <c r="AV219" s="409">
        <v>0.35034060478210449</v>
      </c>
      <c r="AW219" s="409">
        <v>0.41074654459953308</v>
      </c>
      <c r="AX219" s="409">
        <v>0.31487321853637695</v>
      </c>
      <c r="AY219" s="409">
        <v>0.32411611080169678</v>
      </c>
      <c r="AZ219" s="409">
        <v>0.34272155165672302</v>
      </c>
      <c r="BA219" s="409">
        <v>0.32012531161308289</v>
      </c>
      <c r="BB219" s="409">
        <v>0.22210213541984558</v>
      </c>
      <c r="BC219" s="409">
        <v>0.20798487961292267</v>
      </c>
      <c r="BD219" s="409">
        <v>0.28251788020133972</v>
      </c>
      <c r="BE219" s="409">
        <v>0.30870971083641052</v>
      </c>
      <c r="BF219" s="407">
        <v>0.30003970861434937</v>
      </c>
      <c r="BG219" s="407">
        <v>0.24153020977973938</v>
      </c>
      <c r="BH219" s="407">
        <v>0.23923546075820923</v>
      </c>
      <c r="BI219" s="407">
        <v>0.29688459634780884</v>
      </c>
      <c r="BJ219" s="407">
        <v>0.15105736255645752</v>
      </c>
      <c r="BK219" s="407">
        <v>0.29736554622650146</v>
      </c>
      <c r="BL219" s="407">
        <v>0.10874499380588531</v>
      </c>
    </row>
    <row r="220" spans="3:64" x14ac:dyDescent="0.2">
      <c r="C220" s="404" t="s">
        <v>396</v>
      </c>
      <c r="D220" s="407">
        <v>0.25955522060394287</v>
      </c>
      <c r="E220" s="407">
        <v>0.23929037153720856</v>
      </c>
      <c r="F220" s="407">
        <v>0.45715746283531189</v>
      </c>
      <c r="G220" s="407">
        <v>0.24961818754673004</v>
      </c>
      <c r="H220" s="407">
        <v>0.57741719484329224</v>
      </c>
      <c r="I220" s="407">
        <v>0.52952343225479126</v>
      </c>
      <c r="J220" s="407">
        <v>0.53864002227783203</v>
      </c>
      <c r="K220" s="407">
        <v>0.36210113763809204</v>
      </c>
      <c r="L220" s="407">
        <v>0.12988181412220001</v>
      </c>
      <c r="M220" s="407">
        <v>0.53134185075759888</v>
      </c>
      <c r="N220" s="407">
        <v>0.44022795557975769</v>
      </c>
      <c r="O220" s="407">
        <v>0.31757780909538269</v>
      </c>
      <c r="P220" s="407">
        <v>0.28835931420326233</v>
      </c>
      <c r="Q220" s="407">
        <v>0.56271219253540039</v>
      </c>
      <c r="R220" s="407">
        <v>0.29664215445518494</v>
      </c>
      <c r="S220" s="407">
        <v>0.25974497199058533</v>
      </c>
      <c r="T220" s="407">
        <v>0.28479444980621338</v>
      </c>
      <c r="U220" s="407">
        <v>0.26715883612632751</v>
      </c>
      <c r="V220" s="407">
        <v>0.27131131291389465</v>
      </c>
      <c r="W220" s="407">
        <v>0.35195022821426392</v>
      </c>
      <c r="X220" s="407">
        <v>0.40109601616859436</v>
      </c>
      <c r="Y220" s="407">
        <v>0.56645828485488892</v>
      </c>
      <c r="Z220" s="407">
        <v>0.42678424715995789</v>
      </c>
      <c r="AA220" s="407">
        <v>0.48936116695404053</v>
      </c>
      <c r="AB220" s="407">
        <v>0.21963728964328766</v>
      </c>
      <c r="AC220" s="407">
        <v>0.37528875470161438</v>
      </c>
      <c r="AD220" s="407">
        <v>0.26344695687294006</v>
      </c>
      <c r="AE220" s="38">
        <f>'User Add-in Location'!B226</f>
        <v>0</v>
      </c>
      <c r="AF220" s="38">
        <f>'User Add-in Location'!C226</f>
        <v>0</v>
      </c>
      <c r="AG220" s="407">
        <v>0.3032432496547699</v>
      </c>
      <c r="AH220" s="407">
        <v>0.31709486246109009</v>
      </c>
      <c r="AI220" s="407">
        <v>0.4471031129360199</v>
      </c>
      <c r="AJ220" s="407">
        <v>0.4929012656211853</v>
      </c>
      <c r="AK220" s="407">
        <v>0.26433375477790833</v>
      </c>
      <c r="AL220" s="407">
        <v>0.65803694725036621</v>
      </c>
      <c r="AM220" s="407">
        <v>0.35460099577903748</v>
      </c>
      <c r="AN220" s="409">
        <v>0.19206531345844269</v>
      </c>
      <c r="AO220" s="409">
        <v>0.40147781372070313</v>
      </c>
      <c r="AP220" s="409">
        <v>0.26365676522254944</v>
      </c>
      <c r="AQ220" s="409">
        <v>0.39761626720428467</v>
      </c>
      <c r="AR220" s="409">
        <v>0.46651461720466614</v>
      </c>
      <c r="AS220" s="409">
        <v>0.74094223976135254</v>
      </c>
      <c r="AT220" s="409">
        <v>0.54648518562316895</v>
      </c>
      <c r="AU220" s="409">
        <v>0.47068014740943909</v>
      </c>
      <c r="AV220" s="409">
        <v>0.50685781240463257</v>
      </c>
      <c r="AW220" s="409">
        <v>0.57278680801391602</v>
      </c>
      <c r="AX220" s="409">
        <v>0.44883009791374207</v>
      </c>
      <c r="AY220" s="409">
        <v>0.47632414102554321</v>
      </c>
      <c r="AZ220" s="409">
        <v>0.57317012548446655</v>
      </c>
      <c r="BA220" s="409">
        <v>0.46175128221511841</v>
      </c>
      <c r="BB220" s="409">
        <v>0.29947200417518616</v>
      </c>
      <c r="BC220" s="409">
        <v>0.2749258279800415</v>
      </c>
      <c r="BD220" s="409">
        <v>0.40815740823745728</v>
      </c>
      <c r="BE220" s="409">
        <v>0.45600298047065735</v>
      </c>
      <c r="BF220" s="407">
        <v>0.41628745198249817</v>
      </c>
      <c r="BG220" s="407">
        <v>0.31670066714286804</v>
      </c>
      <c r="BH220" s="407">
        <v>0.38495162129402161</v>
      </c>
      <c r="BI220" s="407">
        <v>0.43422287702560425</v>
      </c>
      <c r="BJ220" s="407">
        <v>0.18215438723564148</v>
      </c>
      <c r="BK220" s="407">
        <v>0.38453593850135803</v>
      </c>
      <c r="BL220" s="407">
        <v>0.1545066237449646</v>
      </c>
    </row>
    <row r="221" spans="3:64" x14ac:dyDescent="0.2">
      <c r="C221" s="404" t="s">
        <v>397</v>
      </c>
      <c r="D221" s="407">
        <v>0.39338114857673645</v>
      </c>
      <c r="E221" s="407">
        <v>0.37064987421035767</v>
      </c>
      <c r="F221" s="407">
        <v>0.57552766799926758</v>
      </c>
      <c r="G221" s="407">
        <v>0.34551957249641418</v>
      </c>
      <c r="H221" s="407">
        <v>0.71477007865905762</v>
      </c>
      <c r="I221" s="407">
        <v>0.64430451393127441</v>
      </c>
      <c r="J221" s="407">
        <v>0.53852754831314087</v>
      </c>
      <c r="K221" s="407">
        <v>0.45046177506446838</v>
      </c>
      <c r="L221" s="407">
        <v>0.18164677917957306</v>
      </c>
      <c r="M221" s="407">
        <v>0.65719717741012573</v>
      </c>
      <c r="N221" s="407">
        <v>0.56629061698913574</v>
      </c>
      <c r="O221" s="407">
        <v>0.47482413053512573</v>
      </c>
      <c r="P221" s="407">
        <v>0.44566604495048523</v>
      </c>
      <c r="Q221" s="407">
        <v>0.66485315561294556</v>
      </c>
      <c r="R221" s="407">
        <v>0.40969443321228027</v>
      </c>
      <c r="S221" s="407">
        <v>0.34948202967643738</v>
      </c>
      <c r="T221" s="407">
        <v>0.38923293352127075</v>
      </c>
      <c r="U221" s="407">
        <v>0.35715237259864807</v>
      </c>
      <c r="V221" s="407">
        <v>0.38465279340744019</v>
      </c>
      <c r="W221" s="407">
        <v>0.4928208589553833</v>
      </c>
      <c r="X221" s="407">
        <v>0.50719988346099854</v>
      </c>
      <c r="Y221" s="407">
        <v>0.65048515796661377</v>
      </c>
      <c r="Z221" s="407">
        <v>0.59985893964767456</v>
      </c>
      <c r="AA221" s="407">
        <v>0.59681010246276855</v>
      </c>
      <c r="AB221" s="407">
        <v>0.32374271750450134</v>
      </c>
      <c r="AC221" s="407">
        <v>0.48804911971092224</v>
      </c>
      <c r="AD221" s="407">
        <v>0.3858085572719574</v>
      </c>
      <c r="AE221" s="38">
        <f>'User Add-in Location'!B227</f>
        <v>0</v>
      </c>
      <c r="AF221" s="38">
        <f>'User Add-in Location'!C227</f>
        <v>0</v>
      </c>
      <c r="AG221" s="407">
        <v>0.39633780717849731</v>
      </c>
      <c r="AH221" s="407">
        <v>0.42173120379447937</v>
      </c>
      <c r="AI221" s="407">
        <v>0.51843720674514771</v>
      </c>
      <c r="AJ221" s="407">
        <v>0.55719125270843506</v>
      </c>
      <c r="AK221" s="407">
        <v>0.40514793992042542</v>
      </c>
      <c r="AL221" s="407">
        <v>0.61258614063262939</v>
      </c>
      <c r="AM221" s="407">
        <v>0.49379530549049377</v>
      </c>
      <c r="AN221" s="409">
        <v>0.27512884140014648</v>
      </c>
      <c r="AO221" s="409">
        <v>0.53057295083999634</v>
      </c>
      <c r="AP221" s="409">
        <v>0.38065704703330994</v>
      </c>
      <c r="AQ221" s="409">
        <v>0.52453368902206421</v>
      </c>
      <c r="AR221" s="409">
        <v>0.62716066837310791</v>
      </c>
      <c r="AS221" s="409">
        <v>0.72636425495147705</v>
      </c>
      <c r="AT221" s="409">
        <v>0.66719383001327515</v>
      </c>
      <c r="AU221" s="409">
        <v>0.62418895959854126</v>
      </c>
      <c r="AV221" s="409">
        <v>0.65331363677978516</v>
      </c>
      <c r="AW221" s="409">
        <v>0.72429841756820679</v>
      </c>
      <c r="AX221" s="409">
        <v>0.58917820453643799</v>
      </c>
      <c r="AY221" s="409">
        <v>0.62701314687728882</v>
      </c>
      <c r="AZ221" s="409">
        <v>0.71195709705352783</v>
      </c>
      <c r="BA221" s="409">
        <v>0.55688434839248657</v>
      </c>
      <c r="BB221" s="409">
        <v>0.41369152069091797</v>
      </c>
      <c r="BC221" s="409">
        <v>0.36049714684486389</v>
      </c>
      <c r="BD221" s="409">
        <v>0.52918511629104614</v>
      </c>
      <c r="BE221" s="409">
        <v>0.58402413129806519</v>
      </c>
      <c r="BF221" s="407">
        <v>0.54656845331192017</v>
      </c>
      <c r="BG221" s="407">
        <v>0.44822180271148682</v>
      </c>
      <c r="BH221" s="407">
        <v>0.50037896633148193</v>
      </c>
      <c r="BI221" s="407">
        <v>0.60369777679443359</v>
      </c>
      <c r="BJ221" s="407">
        <v>0.28936019539833069</v>
      </c>
      <c r="BK221" s="407">
        <v>0.49060052633285522</v>
      </c>
      <c r="BL221" s="407">
        <v>0.23012034595012665</v>
      </c>
    </row>
    <row r="222" spans="3:64" x14ac:dyDescent="0.2">
      <c r="C222" s="404" t="s">
        <v>398</v>
      </c>
      <c r="D222" s="407">
        <v>0.4146711528301239</v>
      </c>
      <c r="E222" s="407">
        <v>0.38955596089363098</v>
      </c>
      <c r="F222" s="407">
        <v>0.60185384750366211</v>
      </c>
      <c r="G222" s="407">
        <v>0.3851855993270874</v>
      </c>
      <c r="H222" s="407">
        <v>0.71637338399887085</v>
      </c>
      <c r="I222" s="407">
        <v>0.64887893199920654</v>
      </c>
      <c r="J222" s="407">
        <v>0.55575853586196899</v>
      </c>
      <c r="K222" s="407">
        <v>0.4600837230682373</v>
      </c>
      <c r="L222" s="407">
        <v>0.18672671914100647</v>
      </c>
      <c r="M222" s="407">
        <v>0.69308197498321533</v>
      </c>
      <c r="N222" s="407">
        <v>0.60299140214920044</v>
      </c>
      <c r="O222" s="407">
        <v>0.49693810939788818</v>
      </c>
      <c r="P222" s="407">
        <v>0.4338870644569397</v>
      </c>
      <c r="Q222" s="407">
        <v>0.68108397722244263</v>
      </c>
      <c r="R222" s="407">
        <v>0.44482183456420898</v>
      </c>
      <c r="S222" s="407">
        <v>0.39218306541442871</v>
      </c>
      <c r="T222" s="407">
        <v>0.41663342714309692</v>
      </c>
      <c r="U222" s="407">
        <v>0.3987070620059967</v>
      </c>
      <c r="V222" s="407">
        <v>0.4213327169418335</v>
      </c>
      <c r="W222" s="407">
        <v>0.52274280786514282</v>
      </c>
      <c r="X222" s="407">
        <v>0.50594943761825562</v>
      </c>
      <c r="Y222" s="407">
        <v>0.64294910430908203</v>
      </c>
      <c r="Z222" s="407">
        <v>0.61114978790283203</v>
      </c>
      <c r="AA222" s="407">
        <v>0.63036119937896729</v>
      </c>
      <c r="AB222" s="407">
        <v>0.35161164402961731</v>
      </c>
      <c r="AC222" s="407">
        <v>0.51491057872772217</v>
      </c>
      <c r="AD222" s="407">
        <v>0.407798171043396</v>
      </c>
      <c r="AE222" s="38">
        <f>'User Add-in Location'!B228</f>
        <v>0</v>
      </c>
      <c r="AF222" s="38">
        <f>'User Add-in Location'!C228</f>
        <v>0</v>
      </c>
      <c r="AG222" s="407">
        <v>0.43109163641929626</v>
      </c>
      <c r="AH222" s="407">
        <v>0.4390430748462677</v>
      </c>
      <c r="AI222" s="407">
        <v>0.54925960302352905</v>
      </c>
      <c r="AJ222" s="407">
        <v>0.56644904613494873</v>
      </c>
      <c r="AK222" s="407">
        <v>0.36606979370117188</v>
      </c>
      <c r="AL222" s="407">
        <v>0.63943254947662354</v>
      </c>
      <c r="AM222" s="407">
        <v>0.51502740383148193</v>
      </c>
      <c r="AN222" s="409">
        <v>0.31432846188545227</v>
      </c>
      <c r="AO222" s="409">
        <v>0.57016313076019287</v>
      </c>
      <c r="AP222" s="409">
        <v>0.41146701574325562</v>
      </c>
      <c r="AQ222" s="409">
        <v>0.56133913993835449</v>
      </c>
      <c r="AR222" s="409">
        <v>0.64669305086135864</v>
      </c>
      <c r="AS222" s="409">
        <v>0.74585700035095215</v>
      </c>
      <c r="AT222" s="409">
        <v>0.68190056085586548</v>
      </c>
      <c r="AU222" s="409">
        <v>0.63625109195709229</v>
      </c>
      <c r="AV222" s="409">
        <v>0.69346076250076294</v>
      </c>
      <c r="AW222" s="409">
        <v>0.75490862131118774</v>
      </c>
      <c r="AX222" s="409">
        <v>0.61314797401428223</v>
      </c>
      <c r="AY222" s="409">
        <v>0.6471855640411377</v>
      </c>
      <c r="AZ222" s="409">
        <v>0.71397954225540161</v>
      </c>
      <c r="BA222" s="409">
        <v>0.59391498565673828</v>
      </c>
      <c r="BB222" s="409">
        <v>0.44232344627380371</v>
      </c>
      <c r="BC222" s="409">
        <v>0.39201688766479492</v>
      </c>
      <c r="BD222" s="409">
        <v>0.56313014030456543</v>
      </c>
      <c r="BE222" s="409">
        <v>0.60704195499420166</v>
      </c>
      <c r="BF222" s="407">
        <v>0.58163195848464966</v>
      </c>
      <c r="BG222" s="407">
        <v>0.47171118855476379</v>
      </c>
      <c r="BH222" s="407">
        <v>0.51520776748657227</v>
      </c>
      <c r="BI222" s="407">
        <v>0.60903763771057129</v>
      </c>
      <c r="BJ222" s="407">
        <v>0.3119509220123291</v>
      </c>
      <c r="BK222" s="407">
        <v>0.5283997654914856</v>
      </c>
      <c r="BL222" s="407">
        <v>0.25368651747703552</v>
      </c>
    </row>
    <row r="223" spans="3:64" x14ac:dyDescent="0.2">
      <c r="C223" s="404" t="s">
        <v>399</v>
      </c>
      <c r="D223" s="407">
        <v>0.44914063811302185</v>
      </c>
      <c r="E223" s="407">
        <v>0.43505492806434631</v>
      </c>
      <c r="F223" s="407">
        <v>0.65003842115402222</v>
      </c>
      <c r="G223" s="407">
        <v>0.3917783796787262</v>
      </c>
      <c r="H223" s="407">
        <v>0.763680100440979</v>
      </c>
      <c r="I223" s="407">
        <v>0.70201414823532104</v>
      </c>
      <c r="J223" s="407">
        <v>0.57919740676879883</v>
      </c>
      <c r="K223" s="407">
        <v>0.50166678428649902</v>
      </c>
      <c r="L223" s="407">
        <v>0.20272375643253326</v>
      </c>
      <c r="M223" s="407">
        <v>0.71957486867904663</v>
      </c>
      <c r="N223" s="407">
        <v>0.63044577836990356</v>
      </c>
      <c r="O223" s="407">
        <v>0.52399700880050659</v>
      </c>
      <c r="P223" s="407">
        <v>0.46617573499679565</v>
      </c>
      <c r="Q223" s="407">
        <v>0.71107101440429688</v>
      </c>
      <c r="R223" s="407">
        <v>0.4582715630531311</v>
      </c>
      <c r="S223" s="407">
        <v>0.39953327178955078</v>
      </c>
      <c r="T223" s="407">
        <v>0.45525854825973511</v>
      </c>
      <c r="U223" s="407">
        <v>0.40762320160865784</v>
      </c>
      <c r="V223" s="407">
        <v>0.46593871712684631</v>
      </c>
      <c r="W223" s="407">
        <v>0.54254406690597534</v>
      </c>
      <c r="X223" s="407">
        <v>0.54246264696121216</v>
      </c>
      <c r="Y223" s="407">
        <v>0.68839061260223389</v>
      </c>
      <c r="Z223" s="407">
        <v>0.67132312059402466</v>
      </c>
      <c r="AA223" s="407">
        <v>0.65642410516738892</v>
      </c>
      <c r="AB223" s="407">
        <v>0.36786144971847534</v>
      </c>
      <c r="AC223" s="407">
        <v>0.54697132110595703</v>
      </c>
      <c r="AD223" s="407">
        <v>0.4190443754196167</v>
      </c>
      <c r="AE223" s="38">
        <f>'User Add-in Location'!B229</f>
        <v>0</v>
      </c>
      <c r="AF223" s="38">
        <f>'User Add-in Location'!C229</f>
        <v>0</v>
      </c>
      <c r="AG223" s="407">
        <v>0.46000102162361145</v>
      </c>
      <c r="AH223" s="407">
        <v>0.46412041783332825</v>
      </c>
      <c r="AI223" s="407">
        <v>0.56788665056228638</v>
      </c>
      <c r="AJ223" s="407">
        <v>0.60106730461120605</v>
      </c>
      <c r="AK223" s="407">
        <v>0.39676812291145325</v>
      </c>
      <c r="AL223" s="407">
        <v>0.65706640481948853</v>
      </c>
      <c r="AM223" s="407">
        <v>0.53345918655395508</v>
      </c>
      <c r="AN223" s="409">
        <v>0.32701018452644348</v>
      </c>
      <c r="AO223" s="409">
        <v>0.58637231588363647</v>
      </c>
      <c r="AP223" s="409">
        <v>0.42744997143745422</v>
      </c>
      <c r="AQ223" s="409">
        <v>0.58758199214935303</v>
      </c>
      <c r="AR223" s="409">
        <v>0.68894529342651367</v>
      </c>
      <c r="AS223" s="409">
        <v>0.77867084741592407</v>
      </c>
      <c r="AT223" s="409">
        <v>0.72557801008224487</v>
      </c>
      <c r="AU223" s="409">
        <v>0.68387866020202637</v>
      </c>
      <c r="AV223" s="409">
        <v>0.72490423917770386</v>
      </c>
      <c r="AW223" s="409">
        <v>0.79995357990264893</v>
      </c>
      <c r="AX223" s="409">
        <v>0.66847521066665649</v>
      </c>
      <c r="AY223" s="409">
        <v>0.69538587331771851</v>
      </c>
      <c r="AZ223" s="409">
        <v>0.76135474443435669</v>
      </c>
      <c r="BA223" s="409">
        <v>0.61125689744949341</v>
      </c>
      <c r="BB223" s="409">
        <v>0.47510439157485962</v>
      </c>
      <c r="BC223" s="409">
        <v>0.40177348256111145</v>
      </c>
      <c r="BD223" s="409">
        <v>0.5868111252784729</v>
      </c>
      <c r="BE223" s="409">
        <v>0.66429173946380615</v>
      </c>
      <c r="BF223" s="407">
        <v>0.60571199655532837</v>
      </c>
      <c r="BG223" s="407">
        <v>0.46135628223419189</v>
      </c>
      <c r="BH223" s="407">
        <v>0.55935442447662354</v>
      </c>
      <c r="BI223" s="407">
        <v>0.65294003486633301</v>
      </c>
      <c r="BJ223" s="407">
        <v>0.32517954707145691</v>
      </c>
      <c r="BK223" s="407">
        <v>0.54589927196502686</v>
      </c>
      <c r="BL223" s="407">
        <v>0.25409555435180664</v>
      </c>
    </row>
    <row r="224" spans="3:64" x14ac:dyDescent="0.2">
      <c r="C224" s="404" t="s">
        <v>400</v>
      </c>
      <c r="D224" s="407">
        <v>0.28653237223625183</v>
      </c>
      <c r="E224" s="407">
        <v>0.26574051380157471</v>
      </c>
      <c r="F224" s="407">
        <v>0.44376435875892639</v>
      </c>
      <c r="G224" s="407">
        <v>0.27169516682624817</v>
      </c>
      <c r="H224" s="407">
        <v>0.51831388473510742</v>
      </c>
      <c r="I224" s="407">
        <v>0.46592825651168823</v>
      </c>
      <c r="J224" s="407">
        <v>0.39909365773200989</v>
      </c>
      <c r="K224" s="407">
        <v>0.3264240026473999</v>
      </c>
      <c r="L224" s="407">
        <v>0.13451564311981201</v>
      </c>
      <c r="M224" s="407">
        <v>0.49309906363487244</v>
      </c>
      <c r="N224" s="407">
        <v>0.42999336123466492</v>
      </c>
      <c r="O224" s="407">
        <v>0.36661320924758911</v>
      </c>
      <c r="P224" s="407">
        <v>0.29106542468070984</v>
      </c>
      <c r="Q224" s="407">
        <v>0.49732339382171631</v>
      </c>
      <c r="R224" s="407">
        <v>0.3123549222946167</v>
      </c>
      <c r="S224" s="407">
        <v>0.26347127556800842</v>
      </c>
      <c r="T224" s="407">
        <v>0.28455835580825806</v>
      </c>
      <c r="U224" s="407">
        <v>0.27548640966415405</v>
      </c>
      <c r="V224" s="407">
        <v>0.28469854593276978</v>
      </c>
      <c r="W224" s="407">
        <v>0.38127025961875916</v>
      </c>
      <c r="X224" s="407">
        <v>0.36678478121757507</v>
      </c>
      <c r="Y224" s="407">
        <v>0.48589500784873962</v>
      </c>
      <c r="Z224" s="407">
        <v>0.4466540515422821</v>
      </c>
      <c r="AA224" s="407">
        <v>0.45954379439353943</v>
      </c>
      <c r="AB224" s="407">
        <v>0.24088898301124573</v>
      </c>
      <c r="AC224" s="407">
        <v>0.36639010906219482</v>
      </c>
      <c r="AD224" s="407">
        <v>0.28008964657783508</v>
      </c>
      <c r="AE224" s="38">
        <f>'User Add-in Location'!B230</f>
        <v>0</v>
      </c>
      <c r="AF224" s="38">
        <f>'User Add-in Location'!C230</f>
        <v>0</v>
      </c>
      <c r="AG224" s="407">
        <v>0.30553156137466431</v>
      </c>
      <c r="AH224" s="407">
        <v>0.30609831213951111</v>
      </c>
      <c r="AI224" s="407">
        <v>0.39910602569580078</v>
      </c>
      <c r="AJ224" s="407">
        <v>0.39313578605651855</v>
      </c>
      <c r="AK224" s="407">
        <v>0.25753656029701233</v>
      </c>
      <c r="AL224" s="407">
        <v>0.46639353036880493</v>
      </c>
      <c r="AM224" s="407">
        <v>0.37185466289520264</v>
      </c>
      <c r="AN224" s="409">
        <v>0.21724450588226318</v>
      </c>
      <c r="AO224" s="409">
        <v>0.4132671058177948</v>
      </c>
      <c r="AP224" s="409">
        <v>0.27327194809913635</v>
      </c>
      <c r="AQ224" s="409">
        <v>0.40028384327888489</v>
      </c>
      <c r="AR224" s="409">
        <v>0.47750592231750488</v>
      </c>
      <c r="AS224" s="409">
        <v>0.55513793230056763</v>
      </c>
      <c r="AT224" s="409">
        <v>0.49330517649650574</v>
      </c>
      <c r="AU224" s="409">
        <v>0.46975743770599365</v>
      </c>
      <c r="AV224" s="409">
        <v>0.49838346242904663</v>
      </c>
      <c r="AW224" s="409">
        <v>0.55627733469009399</v>
      </c>
      <c r="AX224" s="409">
        <v>0.43140548467636108</v>
      </c>
      <c r="AY224" s="409">
        <v>0.46657451987266541</v>
      </c>
      <c r="AZ224" s="409">
        <v>0.5169711709022522</v>
      </c>
      <c r="BA224" s="409">
        <v>0.44259130954742432</v>
      </c>
      <c r="BB224" s="409">
        <v>0.31064549088478088</v>
      </c>
      <c r="BC224" s="409">
        <v>0.28082883358001709</v>
      </c>
      <c r="BD224" s="409">
        <v>0.41005957126617432</v>
      </c>
      <c r="BE224" s="409">
        <v>0.42380478978157043</v>
      </c>
      <c r="BF224" s="407">
        <v>0.42077794671058655</v>
      </c>
      <c r="BG224" s="407">
        <v>0.34195151925086975</v>
      </c>
      <c r="BH224" s="407">
        <v>0.37258592247962952</v>
      </c>
      <c r="BI224" s="407">
        <v>0.43365630507469177</v>
      </c>
      <c r="BJ224" s="407">
        <v>0.21158166229724884</v>
      </c>
      <c r="BK224" s="407">
        <v>0.38156440854072571</v>
      </c>
      <c r="BL224" s="407">
        <v>0.1526491791009903</v>
      </c>
    </row>
    <row r="225" spans="2:64" x14ac:dyDescent="0.2">
      <c r="C225" s="404" t="s">
        <v>58</v>
      </c>
      <c r="D225" s="407">
        <v>0.508167564868927</v>
      </c>
      <c r="E225" s="407">
        <v>0.47707217931747437</v>
      </c>
      <c r="F225" s="407">
        <v>0.73890501260757446</v>
      </c>
      <c r="G225" s="407">
        <v>0.48223182559013367</v>
      </c>
      <c r="H225" s="407">
        <v>0.83975660800933838</v>
      </c>
      <c r="I225" s="407">
        <v>0.76401388645172119</v>
      </c>
      <c r="J225" s="407">
        <v>0.64425516128540039</v>
      </c>
      <c r="K225" s="407">
        <v>0.52134859561920166</v>
      </c>
      <c r="L225" s="407">
        <v>0.17890229821205139</v>
      </c>
      <c r="M225" s="407">
        <v>0.84366041421890259</v>
      </c>
      <c r="N225" s="407">
        <v>0.72109019756317139</v>
      </c>
      <c r="O225" s="407">
        <v>0.57698965072631836</v>
      </c>
      <c r="P225" s="407">
        <v>0.5414125919342041</v>
      </c>
      <c r="Q225" s="407">
        <v>0.80420941114425659</v>
      </c>
      <c r="R225" s="407">
        <v>0.5764351487159729</v>
      </c>
      <c r="S225" s="407">
        <v>0.49538210034370422</v>
      </c>
      <c r="T225" s="407">
        <v>0.51836901903152466</v>
      </c>
      <c r="U225" s="407">
        <v>0.4587956964969635</v>
      </c>
      <c r="V225" s="407">
        <v>0.54263961315155029</v>
      </c>
      <c r="W225" s="407">
        <v>0.6223110556602478</v>
      </c>
      <c r="X225" s="407">
        <v>0.61735886335372925</v>
      </c>
      <c r="Y225" s="407">
        <v>0.75418132543563843</v>
      </c>
      <c r="Z225" s="407">
        <v>0.75701993703842163</v>
      </c>
      <c r="AA225" s="407">
        <v>0.76378190517425537</v>
      </c>
      <c r="AB225" s="407">
        <v>0.4581950306892395</v>
      </c>
      <c r="AC225" s="407">
        <v>0.61010634899139404</v>
      </c>
      <c r="AD225" s="407">
        <v>0.50503885746002197</v>
      </c>
      <c r="AE225" s="38">
        <f>'User Add-in Location'!B231</f>
        <v>0</v>
      </c>
      <c r="AF225" s="38">
        <f>'User Add-in Location'!C231</f>
        <v>0</v>
      </c>
      <c r="AG225" s="407">
        <v>0.53358113765716553</v>
      </c>
      <c r="AH225" s="407">
        <v>0.56215286254882813</v>
      </c>
      <c r="AI225" s="407">
        <v>0.61386901140213013</v>
      </c>
      <c r="AJ225" s="407">
        <v>0.67339694499969482</v>
      </c>
      <c r="AK225" s="407">
        <v>0.48922070860862732</v>
      </c>
      <c r="AL225" s="407">
        <v>0.75721269845962524</v>
      </c>
      <c r="AM225" s="407">
        <v>0.62147033214569092</v>
      </c>
      <c r="AN225" s="409">
        <v>0.38109982013702393</v>
      </c>
      <c r="AO225" s="409">
        <v>0.69563972949981689</v>
      </c>
      <c r="AP225" s="409">
        <v>0.5210309624671936</v>
      </c>
      <c r="AQ225" s="409">
        <v>0.66686969995498657</v>
      </c>
      <c r="AR225" s="409">
        <v>0.74823290109634399</v>
      </c>
      <c r="AS225" s="409">
        <v>0.86735153198242188</v>
      </c>
      <c r="AT225" s="409">
        <v>0.79851186275482178</v>
      </c>
      <c r="AU225" s="409">
        <v>0.74828237295150757</v>
      </c>
      <c r="AV225" s="409">
        <v>0.81188464164733887</v>
      </c>
      <c r="AW225" s="409">
        <v>0.90491622686386108</v>
      </c>
      <c r="AX225" s="409">
        <v>0.75915372371673584</v>
      </c>
      <c r="AY225" s="409">
        <v>0.77584993839263916</v>
      </c>
      <c r="AZ225" s="409">
        <v>0.83327281475067139</v>
      </c>
      <c r="BA225" s="409">
        <v>0.69235163927078247</v>
      </c>
      <c r="BB225" s="409">
        <v>0.55383074283599854</v>
      </c>
      <c r="BC225" s="409">
        <v>0.48769265413284302</v>
      </c>
      <c r="BD225" s="409">
        <v>0.58766001462936401</v>
      </c>
      <c r="BE225" s="409">
        <v>0.76065367460250854</v>
      </c>
      <c r="BF225" s="407">
        <v>0.72907811403274536</v>
      </c>
      <c r="BG225" s="407">
        <v>0.56861072778701782</v>
      </c>
      <c r="BH225" s="407">
        <v>0.60023272037506104</v>
      </c>
      <c r="BI225" s="407">
        <v>0.71284568309783936</v>
      </c>
      <c r="BJ225" s="407">
        <v>0.40801605582237244</v>
      </c>
      <c r="BK225" s="407">
        <v>0.64106065034866333</v>
      </c>
      <c r="BL225" s="407">
        <v>0.33199203014373779</v>
      </c>
    </row>
    <row r="226" spans="2:64" x14ac:dyDescent="0.2">
      <c r="C226" s="404" t="s">
        <v>401</v>
      </c>
      <c r="D226" s="407">
        <v>0.20691148936748505</v>
      </c>
      <c r="E226" s="407">
        <v>0</v>
      </c>
      <c r="F226" s="407">
        <v>0.36253169178962708</v>
      </c>
      <c r="G226" s="407">
        <v>0.14969423413276672</v>
      </c>
      <c r="H226" s="407">
        <v>0.5157591700553894</v>
      </c>
      <c r="I226" s="407">
        <v>0.36761906743049622</v>
      </c>
      <c r="J226" s="407">
        <v>0.30992630124092102</v>
      </c>
      <c r="K226" s="407">
        <v>0.22670735418796539</v>
      </c>
      <c r="L226" s="407">
        <v>8.7158314883708954E-2</v>
      </c>
      <c r="M226" s="407">
        <v>0.41089421510696411</v>
      </c>
      <c r="N226" s="407">
        <v>0.29562348127365112</v>
      </c>
      <c r="O226" s="407">
        <v>0.19872644543647766</v>
      </c>
      <c r="P226" s="407">
        <v>0.21611736714839935</v>
      </c>
      <c r="Q226" s="407">
        <v>0.38953962922096252</v>
      </c>
      <c r="R226" s="407">
        <v>0.20998266339302063</v>
      </c>
      <c r="S226" s="407">
        <v>0.17099767923355103</v>
      </c>
      <c r="T226" s="407">
        <v>0.20608155429363251</v>
      </c>
      <c r="U226" s="407">
        <v>0.17083001136779785</v>
      </c>
      <c r="V226" s="407">
        <v>0.21282704174518585</v>
      </c>
      <c r="W226" s="407">
        <v>0.28748485445976257</v>
      </c>
      <c r="X226" s="407">
        <v>0.25770679116249084</v>
      </c>
      <c r="Y226" s="407">
        <v>0.40324252843856812</v>
      </c>
      <c r="Z226" s="407">
        <v>0.31326240301132202</v>
      </c>
      <c r="AA226" s="407">
        <v>0.35585147142410278</v>
      </c>
      <c r="AB226" s="407">
        <v>0.15942145884037018</v>
      </c>
      <c r="AC226" s="407">
        <v>0.28019481897354126</v>
      </c>
      <c r="AD226" s="407">
        <v>0.14452716708183289</v>
      </c>
      <c r="AE226" s="38">
        <f>'User Add-in Location'!B232</f>
        <v>0</v>
      </c>
      <c r="AF226" s="38">
        <f>'User Add-in Location'!C232</f>
        <v>0</v>
      </c>
      <c r="AG226" s="407">
        <v>0.19931475818157196</v>
      </c>
      <c r="AH226" s="407">
        <v>0.21701265871524811</v>
      </c>
      <c r="AI226" s="407">
        <v>0.27745741605758667</v>
      </c>
      <c r="AJ226" s="407">
        <v>0.33071047067642212</v>
      </c>
      <c r="AK226" s="407">
        <v>0.18972380459308624</v>
      </c>
      <c r="AL226" s="407">
        <v>0.36971837282180786</v>
      </c>
      <c r="AM226" s="407">
        <v>0.28319898247718811</v>
      </c>
      <c r="AN226" s="409">
        <v>0.11797793209552765</v>
      </c>
      <c r="AO226" s="409">
        <v>0.43150708079338074</v>
      </c>
      <c r="AP226" s="409">
        <v>0.19145342707633972</v>
      </c>
      <c r="AQ226" s="409">
        <v>0.35938906669616699</v>
      </c>
      <c r="AR226" s="409">
        <v>0.35679647326469421</v>
      </c>
      <c r="AS226" s="409">
        <v>0.47213262319564819</v>
      </c>
      <c r="AT226" s="409">
        <v>0.4017917811870575</v>
      </c>
      <c r="AU226" s="409">
        <v>0.36667490005493164</v>
      </c>
      <c r="AV226" s="409">
        <v>0.39663118124008179</v>
      </c>
      <c r="AW226" s="409">
        <v>0.52225279808044434</v>
      </c>
      <c r="AX226" s="409">
        <v>0.36617657542228699</v>
      </c>
      <c r="AY226" s="409">
        <v>0.39576360583305359</v>
      </c>
      <c r="AZ226" s="409">
        <v>0.51277482509613037</v>
      </c>
      <c r="BA226" s="409">
        <v>0.30626639723777771</v>
      </c>
      <c r="BB226" s="409">
        <v>0.21692095696926117</v>
      </c>
      <c r="BC226" s="409">
        <v>0.14298135042190552</v>
      </c>
      <c r="BD226" s="409">
        <v>0.26696515083312988</v>
      </c>
      <c r="BE226" s="409">
        <v>0.36019337177276611</v>
      </c>
      <c r="BF226" s="407">
        <v>0.32104665040969849</v>
      </c>
      <c r="BG226" s="407">
        <v>0.24656695127487183</v>
      </c>
      <c r="BH226" s="407">
        <v>0.26575002074241638</v>
      </c>
      <c r="BI226" s="407">
        <v>0.32905513048171997</v>
      </c>
      <c r="BJ226" s="407">
        <v>0.1009642705321312</v>
      </c>
      <c r="BK226" s="407">
        <v>0.28162217140197754</v>
      </c>
      <c r="BL226" s="407">
        <v>0</v>
      </c>
    </row>
    <row r="228" spans="2:64" x14ac:dyDescent="0.2">
      <c r="C228" s="511" t="str">
        <f>CONCATENATE("Source:  IMPLAN™, using ",D2," state data.")</f>
        <v>Source:  IMPLAN™, using 2008 state data.</v>
      </c>
      <c r="D228" s="512"/>
      <c r="E228" s="512"/>
      <c r="F228" s="512"/>
      <c r="G228" s="512"/>
      <c r="H228" s="512"/>
    </row>
    <row r="231" spans="2:64" x14ac:dyDescent="0.2">
      <c r="B231"/>
      <c r="C231" s="1" t="s">
        <v>110</v>
      </c>
    </row>
    <row r="232" spans="2:64" x14ac:dyDescent="0.2">
      <c r="B232"/>
      <c r="D232" s="17" t="s">
        <v>178</v>
      </c>
      <c r="E232" s="11"/>
      <c r="F232" s="11"/>
      <c r="G232" s="11"/>
      <c r="H232" s="17" t="s">
        <v>179</v>
      </c>
      <c r="I232" s="11"/>
      <c r="J232" s="11"/>
      <c r="K232" s="11"/>
      <c r="L232" s="113" t="s">
        <v>180</v>
      </c>
      <c r="M232" s="11"/>
      <c r="N232" s="11"/>
      <c r="O232" s="11"/>
    </row>
    <row r="233" spans="2:64" x14ac:dyDescent="0.2">
      <c r="B233"/>
      <c r="D233" s="11" t="s">
        <v>121</v>
      </c>
      <c r="E233" s="11" t="s">
        <v>122</v>
      </c>
      <c r="F233" s="11" t="s">
        <v>123</v>
      </c>
      <c r="G233" s="11" t="s">
        <v>4</v>
      </c>
      <c r="H233" s="11" t="s">
        <v>121</v>
      </c>
      <c r="I233" s="11" t="s">
        <v>122</v>
      </c>
      <c r="J233" s="11" t="s">
        <v>123</v>
      </c>
      <c r="K233" s="11" t="s">
        <v>4</v>
      </c>
      <c r="L233" s="11" t="s">
        <v>121</v>
      </c>
      <c r="M233" s="11" t="s">
        <v>122</v>
      </c>
      <c r="N233" s="11" t="s">
        <v>123</v>
      </c>
      <c r="O233" s="11" t="s">
        <v>4</v>
      </c>
      <c r="Q233" s="11" t="s">
        <v>129</v>
      </c>
    </row>
    <row r="234" spans="2:64" x14ac:dyDescent="0.2">
      <c r="B234">
        <v>2</v>
      </c>
      <c r="C234" s="404" t="s">
        <v>388</v>
      </c>
      <c r="D234" s="38">
        <f>HLOOKUP(Calculations!$E$1,Multipliers!$D$4:$BL$26,$B234)</f>
        <v>10.144342422485352</v>
      </c>
      <c r="E234" s="38">
        <f>HLOOKUP(Calculations!$E$1,Multipliers!$D$29:$BL$51,B234)</f>
        <v>2.4746513366699219</v>
      </c>
      <c r="F234" s="38">
        <f>HLOOKUP(Calculations!$E$1,Multipliers!$D$54:$BL$76,$B234)</f>
        <v>3.003532886505127</v>
      </c>
      <c r="G234" s="38">
        <f>SUM(D234:F234)</f>
        <v>15.6225266456604</v>
      </c>
      <c r="H234" s="38">
        <f>HLOOKUP(Calculations!E$1,Multipliers!$D$79:$BL$101,B234)</f>
        <v>0.23709633946418762</v>
      </c>
      <c r="I234" s="38">
        <f>HLOOKUP(Calculations!$E$1,Multipliers!$D$104:$BL$126,$B234)</f>
        <v>0.10620090365409851</v>
      </c>
      <c r="J234" s="38">
        <f>HLOOKUP(Calculations!$E$1,Multipliers!$D$129:$BL$151,$B234)</f>
        <v>0.13058507442474365</v>
      </c>
      <c r="K234" s="38">
        <f>SUM(H234:J234)</f>
        <v>0.47388231754302979</v>
      </c>
      <c r="L234" s="38">
        <f>HLOOKUP(Calculations!E$1,Multipliers!$D$154:$BL$176,B234)</f>
        <v>1</v>
      </c>
      <c r="M234" s="38">
        <f>HLOOKUP(Calculations!$E$1,Multipliers!$D$179:$BL$201,$B234)</f>
        <v>0.44874274730682373</v>
      </c>
      <c r="N234" s="38">
        <f>HLOOKUP(Calculations!$E$1,Multipliers!$D$204:$BL$226,$B234)</f>
        <v>0.46387246251106262</v>
      </c>
      <c r="O234" s="38">
        <f>SUM(L234:N234)</f>
        <v>1.9126152098178864</v>
      </c>
      <c r="Q234" s="38">
        <f>HLOOKUP(Calculations!$E$1,'Household Exp'!$C$3:$BK$25,$B234)</f>
        <v>3.9840016735318649E-3</v>
      </c>
    </row>
    <row r="235" spans="2:64" x14ac:dyDescent="0.2">
      <c r="B235">
        <v>3</v>
      </c>
      <c r="C235" s="404" t="s">
        <v>124</v>
      </c>
      <c r="D235" s="38">
        <f>HLOOKUP(Calculations!$E$1,Multipliers!$D$4:$BL$26,$B235)</f>
        <v>1.832433819770813</v>
      </c>
      <c r="E235" s="38">
        <f>HLOOKUP(Calculations!$E$1,Multipliers!$D$29:$BL$51,B235)</f>
        <v>2.0729856491088867</v>
      </c>
      <c r="F235" s="38">
        <f>HLOOKUP(Calculations!$E$1,Multipliers!$D$54:$BL$76,$B235)</f>
        <v>2.4244081974029541</v>
      </c>
      <c r="G235" s="38">
        <f t="shared" ref="G235:G255" si="0">SUM(D235:F235)</f>
        <v>6.3298276662826538</v>
      </c>
      <c r="H235" s="38">
        <f>HLOOKUP(Calculations!E$1,Multipliers!$D$79:$BL$101,B235)</f>
        <v>0.15634846687316895</v>
      </c>
      <c r="I235" s="38">
        <f>HLOOKUP(Calculations!$E$1,Multipliers!$D$104:$BL$126,$B235)</f>
        <v>0.11488598585128784</v>
      </c>
      <c r="J235" s="38">
        <f>HLOOKUP(Calculations!$E$1,Multipliers!$D$129:$BL$151,$B235)</f>
        <v>0.10539839416742325</v>
      </c>
      <c r="K235" s="38">
        <f t="shared" ref="K235:K255" si="1">SUM(H235:J235)</f>
        <v>0.37663284689188004</v>
      </c>
      <c r="L235" s="38">
        <f>HLOOKUP(Calculations!E$1,Multipliers!$D$154:$BL$176,B235)</f>
        <v>1</v>
      </c>
      <c r="M235" s="38">
        <f>HLOOKUP(Calculations!$E$1,Multipliers!$D$179:$BL$201,$B235)</f>
        <v>0.38223922252655029</v>
      </c>
      <c r="N235" s="38">
        <f>HLOOKUP(Calculations!$E$1,Multipliers!$D$204:$BL$226,$B235)</f>
        <v>0.37439131736755371</v>
      </c>
      <c r="O235" s="38">
        <f t="shared" ref="O235:O255" si="2">SUM(L235:N235)</f>
        <v>1.756630539894104</v>
      </c>
      <c r="Q235" s="38">
        <f>HLOOKUP(Calculations!$E$1,'Household Exp'!$C$3:$BK$25,$B235)</f>
        <v>5.172727393627954E-6</v>
      </c>
    </row>
    <row r="236" spans="2:64" x14ac:dyDescent="0.2">
      <c r="B236">
        <v>4</v>
      </c>
      <c r="C236" s="404" t="s">
        <v>56</v>
      </c>
      <c r="D236" s="38">
        <f>HLOOKUP(Calculations!$E$1,Multipliers!$D$4:$BL$26,$B236)</f>
        <v>6.3053059577941895</v>
      </c>
      <c r="E236" s="38">
        <f>HLOOKUP(Calculations!$E$1,Multipliers!$D$29:$BL$51,B236)</f>
        <v>2.8470063209533691</v>
      </c>
      <c r="F236" s="38">
        <f>HLOOKUP(Calculations!$E$1,Multipliers!$D$54:$BL$76,$B236)</f>
        <v>3.950040340423584</v>
      </c>
      <c r="G236" s="38">
        <f t="shared" si="0"/>
        <v>13.102352619171143</v>
      </c>
      <c r="H236" s="38">
        <f>HLOOKUP(Calculations!E$1,Multipliers!$D$79:$BL$101,B236)</f>
        <v>0.29705074429512024</v>
      </c>
      <c r="I236" s="38">
        <f>HLOOKUP(Calculations!$E$1,Multipliers!$D$104:$BL$126,$B236)</f>
        <v>0.15173226594924927</v>
      </c>
      <c r="J236" s="38">
        <f>HLOOKUP(Calculations!$E$1,Multipliers!$D$129:$BL$151,$B236)</f>
        <v>0.17173334956169128</v>
      </c>
      <c r="K236" s="38">
        <f t="shared" si="1"/>
        <v>0.62051635980606079</v>
      </c>
      <c r="L236" s="38">
        <f>HLOOKUP(Calculations!E$1,Multipliers!$D$154:$BL$176,B236)</f>
        <v>1</v>
      </c>
      <c r="M236" s="38">
        <f>HLOOKUP(Calculations!$E$1,Multipliers!$D$179:$BL$201,$B236)</f>
        <v>0.54317069053649902</v>
      </c>
      <c r="N236" s="38">
        <f>HLOOKUP(Calculations!$E$1,Multipliers!$D$204:$BL$226,$B236)</f>
        <v>0.61003780364990234</v>
      </c>
      <c r="O236" s="38">
        <f t="shared" si="2"/>
        <v>2.1532084941864014</v>
      </c>
      <c r="Q236" s="38">
        <f>HLOOKUP(Calculations!$E$1,'Household Exp'!$C$3:$BK$25,$B236)</f>
        <v>0</v>
      </c>
    </row>
    <row r="237" spans="2:64" x14ac:dyDescent="0.2">
      <c r="B237">
        <v>5</v>
      </c>
      <c r="C237" s="404" t="s">
        <v>389</v>
      </c>
      <c r="D237" s="38">
        <f>HLOOKUP(Calculations!$E$1,Multipliers!$D$4:$BL$26,$B237)</f>
        <v>8.2257490158081055</v>
      </c>
      <c r="E237" s="38">
        <f>HLOOKUP(Calculations!$E$1,Multipliers!$D$29:$BL$51,B237)</f>
        <v>2.092529296875</v>
      </c>
      <c r="F237" s="38">
        <f>HLOOKUP(Calculations!$E$1,Multipliers!$D$54:$BL$76,$B237)</f>
        <v>4.736121654510498</v>
      </c>
      <c r="G237" s="38">
        <f t="shared" si="0"/>
        <v>15.054399967193604</v>
      </c>
      <c r="H237" s="38">
        <f>HLOOKUP(Calculations!E$1,Multipliers!$D$79:$BL$101,B237)</f>
        <v>0.5162346363067627</v>
      </c>
      <c r="I237" s="38">
        <f>HLOOKUP(Calculations!$E$1,Multipliers!$D$104:$BL$126,$B237)</f>
        <v>0.10828280448913574</v>
      </c>
      <c r="J237" s="38">
        <f>HLOOKUP(Calculations!$E$1,Multipliers!$D$129:$BL$151,$B237)</f>
        <v>0.20608830451965332</v>
      </c>
      <c r="K237" s="38">
        <f t="shared" si="1"/>
        <v>0.83060574531555176</v>
      </c>
      <c r="L237" s="38">
        <f>HLOOKUP(Calculations!E$1,Multipliers!$D$154:$BL$176,B237)</f>
        <v>1</v>
      </c>
      <c r="M237" s="38">
        <f>HLOOKUP(Calculations!$E$1,Multipliers!$D$179:$BL$201,$B237)</f>
        <v>0.3817673921585083</v>
      </c>
      <c r="N237" s="38">
        <f>HLOOKUP(Calculations!$E$1,Multipliers!$D$204:$BL$226,$B237)</f>
        <v>0.7323758602142334</v>
      </c>
      <c r="O237" s="38">
        <f t="shared" si="2"/>
        <v>2.1141432523727417</v>
      </c>
      <c r="Q237" s="38">
        <f>HLOOKUP(Calculations!$E$1,'Household Exp'!$C$3:$BK$25,$B237)</f>
        <v>0</v>
      </c>
    </row>
    <row r="238" spans="2:64" x14ac:dyDescent="0.2">
      <c r="B238">
        <v>6</v>
      </c>
      <c r="C238" s="404" t="s">
        <v>390</v>
      </c>
      <c r="D238" s="38">
        <f>HLOOKUP(Calculations!$E$1,Multipliers!$D$4:$BL$26,$B238)</f>
        <v>7.3984627723693848</v>
      </c>
      <c r="E238" s="38">
        <f>HLOOKUP(Calculations!$E$1,Multipliers!$D$29:$BL$51,B238)</f>
        <v>1.8747735023498535</v>
      </c>
      <c r="F238" s="38">
        <f>HLOOKUP(Calculations!$E$1,Multipliers!$D$54:$BL$76,$B238)</f>
        <v>3.7301418781280518</v>
      </c>
      <c r="G238" s="38">
        <f t="shared" si="0"/>
        <v>13.00337815284729</v>
      </c>
      <c r="H238" s="38">
        <f>HLOOKUP(Calculations!E$1,Multipliers!$D$79:$BL$101,B238)</f>
        <v>0.20939637720584869</v>
      </c>
      <c r="I238" s="38">
        <f>HLOOKUP(Calculations!$E$1,Multipliers!$D$104:$BL$126,$B238)</f>
        <v>9.0973064303398132E-2</v>
      </c>
      <c r="J238" s="38">
        <f>HLOOKUP(Calculations!$E$1,Multipliers!$D$129:$BL$151,$B238)</f>
        <v>0.16191112995147705</v>
      </c>
      <c r="K238" s="38">
        <f t="shared" si="1"/>
        <v>0.46228057146072388</v>
      </c>
      <c r="L238" s="38">
        <f>HLOOKUP(Calculations!E$1,Multipliers!$D$154:$BL$176,B238)</f>
        <v>1</v>
      </c>
      <c r="M238" s="38">
        <f>HLOOKUP(Calculations!$E$1,Multipliers!$D$179:$BL$201,$B238)</f>
        <v>0.32838213443756104</v>
      </c>
      <c r="N238" s="38">
        <f>HLOOKUP(Calculations!$E$1,Multipliers!$D$204:$BL$226,$B238)</f>
        <v>0.5747038722038269</v>
      </c>
      <c r="O238" s="38">
        <f t="shared" si="2"/>
        <v>1.9030860066413879</v>
      </c>
      <c r="Q238" s="38">
        <f>HLOOKUP(Calculations!$E$1,'Household Exp'!$C$3:$BK$25,$B238)</f>
        <v>0</v>
      </c>
    </row>
    <row r="239" spans="2:64" x14ac:dyDescent="0.2">
      <c r="B239">
        <v>7</v>
      </c>
      <c r="C239" s="404" t="s">
        <v>125</v>
      </c>
      <c r="D239" s="38">
        <f>HLOOKUP(Calculations!$E$1,Multipliers!$D$4:$BL$26,$B239)</f>
        <v>1.9072486162185669</v>
      </c>
      <c r="E239" s="38">
        <f>HLOOKUP(Calculations!$E$1,Multipliers!$D$29:$BL$51,B239)</f>
        <v>2.8307657241821289</v>
      </c>
      <c r="F239" s="38">
        <f>HLOOKUP(Calculations!$E$1,Multipliers!$D$54:$BL$76,$B239)</f>
        <v>2.4052138328552246</v>
      </c>
      <c r="G239" s="38">
        <f t="shared" si="0"/>
        <v>7.1432281732559204</v>
      </c>
      <c r="H239" s="38">
        <f>HLOOKUP(Calculations!E$1,Multipliers!$D$79:$BL$101,B239)</f>
        <v>0.15724773705005646</v>
      </c>
      <c r="I239" s="38">
        <f>HLOOKUP(Calculations!$E$1,Multipliers!$D$104:$BL$126,$B239)</f>
        <v>0.16439609229564667</v>
      </c>
      <c r="J239" s="38">
        <f>HLOOKUP(Calculations!$E$1,Multipliers!$D$129:$BL$151,$B239)</f>
        <v>0.10467425733804703</v>
      </c>
      <c r="K239" s="38">
        <f t="shared" si="1"/>
        <v>0.42631808668375015</v>
      </c>
      <c r="L239" s="38">
        <f>HLOOKUP(Calculations!E$1,Multipliers!$D$154:$BL$176,B239)</f>
        <v>1</v>
      </c>
      <c r="M239" s="38">
        <f>HLOOKUP(Calculations!$E$1,Multipliers!$D$179:$BL$201,$B239)</f>
        <v>0.64084720611572266</v>
      </c>
      <c r="N239" s="38">
        <f>HLOOKUP(Calculations!$E$1,Multipliers!$D$204:$BL$226,$B239)</f>
        <v>0.37200519442558289</v>
      </c>
      <c r="O239" s="38">
        <f t="shared" si="2"/>
        <v>2.0128524005413055</v>
      </c>
      <c r="Q239" s="38">
        <f>HLOOKUP(Calculations!$E$1,'Household Exp'!$C$3:$BK$25,$B239)</f>
        <v>0.10519890668014927</v>
      </c>
    </row>
    <row r="240" spans="2:64" x14ac:dyDescent="0.2">
      <c r="B240">
        <v>8</v>
      </c>
      <c r="C240" s="404" t="s">
        <v>126</v>
      </c>
      <c r="D240" s="38">
        <f>HLOOKUP(Calculations!$E$1,Multipliers!$D$4:$BL$26,$B240)</f>
        <v>3.1983325481414795</v>
      </c>
      <c r="E240" s="38">
        <f>HLOOKUP(Calculations!$E$1,Multipliers!$D$29:$BL$51,B240)</f>
        <v>2.8812172412872314</v>
      </c>
      <c r="F240" s="38">
        <f>HLOOKUP(Calculations!$E$1,Multipliers!$D$54:$BL$76,$B240)</f>
        <v>2.6701450347900391</v>
      </c>
      <c r="G240" s="38">
        <f t="shared" si="0"/>
        <v>8.74969482421875</v>
      </c>
      <c r="H240" s="38">
        <f>HLOOKUP(Calculations!E$1,Multipliers!$D$79:$BL$101,B240)</f>
        <v>0.19737137854099274</v>
      </c>
      <c r="I240" s="38">
        <f>HLOOKUP(Calculations!$E$1,Multipliers!$D$104:$BL$126,$B240)</f>
        <v>0.16679544746875763</v>
      </c>
      <c r="J240" s="38">
        <f>HLOOKUP(Calculations!$E$1,Multipliers!$D$129:$BL$151,$B240)</f>
        <v>0.11622020602226257</v>
      </c>
      <c r="K240" s="38">
        <f t="shared" si="1"/>
        <v>0.48038703203201294</v>
      </c>
      <c r="L240" s="38">
        <f>HLOOKUP(Calculations!E$1,Multipliers!$D$154:$BL$176,B240)</f>
        <v>1</v>
      </c>
      <c r="M240" s="38">
        <f>HLOOKUP(Calculations!$E$1,Multipliers!$D$179:$BL$201,$B240)</f>
        <v>0.63480734825134277</v>
      </c>
      <c r="N240" s="38">
        <f>HLOOKUP(Calculations!$E$1,Multipliers!$D$204:$BL$226,$B240)</f>
        <v>0.41306665539741516</v>
      </c>
      <c r="O240" s="38">
        <f t="shared" si="2"/>
        <v>2.0478740036487579</v>
      </c>
      <c r="Q240" s="38">
        <f>HLOOKUP(Calculations!$E$1,'Household Exp'!$C$3:$BK$25,$B240)</f>
        <v>4.193942606191196E-6</v>
      </c>
    </row>
    <row r="241" spans="2:17" x14ac:dyDescent="0.2">
      <c r="B241">
        <v>9</v>
      </c>
      <c r="C241" s="404" t="s">
        <v>127</v>
      </c>
      <c r="D241" s="38">
        <f>HLOOKUP(Calculations!$E$1,Multipliers!$D$4:$BL$26,$B241)</f>
        <v>2.3301281929016113</v>
      </c>
      <c r="E241" s="38">
        <f>HLOOKUP(Calculations!$E$1,Multipliers!$D$29:$BL$51,B241)</f>
        <v>2.7275738716125488</v>
      </c>
      <c r="F241" s="38">
        <f>HLOOKUP(Calculations!$E$1,Multipliers!$D$54:$BL$76,$B241)</f>
        <v>2.717294454574585</v>
      </c>
      <c r="G241" s="38">
        <f t="shared" si="0"/>
        <v>7.7749965190887451</v>
      </c>
      <c r="H241" s="38">
        <f>HLOOKUP(Calculations!E$1,Multipliers!$D$79:$BL$101,B241)</f>
        <v>0.21298448741436005</v>
      </c>
      <c r="I241" s="38">
        <f>HLOOKUP(Calculations!$E$1,Multipliers!$D$104:$BL$126,$B241)</f>
        <v>0.16254232823848724</v>
      </c>
      <c r="J241" s="38">
        <f>HLOOKUP(Calculations!$E$1,Multipliers!$D$129:$BL$151,$B241)</f>
        <v>0.11828159540891647</v>
      </c>
      <c r="K241" s="38">
        <f t="shared" si="1"/>
        <v>0.49380841106176376</v>
      </c>
      <c r="L241" s="38">
        <f>HLOOKUP(Calculations!E$1,Multipliers!$D$154:$BL$176,B241)</f>
        <v>1</v>
      </c>
      <c r="M241" s="38">
        <f>HLOOKUP(Calculations!$E$1,Multipliers!$D$179:$BL$201,$B241)</f>
        <v>0.60061931610107422</v>
      </c>
      <c r="N241" s="38">
        <f>HLOOKUP(Calculations!$E$1,Multipliers!$D$204:$BL$226,$B241)</f>
        <v>0.42040815949440002</v>
      </c>
      <c r="O241" s="38">
        <f t="shared" si="2"/>
        <v>2.0210274755954742</v>
      </c>
      <c r="Q241" s="38">
        <f>HLOOKUP(Calculations!$E$1,'Household Exp'!$C$3:$BK$25,$B241)</f>
        <v>1.7780267837500628E-5</v>
      </c>
    </row>
    <row r="242" spans="2:17" x14ac:dyDescent="0.2">
      <c r="B242">
        <v>10</v>
      </c>
      <c r="C242" s="404" t="s">
        <v>391</v>
      </c>
      <c r="D242" s="38">
        <f>HLOOKUP(Calculations!$E$1,Multipliers!$D$4:$BL$26,$B242)</f>
        <v>2.8320331573486328</v>
      </c>
      <c r="E242" s="38">
        <f>HLOOKUP(Calculations!$E$1,Multipliers!$D$29:$BL$51,B242)</f>
        <v>2.4092264175415039</v>
      </c>
      <c r="F242" s="38">
        <f>HLOOKUP(Calculations!$E$1,Multipliers!$D$54:$BL$76,$B242)</f>
        <v>2.5623111724853516</v>
      </c>
      <c r="G242" s="38">
        <f t="shared" si="0"/>
        <v>7.8035707473754883</v>
      </c>
      <c r="H242" s="38">
        <f>HLOOKUP(Calculations!E$1,Multipliers!$D$79:$BL$101,B242)</f>
        <v>0.20975500345230103</v>
      </c>
      <c r="I242" s="38">
        <f>HLOOKUP(Calculations!$E$1,Multipliers!$D$104:$BL$126,$B242)</f>
        <v>0.14845746755599976</v>
      </c>
      <c r="J242" s="38">
        <f>HLOOKUP(Calculations!$E$1,Multipliers!$D$129:$BL$151,$B242)</f>
        <v>0.11154233664274216</v>
      </c>
      <c r="K242" s="38">
        <f t="shared" si="1"/>
        <v>0.46975480765104294</v>
      </c>
      <c r="L242" s="38">
        <f>HLOOKUP(Calculations!E$1,Multipliers!$D$154:$BL$176,B242)</f>
        <v>1</v>
      </c>
      <c r="M242" s="38">
        <f>HLOOKUP(Calculations!$E$1,Multipliers!$D$179:$BL$201,$B242)</f>
        <v>0.55254650115966797</v>
      </c>
      <c r="N242" s="38">
        <f>HLOOKUP(Calculations!$E$1,Multipliers!$D$204:$BL$226,$B242)</f>
        <v>0.39646592736244202</v>
      </c>
      <c r="O242" s="38">
        <f t="shared" si="2"/>
        <v>1.94901242852211</v>
      </c>
      <c r="Q242" s="38">
        <f>HLOOKUP(Calculations!$E$1,'Household Exp'!$C$3:$BK$25,$B242)</f>
        <v>4.6888739468354465E-5</v>
      </c>
    </row>
    <row r="243" spans="2:17" x14ac:dyDescent="0.2">
      <c r="B243">
        <v>11</v>
      </c>
      <c r="C243" s="404" t="s">
        <v>392</v>
      </c>
      <c r="D243" s="38">
        <f>HLOOKUP(Calculations!$E$1,Multipliers!$D$4:$BL$26,$B243)</f>
        <v>2.9137487411499023</v>
      </c>
      <c r="E243" s="38">
        <f>HLOOKUP(Calculations!$E$1,Multipliers!$D$29:$BL$51,B243)</f>
        <v>3.1142487525939941</v>
      </c>
      <c r="F243" s="38">
        <f>HLOOKUP(Calculations!$E$1,Multipliers!$D$54:$BL$76,$B243)</f>
        <v>2.7145719528198242</v>
      </c>
      <c r="G243" s="38">
        <f t="shared" si="0"/>
        <v>8.7425694465637207</v>
      </c>
      <c r="H243" s="38">
        <f>HLOOKUP(Calculations!E$1,Multipliers!$D$79:$BL$101,B243)</f>
        <v>0.19314625859260559</v>
      </c>
      <c r="I243" s="38">
        <f>HLOOKUP(Calculations!$E$1,Multipliers!$D$104:$BL$126,$B243)</f>
        <v>0.17838743329048157</v>
      </c>
      <c r="J243" s="38">
        <f>HLOOKUP(Calculations!$E$1,Multipliers!$D$129:$BL$151,$B243)</f>
        <v>0.11815616488456726</v>
      </c>
      <c r="K243" s="38">
        <f t="shared" si="1"/>
        <v>0.48968985676765442</v>
      </c>
      <c r="L243" s="38">
        <f>HLOOKUP(Calculations!E$1,Multipliers!$D$154:$BL$176,B243)</f>
        <v>1</v>
      </c>
      <c r="M243" s="38">
        <f>HLOOKUP(Calculations!$E$1,Multipliers!$D$179:$BL$201,$B243)</f>
        <v>0.67022931575775146</v>
      </c>
      <c r="N243" s="38">
        <f>HLOOKUP(Calculations!$E$1,Multipliers!$D$204:$BL$226,$B243)</f>
        <v>0.41995096206665039</v>
      </c>
      <c r="O243" s="38">
        <f t="shared" si="2"/>
        <v>2.0901802778244019</v>
      </c>
      <c r="Q243" s="38">
        <f>HLOOKUP(Calculations!$E$1,'Household Exp'!$C$3:$BK$25,$B243)</f>
        <v>8.705084288222852E-5</v>
      </c>
    </row>
    <row r="244" spans="2:17" x14ac:dyDescent="0.2">
      <c r="B244">
        <v>12</v>
      </c>
      <c r="C244" s="404" t="s">
        <v>393</v>
      </c>
      <c r="D244" s="38">
        <f>HLOOKUP(Calculations!$E$1,Multipliers!$D$4:$BL$26,$B244)</f>
        <v>1.6214407682418823</v>
      </c>
      <c r="E244" s="38">
        <f>HLOOKUP(Calculations!$E$1,Multipliers!$D$29:$BL$51,B244)</f>
        <v>2.2182269096374512</v>
      </c>
      <c r="F244" s="38">
        <f>HLOOKUP(Calculations!$E$1,Multipliers!$D$54:$BL$76,$B244)</f>
        <v>2.0664615631103516</v>
      </c>
      <c r="G244" s="38">
        <f t="shared" si="0"/>
        <v>5.9061292409896851</v>
      </c>
      <c r="H244" s="38">
        <f>HLOOKUP(Calculations!E$1,Multipliers!$D$79:$BL$101,B244)</f>
        <v>0.14698027074337006</v>
      </c>
      <c r="I244" s="38">
        <f>HLOOKUP(Calculations!$E$1,Multipliers!$D$104:$BL$126,$B244)</f>
        <v>0.14017452299594879</v>
      </c>
      <c r="J244" s="38">
        <f>HLOOKUP(Calculations!$E$1,Multipliers!$D$129:$BL$151,$B244)</f>
        <v>8.9953556656837463E-2</v>
      </c>
      <c r="K244" s="38">
        <f t="shared" si="1"/>
        <v>0.37710835039615631</v>
      </c>
      <c r="L244" s="38">
        <f>HLOOKUP(Calculations!E$1,Multipliers!$D$154:$BL$176,B244)</f>
        <v>1</v>
      </c>
      <c r="M244" s="38">
        <f>HLOOKUP(Calculations!$E$1,Multipliers!$D$179:$BL$201,$B244)</f>
        <v>0.58441567420959473</v>
      </c>
      <c r="N244" s="38">
        <f>HLOOKUP(Calculations!$E$1,Multipliers!$D$204:$BL$226,$B244)</f>
        <v>0.31972494721412659</v>
      </c>
      <c r="O244" s="38">
        <f t="shared" si="2"/>
        <v>1.9041406214237213</v>
      </c>
      <c r="Q244" s="38">
        <f>HLOOKUP(Calculations!$E$1,'Household Exp'!$C$3:$BK$25,$B244)</f>
        <v>0</v>
      </c>
    </row>
    <row r="245" spans="2:17" x14ac:dyDescent="0.2">
      <c r="B245">
        <v>13</v>
      </c>
      <c r="C245" s="404" t="s">
        <v>57</v>
      </c>
      <c r="D245" s="38">
        <f>HLOOKUP(Calculations!$E$1,Multipliers!$D$4:$BL$26,$B245)</f>
        <v>4.9960136413574219</v>
      </c>
      <c r="E245" s="38">
        <f>HLOOKUP(Calculations!$E$1,Multipliers!$D$29:$BL$51,B245)</f>
        <v>2.4461245536804199</v>
      </c>
      <c r="F245" s="38">
        <f>HLOOKUP(Calculations!$E$1,Multipliers!$D$54:$BL$76,$B245)</f>
        <v>3.5467801094055176</v>
      </c>
      <c r="G245" s="38">
        <f t="shared" si="0"/>
        <v>10.988918304443359</v>
      </c>
      <c r="H245" s="38">
        <f>HLOOKUP(Calculations!E$1,Multipliers!$D$79:$BL$101,B245)</f>
        <v>0.34243497252464294</v>
      </c>
      <c r="I245" s="38">
        <f>HLOOKUP(Calculations!$E$1,Multipliers!$D$104:$BL$126,$B245)</f>
        <v>0.12660002708435059</v>
      </c>
      <c r="J245" s="38">
        <f>HLOOKUP(Calculations!$E$1,Multipliers!$D$129:$BL$151,$B245)</f>
        <v>0.15434394776821136</v>
      </c>
      <c r="K245" s="38">
        <f t="shared" si="1"/>
        <v>0.6233789473772049</v>
      </c>
      <c r="L245" s="38">
        <f>HLOOKUP(Calculations!E$1,Multipliers!$D$154:$BL$176,B245)</f>
        <v>1</v>
      </c>
      <c r="M245" s="38">
        <f>HLOOKUP(Calculations!$E$1,Multipliers!$D$179:$BL$201,$B245)</f>
        <v>0.41647434234619141</v>
      </c>
      <c r="N245" s="38">
        <f>HLOOKUP(Calculations!$E$1,Multipliers!$D$204:$BL$226,$B245)</f>
        <v>0.54850941896438599</v>
      </c>
      <c r="O245" s="38">
        <f t="shared" si="2"/>
        <v>1.9649837613105774</v>
      </c>
      <c r="Q245" s="38">
        <f>HLOOKUP(Calculations!$E$1,'Household Exp'!$C$3:$BK$25,$B245)</f>
        <v>5.4664994023726016E-2</v>
      </c>
    </row>
    <row r="246" spans="2:17" x14ac:dyDescent="0.2">
      <c r="B246">
        <v>14</v>
      </c>
      <c r="C246" s="404" t="s">
        <v>394</v>
      </c>
      <c r="D246" s="38">
        <f>HLOOKUP(Calculations!$E$1,Multipliers!$D$4:$BL$26,$B246)</f>
        <v>11.86439323425293</v>
      </c>
      <c r="E246" s="38">
        <f>HLOOKUP(Calculations!$E$1,Multipliers!$D$29:$BL$51,B246)</f>
        <v>2.1692094802856445</v>
      </c>
      <c r="F246" s="38">
        <f>HLOOKUP(Calculations!$E$1,Multipliers!$D$54:$BL$76,$B246)</f>
        <v>3.5983295440673828</v>
      </c>
      <c r="G246" s="38">
        <f t="shared" si="0"/>
        <v>17.631932258605957</v>
      </c>
      <c r="H246" s="38">
        <f>HLOOKUP(Calculations!E$1,Multipliers!$D$79:$BL$101,B246)</f>
        <v>0.36271190643310547</v>
      </c>
      <c r="I246" s="38">
        <f>HLOOKUP(Calculations!$E$1,Multipliers!$D$104:$BL$126,$B246)</f>
        <v>0.10187622904777527</v>
      </c>
      <c r="J246" s="38">
        <f>HLOOKUP(Calculations!$E$1,Multipliers!$D$129:$BL$151,$B246)</f>
        <v>0.15656237304210663</v>
      </c>
      <c r="K246" s="38">
        <f t="shared" si="1"/>
        <v>0.62115050852298737</v>
      </c>
      <c r="L246" s="38">
        <f>HLOOKUP(Calculations!E$1,Multipliers!$D$154:$BL$176,B246)</f>
        <v>1</v>
      </c>
      <c r="M246" s="38">
        <f>HLOOKUP(Calculations!$E$1,Multipliers!$D$179:$BL$201,$B246)</f>
        <v>0.36550068855285645</v>
      </c>
      <c r="N246" s="38">
        <f>HLOOKUP(Calculations!$E$1,Multipliers!$D$204:$BL$226,$B246)</f>
        <v>0.5563509464263916</v>
      </c>
      <c r="O246" s="38">
        <f t="shared" si="2"/>
        <v>1.921851634979248</v>
      </c>
      <c r="Q246" s="38">
        <f>HLOOKUP(Calculations!$E$1,'Household Exp'!$C$3:$BK$25,$B246)</f>
        <v>0.12152409406741757</v>
      </c>
    </row>
    <row r="247" spans="2:17" x14ac:dyDescent="0.2">
      <c r="B247">
        <v>15</v>
      </c>
      <c r="C247" s="404" t="s">
        <v>128</v>
      </c>
      <c r="D247" s="38">
        <f>HLOOKUP(Calculations!$E$1,Multipliers!$D$4:$BL$26,$B247)</f>
        <v>2.696735143661499</v>
      </c>
      <c r="E247" s="38">
        <f>HLOOKUP(Calculations!$E$1,Multipliers!$D$29:$BL$51,B247)</f>
        <v>2.0207879543304443</v>
      </c>
      <c r="F247" s="38">
        <f>HLOOKUP(Calculations!$E$1,Multipliers!$D$54:$BL$76,$B247)</f>
        <v>2.521064281463623</v>
      </c>
      <c r="G247" s="38">
        <f t="shared" si="0"/>
        <v>7.2385873794555664</v>
      </c>
      <c r="H247" s="38">
        <f>HLOOKUP(Calculations!E$1,Multipliers!$D$79:$BL$101,B247)</f>
        <v>0.18192750215530396</v>
      </c>
      <c r="I247" s="38">
        <f>HLOOKUP(Calculations!$E$1,Multipliers!$D$104:$BL$126,$B247)</f>
        <v>0.10746490955352783</v>
      </c>
      <c r="J247" s="38">
        <f>HLOOKUP(Calculations!$E$1,Multipliers!$D$129:$BL$151,$B247)</f>
        <v>0.10961640626192093</v>
      </c>
      <c r="K247" s="38">
        <f t="shared" si="1"/>
        <v>0.39900881797075272</v>
      </c>
      <c r="L247" s="38">
        <f>HLOOKUP(Calculations!E$1,Multipliers!$D$154:$BL$176,B247)</f>
        <v>1</v>
      </c>
      <c r="M247" s="38">
        <f>HLOOKUP(Calculations!$E$1,Multipliers!$D$179:$BL$201,$B247)</f>
        <v>0.4016726016998291</v>
      </c>
      <c r="N247" s="38">
        <f>HLOOKUP(Calculations!$E$1,Multipliers!$D$204:$BL$226,$B247)</f>
        <v>0.3894016444683075</v>
      </c>
      <c r="O247" s="38">
        <f t="shared" si="2"/>
        <v>1.7910742461681366</v>
      </c>
      <c r="Q247" s="38">
        <f>HLOOKUP(Calculations!$E$1,'Household Exp'!$C$3:$BK$25,$B247)</f>
        <v>3.5521218881090562E-2</v>
      </c>
    </row>
    <row r="248" spans="2:17" x14ac:dyDescent="0.2">
      <c r="B248" s="408">
        <v>16</v>
      </c>
      <c r="C248" s="404" t="s">
        <v>395</v>
      </c>
      <c r="D248" s="38">
        <f>HLOOKUP(Calculations!$E$1,Multipliers!$D$4:$BL$26,$B248)</f>
        <v>5.1458125114440918</v>
      </c>
      <c r="E248" s="38">
        <f>HLOOKUP(Calculations!$E$1,Multipliers!$D$29:$BL$51,B248)</f>
        <v>2.1020421981811523</v>
      </c>
      <c r="F248" s="38">
        <f>HLOOKUP(Calculations!$E$1,Multipliers!$D$54:$BL$76,$B248)</f>
        <v>2.2340006828308105</v>
      </c>
      <c r="G248" s="38">
        <f t="shared" si="0"/>
        <v>9.4818553924560547</v>
      </c>
      <c r="H248" s="38">
        <f>HLOOKUP(Calculations!E$1,Multipliers!$D$79:$BL$101,B248)</f>
        <v>0.1303187757730484</v>
      </c>
      <c r="I248" s="38">
        <f>HLOOKUP(Calculations!$E$1,Multipliers!$D$104:$BL$126,$B248)</f>
        <v>9.8153278231620789E-2</v>
      </c>
      <c r="J248" s="38">
        <f>HLOOKUP(Calculations!$E$1,Multipliers!$D$129:$BL$151,$B248)</f>
        <v>9.7074456512928009E-2</v>
      </c>
      <c r="K248" s="38">
        <f t="shared" si="1"/>
        <v>0.3255465105175972</v>
      </c>
      <c r="L248" s="38">
        <f>HLOOKUP(Calculations!E$1,Multipliers!$D$154:$BL$176,B248)</f>
        <v>1</v>
      </c>
      <c r="M248" s="38">
        <f>HLOOKUP(Calculations!$E$1,Multipliers!$D$179:$BL$201,$B248)</f>
        <v>0.38290190696716309</v>
      </c>
      <c r="N248" s="38">
        <f>HLOOKUP(Calculations!$E$1,Multipliers!$D$204:$BL$226,$B248)</f>
        <v>0.34474503993988037</v>
      </c>
      <c r="O248" s="38">
        <f t="shared" si="2"/>
        <v>1.7276469469070435</v>
      </c>
      <c r="Q248" s="38">
        <f>HLOOKUP(Calculations!$E$1,'Household Exp'!$C$3:$BK$25,$B248)</f>
        <v>9.0216612820972611E-2</v>
      </c>
    </row>
    <row r="249" spans="2:17" x14ac:dyDescent="0.2">
      <c r="B249" s="408">
        <v>17</v>
      </c>
      <c r="C249" s="404" t="s">
        <v>396</v>
      </c>
      <c r="D249" s="38">
        <f>HLOOKUP(Calculations!$E$1,Multipliers!$D$4:$BL$26,$B249)</f>
        <v>4.1027297973632812</v>
      </c>
      <c r="E249" s="38">
        <f>HLOOKUP(Calculations!$E$1,Multipliers!$D$29:$BL$51,B249)</f>
        <v>2.703463077545166</v>
      </c>
      <c r="F249" s="38">
        <f>HLOOKUP(Calculations!$E$1,Multipliers!$D$54:$BL$76,$B249)</f>
        <v>3.7345340251922607</v>
      </c>
      <c r="G249" s="38">
        <f t="shared" si="0"/>
        <v>10.540726900100708</v>
      </c>
      <c r="H249" s="38">
        <f>HLOOKUP(Calculations!E$1,Multipliers!$D$79:$BL$101,B249)</f>
        <v>0.33356297016143799</v>
      </c>
      <c r="I249" s="38">
        <f>HLOOKUP(Calculations!$E$1,Multipliers!$D$104:$BL$126,$B249)</f>
        <v>0.14899027347564697</v>
      </c>
      <c r="J249" s="38">
        <f>HLOOKUP(Calculations!$E$1,Multipliers!$D$129:$BL$151,$B249)</f>
        <v>0.16248989105224609</v>
      </c>
      <c r="K249" s="38">
        <f t="shared" si="1"/>
        <v>0.64504313468933105</v>
      </c>
      <c r="L249" s="38">
        <f>HLOOKUP(Calculations!E$1,Multipliers!$D$154:$BL$176,B249)</f>
        <v>1</v>
      </c>
      <c r="M249" s="38">
        <f>HLOOKUP(Calculations!$E$1,Multipliers!$D$179:$BL$201,$B249)</f>
        <v>0.47955024242401123</v>
      </c>
      <c r="N249" s="38">
        <f>HLOOKUP(Calculations!$E$1,Multipliers!$D$204:$BL$226,$B249)</f>
        <v>0.57741719484329224</v>
      </c>
      <c r="O249" s="38">
        <f t="shared" si="2"/>
        <v>2.0569674372673035</v>
      </c>
      <c r="Q249" s="38">
        <f>HLOOKUP(Calculations!$E$1,'Household Exp'!$C$3:$BK$25,$B249)</f>
        <v>3.9959127385769483E-2</v>
      </c>
    </row>
    <row r="250" spans="2:17" x14ac:dyDescent="0.2">
      <c r="B250" s="408">
        <v>18</v>
      </c>
      <c r="C250" s="404" t="s">
        <v>397</v>
      </c>
      <c r="D250" s="38">
        <f>HLOOKUP(Calculations!$E$1,Multipliers!$D$4:$BL$26,$B250)</f>
        <v>5.5323123931884766</v>
      </c>
      <c r="E250" s="38">
        <f>HLOOKUP(Calculations!$E$1,Multipliers!$D$29:$BL$51,B250)</f>
        <v>2.8889951705932617</v>
      </c>
      <c r="F250" s="38">
        <f>HLOOKUP(Calculations!$E$1,Multipliers!$D$54:$BL$76,$B250)</f>
        <v>4.6251316070556641</v>
      </c>
      <c r="G250" s="38">
        <f t="shared" si="0"/>
        <v>13.046439170837402</v>
      </c>
      <c r="H250" s="38">
        <f>HLOOKUP(Calculations!E$1,Multipliers!$D$79:$BL$101,B250)</f>
        <v>0.4254472553730011</v>
      </c>
      <c r="I250" s="38">
        <f>HLOOKUP(Calculations!$E$1,Multipliers!$D$104:$BL$126,$B250)</f>
        <v>0.13990768790245056</v>
      </c>
      <c r="J250" s="38">
        <f>HLOOKUP(Calculations!$E$1,Multipliers!$D$129:$BL$151,$B250)</f>
        <v>0.20117351412773132</v>
      </c>
      <c r="K250" s="38">
        <f t="shared" si="1"/>
        <v>0.76652845740318298</v>
      </c>
      <c r="L250" s="38">
        <f>HLOOKUP(Calculations!E$1,Multipliers!$D$154:$BL$176,B250)</f>
        <v>1</v>
      </c>
      <c r="M250" s="38">
        <f>HLOOKUP(Calculations!$E$1,Multipliers!$D$179:$BL$201,$B250)</f>
        <v>0.47004473209381104</v>
      </c>
      <c r="N250" s="38">
        <f>HLOOKUP(Calculations!$E$1,Multipliers!$D$204:$BL$226,$B250)</f>
        <v>0.71477007865905762</v>
      </c>
      <c r="O250" s="38">
        <f t="shared" si="2"/>
        <v>2.1848148107528687</v>
      </c>
      <c r="Q250" s="38">
        <f>HLOOKUP(Calculations!$E$1,'Household Exp'!$C$3:$BK$25,$B250)</f>
        <v>1.1542902445382443E-2</v>
      </c>
    </row>
    <row r="251" spans="2:17" x14ac:dyDescent="0.2">
      <c r="B251" s="408">
        <v>19</v>
      </c>
      <c r="C251" s="404" t="s">
        <v>398</v>
      </c>
      <c r="D251" s="38">
        <f>HLOOKUP(Calculations!$E$1,Multipliers!$D$4:$BL$26,$B251)</f>
        <v>9.0901041030883789</v>
      </c>
      <c r="E251" s="38">
        <f>HLOOKUP(Calculations!$E$1,Multipliers!$D$29:$BL$51,B251)</f>
        <v>2.6607751846313477</v>
      </c>
      <c r="F251" s="38">
        <f>HLOOKUP(Calculations!$E$1,Multipliers!$D$54:$BL$76,$B251)</f>
        <v>4.6380400657653809</v>
      </c>
      <c r="G251" s="38">
        <f t="shared" si="0"/>
        <v>16.388919353485107</v>
      </c>
      <c r="H251" s="38">
        <f>HLOOKUP(Calculations!E$1,Multipliers!$D$79:$BL$101,B251)</f>
        <v>0.40470802783966064</v>
      </c>
      <c r="I251" s="38">
        <f>HLOOKUP(Calculations!$E$1,Multipliers!$D$104:$BL$126,$B251)</f>
        <v>0.12761121988296509</v>
      </c>
      <c r="J251" s="38">
        <f>HLOOKUP(Calculations!$E$1,Multipliers!$D$129:$BL$151,$B251)</f>
        <v>0.20166036486625671</v>
      </c>
      <c r="K251" s="38">
        <f t="shared" si="1"/>
        <v>0.73397961258888245</v>
      </c>
      <c r="L251" s="38">
        <f>HLOOKUP(Calculations!E$1,Multipliers!$D$154:$BL$176,B251)</f>
        <v>1</v>
      </c>
      <c r="M251" s="38">
        <f>HLOOKUP(Calculations!$E$1,Multipliers!$D$179:$BL$201,$B251)</f>
        <v>0.43296945095062256</v>
      </c>
      <c r="N251" s="38">
        <f>HLOOKUP(Calculations!$E$1,Multipliers!$D$204:$BL$226,$B251)</f>
        <v>0.71637338399887085</v>
      </c>
      <c r="O251" s="38">
        <f t="shared" si="2"/>
        <v>2.1493428349494934</v>
      </c>
      <c r="Q251" s="38">
        <f>HLOOKUP(Calculations!$E$1,'Household Exp'!$C$3:$BK$25,$B251)</f>
        <v>1.4464881357903261E-3</v>
      </c>
    </row>
    <row r="252" spans="2:17" x14ac:dyDescent="0.2">
      <c r="B252" s="408">
        <v>20</v>
      </c>
      <c r="C252" s="404" t="s">
        <v>399</v>
      </c>
      <c r="D252" s="38">
        <f>HLOOKUP(Calculations!$E$1,Multipliers!$D$4:$BL$26,$B252)</f>
        <v>7.0121541023254395</v>
      </c>
      <c r="E252" s="38">
        <f>HLOOKUP(Calculations!$E$1,Multipliers!$D$29:$BL$51,B252)</f>
        <v>3.0570549964904785</v>
      </c>
      <c r="F252" s="38">
        <f>HLOOKUP(Calculations!$E$1,Multipliers!$D$54:$BL$76,$B252)</f>
        <v>4.9440493583679199</v>
      </c>
      <c r="G252" s="38">
        <f t="shared" si="0"/>
        <v>15.013258457183838</v>
      </c>
      <c r="H252" s="38">
        <f>HLOOKUP(Calculations!E$1,Multipliers!$D$79:$BL$101,B252)</f>
        <v>0.41899716854095459</v>
      </c>
      <c r="I252" s="38">
        <f>HLOOKUP(Calculations!$E$1,Multipliers!$D$104:$BL$126,$B252)</f>
        <v>0.15186923742294312</v>
      </c>
      <c r="J252" s="38">
        <f>HLOOKUP(Calculations!$E$1,Multipliers!$D$129:$BL$151,$B252)</f>
        <v>0.21497346460819244</v>
      </c>
      <c r="K252" s="38">
        <f t="shared" si="1"/>
        <v>0.78583987057209015</v>
      </c>
      <c r="L252" s="38">
        <f>HLOOKUP(Calculations!E$1,Multipliers!$D$154:$BL$176,B252)</f>
        <v>1</v>
      </c>
      <c r="M252" s="38">
        <f>HLOOKUP(Calculations!$E$1,Multipliers!$D$179:$BL$201,$B252)</f>
        <v>0.49977731704711914</v>
      </c>
      <c r="N252" s="38">
        <f>HLOOKUP(Calculations!$E$1,Multipliers!$D$204:$BL$226,$B252)</f>
        <v>0.763680100440979</v>
      </c>
      <c r="O252" s="38">
        <f t="shared" si="2"/>
        <v>2.2634574174880981</v>
      </c>
      <c r="Q252" s="38">
        <f>HLOOKUP(Calculations!$E$1,'Household Exp'!$C$3:$BK$25,$B252)</f>
        <v>1.5102379164112965E-4</v>
      </c>
    </row>
    <row r="253" spans="2:17" x14ac:dyDescent="0.2">
      <c r="B253" s="408">
        <v>21</v>
      </c>
      <c r="C253" s="404" t="s">
        <v>400</v>
      </c>
      <c r="D253" s="38">
        <f>HLOOKUP(Calculations!$E$1,Multipliers!$D$4:$BL$26,$B253)</f>
        <v>7.3333792686462402</v>
      </c>
      <c r="E253" s="38">
        <f>HLOOKUP(Calculations!$E$1,Multipliers!$D$29:$BL$51,B253)</f>
        <v>2.7502074241638184</v>
      </c>
      <c r="F253" s="38">
        <f>HLOOKUP(Calculations!$E$1,Multipliers!$D$54:$BL$76,$B253)</f>
        <v>3.352724552154541</v>
      </c>
      <c r="G253" s="38">
        <f t="shared" si="0"/>
        <v>13.4363112449646</v>
      </c>
      <c r="H253" s="38">
        <f>HLOOKUP(Calculations!E$1,Multipliers!$D$79:$BL$101,B253)</f>
        <v>0.29225561022758484</v>
      </c>
      <c r="I253" s="38">
        <f>HLOOKUP(Calculations!$E$1,Multipliers!$D$104:$BL$126,$B253)</f>
        <v>0.13323739171028137</v>
      </c>
      <c r="J253" s="38">
        <f>HLOOKUP(Calculations!$E$1,Multipliers!$D$129:$BL$151,$B253)</f>
        <v>0.14586383104324341</v>
      </c>
      <c r="K253" s="38">
        <f t="shared" si="1"/>
        <v>0.57135683298110962</v>
      </c>
      <c r="L253" s="38">
        <f>HLOOKUP(Calculations!E$1,Multipliers!$D$154:$BL$176,B253)</f>
        <v>1</v>
      </c>
      <c r="M253" s="38">
        <f>HLOOKUP(Calculations!$E$1,Multipliers!$D$179:$BL$201,$B253)</f>
        <v>0.47401618957519531</v>
      </c>
      <c r="N253" s="38">
        <f>HLOOKUP(Calculations!$E$1,Multipliers!$D$204:$BL$226,$B253)</f>
        <v>0.51831388473510742</v>
      </c>
      <c r="O253" s="38">
        <f t="shared" si="2"/>
        <v>1.9923300743103027</v>
      </c>
      <c r="Q253" s="38">
        <f>HLOOKUP(Calculations!$E$1,'Household Exp'!$C$3:$BK$25,$B253)</f>
        <v>0.52949749577597627</v>
      </c>
    </row>
    <row r="254" spans="2:17" x14ac:dyDescent="0.2">
      <c r="B254" s="408">
        <v>22</v>
      </c>
      <c r="C254" s="404" t="s">
        <v>58</v>
      </c>
      <c r="D254" s="38">
        <f>HLOOKUP(Calculations!$E$1,Multipliers!$D$4:$BL$26,$B254)</f>
        <v>10.886956214904785</v>
      </c>
      <c r="E254" s="38">
        <f>HLOOKUP(Calculations!$E$1,Multipliers!$D$29:$BL$51,B254)</f>
        <v>0.50366783142089844</v>
      </c>
      <c r="F254" s="38">
        <f>HLOOKUP(Calculations!$E$1,Multipliers!$D$54:$BL$76,$B254)</f>
        <v>5.423677921295166</v>
      </c>
      <c r="G254" s="38">
        <f t="shared" si="0"/>
        <v>16.81430196762085</v>
      </c>
      <c r="H254" s="38">
        <f>HLOOKUP(Calculations!E$1,Multipliers!$D$79:$BL$101,B254)</f>
        <v>0.78531628847122192</v>
      </c>
      <c r="I254" s="38">
        <f>HLOOKUP(Calculations!$E$1,Multipliers!$D$104:$BL$126,$B254)</f>
        <v>2.8156399726867676E-2</v>
      </c>
      <c r="J254" s="38">
        <f>HLOOKUP(Calculations!$E$1,Multipliers!$D$129:$BL$151,$B254)</f>
        <v>0.23620931804180145</v>
      </c>
      <c r="K254" s="38">
        <f t="shared" si="1"/>
        <v>1.0496820062398911</v>
      </c>
      <c r="L254" s="38">
        <f>HLOOKUP(Calculations!E$1,Multipliers!$D$154:$BL$176,B254)</f>
        <v>1</v>
      </c>
      <c r="M254" s="38">
        <f>HLOOKUP(Calculations!$E$1,Multipliers!$D$179:$BL$201,$B254)</f>
        <v>9.3722939491271973E-2</v>
      </c>
      <c r="N254" s="38">
        <f>HLOOKUP(Calculations!$E$1,Multipliers!$D$204:$BL$226,$B254)</f>
        <v>0.83975660800933838</v>
      </c>
      <c r="O254" s="38">
        <f t="shared" si="2"/>
        <v>1.9334795475006104</v>
      </c>
      <c r="Q254" s="38">
        <f>HLOOKUP(Calculations!$E$1,'Household Exp'!$C$3:$BK$25,$B254)</f>
        <v>6.1320477983645861E-3</v>
      </c>
    </row>
    <row r="255" spans="2:17" x14ac:dyDescent="0.2">
      <c r="B255" s="408">
        <v>23</v>
      </c>
      <c r="C255" s="404" t="s">
        <v>401</v>
      </c>
      <c r="D255" s="38">
        <f>HLOOKUP(Calculations!$E$1,Multipliers!$D$4:$BL$26,$B255)</f>
        <v>1.3934296369552612</v>
      </c>
      <c r="E255" s="38">
        <f>HLOOKUP(Calculations!$E$1,Multipliers!$D$29:$BL$51,B255)</f>
        <v>3.8484268188476562</v>
      </c>
      <c r="F255" s="38">
        <f>HLOOKUP(Calculations!$E$1,Multipliers!$D$54:$BL$76,$B255)</f>
        <v>3.3337140083312988</v>
      </c>
      <c r="G255" s="38">
        <f t="shared" si="0"/>
        <v>8.5755704641342163</v>
      </c>
      <c r="H255" s="38">
        <f>HLOOKUP(Calculations!E$1,Multipliers!$D$79:$BL$101,B255)</f>
        <v>0.22032517194747925</v>
      </c>
      <c r="I255" s="38">
        <f>HLOOKUP(Calculations!$E$1,Multipliers!$D$104:$BL$126,$B255)</f>
        <v>0.23826226592063904</v>
      </c>
      <c r="J255" s="38">
        <f>HLOOKUP(Calculations!$E$1,Multipliers!$D$129:$BL$151,$B255)</f>
        <v>0.14511017501354218</v>
      </c>
      <c r="K255" s="38">
        <f t="shared" si="1"/>
        <v>0.60369761288166046</v>
      </c>
      <c r="L255" s="38">
        <f>HLOOKUP(Calculations!E$1,Multipliers!$D$154:$BL$176,B255)</f>
        <v>1</v>
      </c>
      <c r="M255" s="38">
        <f>HLOOKUP(Calculations!$E$1,Multipliers!$D$179:$BL$201,$B255)</f>
        <v>0.82087790966033936</v>
      </c>
      <c r="N255" s="38">
        <f>HLOOKUP(Calculations!$E$1,Multipliers!$D$204:$BL$226,$B255)</f>
        <v>0.5157591700553894</v>
      </c>
      <c r="O255" s="38">
        <f t="shared" si="2"/>
        <v>2.3366370797157288</v>
      </c>
      <c r="Q255" s="38">
        <f>HLOOKUP(Calculations!$E$1,'Household Exp'!$C$3:$BK$25,$B255)</f>
        <v>0</v>
      </c>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28:H228"/>
  </mergeCells>
  <phoneticPr fontId="0" type="noConversion"/>
  <pageMargins left="0.75" right="0.75" top="1" bottom="1" header="0.5" footer="0.5"/>
  <pageSetup orientation="portrait" horizontalDpi="4294967293" verticalDpi="30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23</vt:i4>
      </vt:variant>
    </vt:vector>
  </HeadingPairs>
  <TitlesOfParts>
    <vt:vector size="35" baseType="lpstr">
      <vt:lpstr>Revision Notes</vt:lpstr>
      <vt:lpstr>About JEDI</vt:lpstr>
      <vt:lpstr>Start</vt:lpstr>
      <vt:lpstr>ProjectData</vt:lpstr>
      <vt:lpstr>SummaryResults</vt:lpstr>
      <vt:lpstr>User Add-in Location</vt:lpstr>
      <vt:lpstr>FAQ</vt:lpstr>
      <vt:lpstr>DefaultData</vt:lpstr>
      <vt:lpstr>Calculations</vt:lpstr>
      <vt:lpstr>Deflators</vt:lpstr>
      <vt:lpstr>Household Exp</vt:lpstr>
      <vt:lpstr>Multipliers</vt:lpstr>
      <vt:lpstr>Detailed_Project_Data_Costs</vt:lpstr>
      <vt:lpstr>Detailed_Wind_Plant_Project_Data_Costs</vt:lpstr>
      <vt:lpstr>Location</vt:lpstr>
      <vt:lpstr>Material</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SysApp</vt:lpstr>
      <vt:lpstr>Tracking</vt:lpstr>
      <vt:lpstr>Wind_Plant_Annual_OandM_Costs</vt:lpstr>
      <vt:lpstr>Wind_Plant_Annual_Operating_and_Maintenance_Costs</vt:lpstr>
      <vt:lpstr>Year</vt:lpstr>
      <vt:lpstr>Years</vt:lpstr>
      <vt:lpstr>YN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PV</dc:title>
  <dc:subject>Solar Power, Photovoltaics</dc:subject>
  <dc:creator>Marshall Goldberg, MRG &amp; Associates</dc:creator>
  <cp:keywords>Solar, PV, Photovoltaics, Electricity</cp:keywords>
  <cp:lastModifiedBy>Marshall Goldberg</cp:lastModifiedBy>
  <cp:lastPrinted>2011-10-15T23:44:17Z</cp:lastPrinted>
  <dcterms:created xsi:type="dcterms:W3CDTF">2011-07-16T22:19:14Z</dcterms:created>
  <dcterms:modified xsi:type="dcterms:W3CDTF">2012-03-22T18:16:19Z</dcterms:modified>
</cp:coreProperties>
</file>